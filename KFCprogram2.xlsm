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P:\Assy_Maintenance\FOLMaint\General\Ryan\FYI and Instructions\"/>
    </mc:Choice>
  </mc:AlternateContent>
  <xr:revisionPtr revIDLastSave="0" documentId="13_ncr:1_{F72EAD5E-B963-4D78-A2FB-6842F3C0A03A}" xr6:coauthVersionLast="47" xr6:coauthVersionMax="47" xr10:uidLastSave="{00000000-0000-0000-0000-000000000000}"/>
  <bookViews>
    <workbookView xWindow="-120" yWindow="-120" windowWidth="29040" windowHeight="15720" tabRatio="593" activeTab="1" xr2:uid="{00000000-000D-0000-FFFF-FFFF00000000}"/>
  </bookViews>
  <sheets>
    <sheet name="Home" sheetId="1" r:id="rId1"/>
    <sheet name="Savings" sheetId="2" r:id="rId2"/>
    <sheet name="data" sheetId="7" r:id="rId3"/>
    <sheet name="Borrowers" sheetId="4" r:id="rId4"/>
    <sheet name="Revenues" sheetId="5" r:id="rId5"/>
    <sheet name="LOG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0" i="2" l="1"/>
  <c r="G100" i="2" s="1"/>
  <c r="AA31" i="2" l="1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B15" i="2"/>
  <c r="F100" i="4" l="1"/>
  <c r="H100" i="4" s="1"/>
  <c r="E100" i="4"/>
  <c r="C100" i="4"/>
  <c r="F101" i="4"/>
  <c r="H101" i="4" s="1"/>
  <c r="E101" i="4"/>
  <c r="C101" i="4"/>
  <c r="D101" i="4" l="1"/>
  <c r="D100" i="4"/>
  <c r="F102" i="4"/>
  <c r="H102" i="4" s="1"/>
  <c r="E102" i="4"/>
  <c r="C102" i="4"/>
  <c r="F104" i="4"/>
  <c r="H104" i="4" s="1"/>
  <c r="E104" i="4"/>
  <c r="C104" i="4"/>
  <c r="D104" i="4" l="1"/>
  <c r="D102" i="4"/>
  <c r="F103" i="4"/>
  <c r="H103" i="4" s="1"/>
  <c r="E103" i="4"/>
  <c r="D103" i="4" s="1"/>
  <c r="C103" i="4"/>
  <c r="C99" i="2" l="1"/>
  <c r="C99" i="5" l="1"/>
  <c r="F148" i="4" l="1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H130" i="4" s="1"/>
  <c r="F129" i="4"/>
  <c r="H129" i="4" s="1"/>
  <c r="F128" i="4"/>
  <c r="H128" i="4" s="1"/>
  <c r="F127" i="4"/>
  <c r="H127" i="4" s="1"/>
  <c r="F126" i="4"/>
  <c r="H126" i="4" s="1"/>
  <c r="F125" i="4"/>
  <c r="H125" i="4" s="1"/>
  <c r="F124" i="4"/>
  <c r="H124" i="4" s="1"/>
  <c r="F123" i="4"/>
  <c r="H123" i="4" s="1"/>
  <c r="F122" i="4"/>
  <c r="H122" i="4" s="1"/>
  <c r="F121" i="4"/>
  <c r="H121" i="4" s="1"/>
  <c r="F120" i="4"/>
  <c r="H120" i="4" s="1"/>
  <c r="F119" i="4"/>
  <c r="H119" i="4" s="1"/>
  <c r="F118" i="4"/>
  <c r="H118" i="4" s="1"/>
  <c r="F117" i="4"/>
  <c r="H117" i="4" s="1"/>
  <c r="F116" i="4"/>
  <c r="H116" i="4" s="1"/>
  <c r="F115" i="4"/>
  <c r="H115" i="4" s="1"/>
  <c r="F114" i="4"/>
  <c r="H114" i="4" s="1"/>
  <c r="F113" i="4"/>
  <c r="H113" i="4" s="1"/>
  <c r="F112" i="4"/>
  <c r="H112" i="4" s="1"/>
  <c r="F111" i="4"/>
  <c r="H111" i="4" s="1"/>
  <c r="F110" i="4"/>
  <c r="H110" i="4" s="1"/>
  <c r="F109" i="4"/>
  <c r="H109" i="4" s="1"/>
  <c r="F108" i="4" l="1"/>
  <c r="H108" i="4" s="1"/>
  <c r="F107" i="4"/>
  <c r="H107" i="4" s="1"/>
  <c r="F106" i="4"/>
  <c r="H106" i="4" s="1"/>
  <c r="F105" i="4"/>
  <c r="H105" i="4" s="1"/>
  <c r="C105" i="4" l="1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E108" i="4"/>
  <c r="D108" i="4" s="1"/>
  <c r="E107" i="4"/>
  <c r="D107" i="4" s="1"/>
  <c r="E106" i="4"/>
  <c r="D106" i="4" s="1"/>
  <c r="E105" i="4"/>
  <c r="D105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 l="1"/>
  <c r="C106" i="4"/>
  <c r="B100" i="4" l="1"/>
  <c r="K99" i="2" l="1"/>
  <c r="W47" i="2"/>
  <c r="H47" i="2"/>
  <c r="P47" i="2"/>
  <c r="I47" i="2"/>
  <c r="L47" i="2"/>
  <c r="C47" i="2"/>
  <c r="J47" i="2"/>
  <c r="O47" i="2"/>
  <c r="V47" i="2"/>
  <c r="AA47" i="2"/>
  <c r="M47" i="2"/>
  <c r="E47" i="2"/>
  <c r="U47" i="2"/>
  <c r="F47" i="2"/>
  <c r="G47" i="2"/>
  <c r="K47" i="2"/>
  <c r="X47" i="2"/>
  <c r="Y47" i="2"/>
  <c r="N47" i="2"/>
  <c r="Q47" i="2"/>
  <c r="Z47" i="2"/>
  <c r="D47" i="2"/>
  <c r="R47" i="2"/>
  <c r="T47" i="2"/>
  <c r="S47" i="2"/>
  <c r="B47" i="2"/>
</calcChain>
</file>

<file path=xl/sharedStrings.xml><?xml version="1.0" encoding="utf-8"?>
<sst xmlns="http://schemas.openxmlformats.org/spreadsheetml/2006/main" count="208" uniqueCount="58">
  <si>
    <t>ryan</t>
  </si>
  <si>
    <t>Savings</t>
  </si>
  <si>
    <t>Revenue</t>
  </si>
  <si>
    <t>SHAREHOLDERS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</si>
  <si>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</si>
  <si>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</si>
  <si>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</si>
  <si>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</si>
  <si>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</si>
  <si>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</si>
  <si>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</si>
  <si>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</si>
  <si>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</si>
  <si>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</si>
  <si>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</si>
  <si>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</si>
  <si>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</si>
  <si>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</si>
  <si>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</si>
  <si>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</si>
  <si>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</si>
  <si>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</si>
  <si>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</si>
  <si>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</si>
  <si>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</si>
  <si>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</si>
  <si>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</si>
  <si>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</si>
  <si>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</si>
  <si>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</si>
  <si>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</si>
  <si>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</si>
  <si>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</si>
  <si>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</si>
  <si>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</si>
  <si>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</si>
  <si>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</si>
  <si>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</si>
  <si>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</si>
  <si>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</si>
  <si>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</si>
  <si>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</si>
  <si>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</si>
  <si>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third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</si>
  <si>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</si>
  <si>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</si>
  <si>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</si>
  <si>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</si>
  <si>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</si>
  <si>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</si>
  <si>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</si>
  <si>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</si>
  <si>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</si>
  <si>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YEAR</t>
  </si>
  <si>
    <t>arow</t>
  </si>
  <si>
    <t>2014 - 1st Half</t>
  </si>
  <si>
    <t>2014 - 2nd Half</t>
  </si>
  <si>
    <t>testing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</si>
</sst>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5" borderId="1" xfId="0" applyFill="1" applyBorder="1"/>
    <xf numFmtId="0" fontId="0" fillId="0" borderId="4" xfId="0" applyBorder="1"/>
    <xf numFmtId="0" fontId="2" fillId="5" borderId="1" xfId="0" applyFont="1" applyFill="1" applyBorder="1" applyAlignment="1">
      <alignment horizontal="center"/>
    </xf>
    <xf numFmtId="164" fontId="2" fillId="5" borderId="1" xfId="0" applyNumberFormat="1" applyFont="1" applyFill="1" applyBorder="1" applyAlignment="1">
      <alignment horizontal="center"/>
    </xf>
    <xf numFmtId="0" fontId="0" fillId="6" borderId="0" xfId="0" applyFill="1"/>
    <xf numFmtId="164" fontId="0" fillId="0" borderId="0" xfId="0" applyNumberFormat="1"/>
    <xf numFmtId="0" fontId="0" fillId="5" borderId="2" xfId="0" applyFill="1" applyBorder="1"/>
    <xf numFmtId="164" fontId="0" fillId="0" borderId="1" xfId="0" applyNumberFormat="1" applyBorder="1"/>
    <xf numFmtId="164" fontId="0" fillId="5" borderId="1" xfId="0" applyNumberFormat="1" applyFill="1" applyBorder="1"/>
    <xf numFmtId="0" fontId="0" fillId="7" borderId="1" xfId="0" applyFill="1" applyBorder="1"/>
    <xf numFmtId="0" fontId="0" fillId="8" borderId="0" xfId="0" applyFill="1"/>
    <xf numFmtId="0" fontId="0" fillId="5" borderId="0" xfId="0" applyFill="1"/>
    <xf numFmtId="0" fontId="3" fillId="9" borderId="0" xfId="0" applyFont="1" applyFill="1"/>
    <xf numFmtId="0" fontId="0" fillId="9" borderId="0" xfId="0" applyFill="1"/>
    <xf numFmtId="22" fontId="0" fillId="0" borderId="1" xfId="0" applyNumberFormat="1" applyBorder="1"/>
    <xf numFmtId="0" fontId="0" fillId="10" borderId="1" xfId="0" applyFill="1" applyBorder="1"/>
    <xf numFmtId="0" fontId="0" fillId="11" borderId="1" xfId="0" applyFill="1" applyBorder="1"/>
    <xf numFmtId="22" fontId="0" fillId="5" borderId="1" xfId="0" applyNumberFormat="1" applyFill="1" applyBorder="1"/>
    <xf numFmtId="0" fontId="0" fillId="2" borderId="3" xfId="0" applyNumberFormat="1" applyFill="1" applyBorder="1" applyAlignment="1">
      <alignment horizontal="center" vertical="center"/>
    </xf>
    <xf numFmtId="0" fontId="1" fillId="4" borderId="5" xfId="0" applyFont="1" applyFill="1" applyBorder="1"/>
    <xf numFmtId="0" fontId="3" fillId="9" borderId="1" xfId="0" applyFont="1" applyFill="1" applyBorder="1"/>
    <xf numFmtId="0" fontId="0" fillId="9" borderId="1" xfId="0" applyFill="1" applyBorder="1"/>
    <xf numFmtId="0" fontId="2" fillId="6" borderId="6" xfId="0" applyFont="1" applyFill="1" applyBorder="1" applyAlignment="1">
      <alignment horizontal="center" vertical="center"/>
    </xf>
    <xf numFmtId="0" fontId="0" fillId="12" borderId="0" xfId="0" applyFill="1"/>
    <xf numFmtId="0" fontId="0" fillId="13" borderId="0" xfId="0" applyFill="1"/>
    <xf numFmtId="164" fontId="2" fillId="3" borderId="7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9" xfId="0" applyNumberFormat="1" applyFont="1" applyFill="1" applyBorder="1" applyAlignment="1">
      <alignment horizontal="center"/>
    </xf>
    <xf numFmtId="0" fontId="0" fillId="13" borderId="1" xfId="0" applyFill="1" applyBorder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FF"/>
      <color rgb="FFFF5B5B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241012</xdr:colOff>
      <xdr:row>0</xdr:row>
      <xdr:rowOff>38100</xdr:rowOff>
    </xdr:from>
    <xdr:ext cx="184731" cy="153221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393787" y="38100"/>
          <a:ext cx="184731" cy="153221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8800" b="1" strike="noStrike" cap="none" spc="0" baseline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oneCellAnchor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93901</xdr:colOff>
      <xdr:row>1</xdr:row>
      <xdr:rowOff>50881</xdr:rowOff>
    </xdr:from>
    <xdr:to>
      <xdr:col>4</xdr:col>
      <xdr:colOff>219075</xdr:colOff>
      <xdr:row>19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551" y="241381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13</xdr:row>
          <xdr:rowOff>133350</xdr:rowOff>
        </xdr:from>
        <xdr:to>
          <xdr:col>8</xdr:col>
          <xdr:colOff>466725</xdr:colOff>
          <xdr:row>15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152400</xdr:rowOff>
        </xdr:from>
        <xdr:to>
          <xdr:col>8</xdr:col>
          <xdr:colOff>457200</xdr:colOff>
          <xdr:row>18</xdr:row>
          <xdr:rowOff>171450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28575</xdr:colOff>
      <xdr:row>2</xdr:row>
      <xdr:rowOff>146665</xdr:rowOff>
    </xdr:from>
    <xdr:to>
      <xdr:col>10</xdr:col>
      <xdr:colOff>245747</xdr:colOff>
      <xdr:row>10</xdr:row>
      <xdr:rowOff>9525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0" y="527665"/>
          <a:ext cx="3007997" cy="138686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3</xdr:row>
      <xdr:rowOff>171451</xdr:rowOff>
    </xdr:from>
    <xdr:to>
      <xdr:col>22</xdr:col>
      <xdr:colOff>171450</xdr:colOff>
      <xdr:row>17</xdr:row>
      <xdr:rowOff>28719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742951"/>
          <a:ext cx="5019675" cy="252426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H27" sqref="H27"/>
    </sheetView>
  </sheetViews>
  <sheetFormatPr defaultRowHeight="15" x14ac:dyDescent="0.25"/>
  <cols>
    <col min="1" max="1" width="3.7109375" customWidth="1"/>
    <col min="3" max="3" width="7" customWidth="1"/>
    <col min="7" max="7" width="5.28515625" customWidth="1"/>
    <col min="13" max="13" width="3.85546875" customWidth="1"/>
  </cols>
  <sheetData>
    <row r="1" spans="1:15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</row>
    <row r="2" spans="1:15" x14ac:dyDescent="0.25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7"/>
    </row>
    <row r="3" spans="1:15" x14ac:dyDescent="0.25">
      <c r="A3" s="17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7"/>
    </row>
    <row r="4" spans="1:15" x14ac:dyDescent="0.25">
      <c r="A4" s="17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7"/>
    </row>
    <row r="5" spans="1:15" x14ac:dyDescent="0.25">
      <c r="A5" s="17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7"/>
    </row>
    <row r="6" spans="1:15" x14ac:dyDescent="0.25">
      <c r="A6" s="17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7"/>
    </row>
    <row r="7" spans="1:15" x14ac:dyDescent="0.25">
      <c r="A7" s="17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7"/>
    </row>
    <row r="8" spans="1:15" x14ac:dyDescent="0.25">
      <c r="A8" s="17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7"/>
    </row>
    <row r="9" spans="1:15" x14ac:dyDescent="0.25">
      <c r="A9" s="17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7"/>
    </row>
    <row r="10" spans="1:15" x14ac:dyDescent="0.25">
      <c r="A10" s="17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7"/>
      <c r="O10" s="1"/>
    </row>
    <row r="11" spans="1:15" x14ac:dyDescent="0.25">
      <c r="A11" s="17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7"/>
    </row>
    <row r="12" spans="1:15" x14ac:dyDescent="0.25">
      <c r="A12" s="17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7"/>
    </row>
    <row r="13" spans="1:15" x14ac:dyDescent="0.25">
      <c r="A13" s="17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7"/>
    </row>
    <row r="14" spans="1:15" x14ac:dyDescent="0.25">
      <c r="A14" s="17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7"/>
    </row>
    <row r="15" spans="1:15" x14ac:dyDescent="0.25">
      <c r="A15" s="17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7"/>
    </row>
    <row r="16" spans="1:15" x14ac:dyDescent="0.25">
      <c r="A16" s="17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7"/>
    </row>
    <row r="17" spans="1:13" x14ac:dyDescent="0.25">
      <c r="A17" s="17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7"/>
    </row>
    <row r="18" spans="1:13" x14ac:dyDescent="0.25">
      <c r="A18" s="17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7"/>
    </row>
    <row r="19" spans="1:13" x14ac:dyDescent="0.25">
      <c r="A19" s="17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7"/>
    </row>
    <row r="20" spans="1:13" x14ac:dyDescent="0.25">
      <c r="A20" s="17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7"/>
    </row>
    <row r="21" spans="1:13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9525</xdr:colOff>
                <xdr:row>13</xdr:row>
                <xdr:rowOff>133350</xdr:rowOff>
              </from>
              <to>
                <xdr:col>8</xdr:col>
                <xdr:colOff>466725</xdr:colOff>
                <xdr:row>15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5</xdr:col>
                <xdr:colOff>0</xdr:colOff>
                <xdr:row>16</xdr:row>
                <xdr:rowOff>152400</xdr:rowOff>
              </from>
              <to>
                <xdr:col>8</xdr:col>
                <xdr:colOff>457200</xdr:colOff>
                <xdr:row>18</xdr:row>
                <xdr:rowOff>171450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29"/>
  <sheetViews>
    <sheetView tabSelected="1" zoomScale="70" zoomScaleNormal="70" workbookViewId="0">
      <pane xSplit="1" ySplit="2" topLeftCell="B39" activePane="bottomRight" state="frozen"/>
      <selection pane="topRight" activeCell="B1" sqref="B1"/>
      <selection pane="bottomLeft" activeCell="A3" sqref="A3"/>
      <selection pane="bottomRight" activeCell="I60" sqref="I60"/>
    </sheetView>
  </sheetViews>
  <sheetFormatPr defaultRowHeight="15" x14ac:dyDescent="0.25"/>
  <cols>
    <col min="1" max="1" width="23" customWidth="1"/>
    <col min="2" max="2" width="14.7109375" customWidth="1"/>
    <col min="32" max="32" width="13.140625" customWidth="1"/>
  </cols>
  <sheetData>
    <row r="1" spans="1:27" ht="15.75" thickBot="1" x14ac:dyDescent="0.3">
      <c r="A1" s="25" t="s">
        <v>51</v>
      </c>
    </row>
    <row r="2" spans="1:27" ht="15.75" thickBot="1" x14ac:dyDescent="0.3">
      <c r="A2" s="26" t="s">
        <v>5</v>
      </c>
      <c r="B2" s="6" t="s">
        <v>48</v>
      </c>
      <c r="C2" s="19" t="s">
        <v>22</v>
      </c>
      <c r="D2" s="27" t="s">
        <v>23</v>
      </c>
      <c r="E2" s="28" t="s">
        <v>24</v>
      </c>
      <c r="F2" s="28" t="s">
        <v>25</v>
      </c>
      <c r="G2" s="28" t="s">
        <v>26</v>
      </c>
      <c r="H2" s="28" t="s">
        <v>27</v>
      </c>
      <c r="I2" s="28" t="s">
        <v>28</v>
      </c>
      <c r="J2" s="28" t="s">
        <v>29</v>
      </c>
      <c r="K2" s="28" t="s">
        <v>30</v>
      </c>
      <c r="L2" s="28" t="s">
        <v>21</v>
      </c>
      <c r="M2" s="28" t="s">
        <v>31</v>
      </c>
      <c r="N2" s="28" t="s">
        <v>32</v>
      </c>
      <c r="O2" s="28" t="s">
        <v>33</v>
      </c>
      <c r="P2" s="28" t="s">
        <v>34</v>
      </c>
      <c r="Q2" s="28" t="s">
        <v>35</v>
      </c>
      <c r="R2" s="28" t="s">
        <v>36</v>
      </c>
      <c r="S2" s="28" t="s">
        <v>37</v>
      </c>
      <c r="T2" s="28" t="s">
        <v>38</v>
      </c>
      <c r="U2" s="28" t="s">
        <v>7</v>
      </c>
      <c r="V2" s="28" t="s">
        <v>0</v>
      </c>
      <c r="W2" s="28" t="s">
        <v>39</v>
      </c>
      <c r="X2" s="28" t="s">
        <v>40</v>
      </c>
      <c r="Y2" s="28" t="s">
        <v>41</v>
      </c>
      <c r="Z2" s="28" t="s">
        <v>45</v>
      </c>
      <c r="AA2" s="28" t="s">
        <v>47</v>
      </c>
    </row>
    <row r="3" spans="1:27" x14ac:dyDescent="0.25">
      <c r="A3" s="32">
        <v>41820</v>
      </c>
      <c r="B3" s="30">
        <v>35435</v>
      </c>
      <c r="C3">
        <v>300000</v>
      </c>
      <c r="D3" s="6">
        <v>19310</v>
      </c>
      <c r="E3" s="6">
        <v>53240</v>
      </c>
      <c r="F3" s="6">
        <v>68745</v>
      </c>
      <c r="G3" s="6">
        <v>95733</v>
      </c>
      <c r="H3" s="6">
        <v>65667</v>
      </c>
      <c r="I3" s="6">
        <v>157226</v>
      </c>
      <c r="J3" s="6">
        <v>3834</v>
      </c>
      <c r="K3" s="6">
        <v>134305</v>
      </c>
      <c r="L3" s="6">
        <v>45065</v>
      </c>
      <c r="M3" s="6">
        <v>44500</v>
      </c>
      <c r="N3" s="6">
        <v>25672</v>
      </c>
      <c r="O3" s="6">
        <v>5000</v>
      </c>
      <c r="P3" s="6">
        <v>14070</v>
      </c>
      <c r="Q3" s="6">
        <v>175629</v>
      </c>
      <c r="R3" s="6">
        <v>5000</v>
      </c>
      <c r="S3" s="6">
        <v>157027</v>
      </c>
      <c r="T3" s="6">
        <v>66164</v>
      </c>
      <c r="U3" s="6">
        <v>5000</v>
      </c>
      <c r="V3" s="6">
        <v>3000</v>
      </c>
      <c r="W3" s="6">
        <v>5000</v>
      </c>
      <c r="X3" s="6">
        <v>5000</v>
      </c>
      <c r="Y3" s="6">
        <v>5000</v>
      </c>
      <c r="Z3" s="6">
        <v>0</v>
      </c>
      <c r="AA3" s="6"/>
    </row>
    <row r="4" spans="1:27" x14ac:dyDescent="0.25">
      <c r="A4" s="33">
        <v>41835</v>
      </c>
      <c r="B4" s="30">
        <v>234234</v>
      </c>
      <c r="C4">
        <v>0</v>
      </c>
      <c r="D4" s="6">
        <v>0</v>
      </c>
      <c r="E4" s="6">
        <v>3000</v>
      </c>
      <c r="F4" s="6">
        <v>3000</v>
      </c>
      <c r="G4" s="6">
        <v>2000</v>
      </c>
      <c r="H4" s="6">
        <v>0</v>
      </c>
      <c r="I4" s="6">
        <v>3000</v>
      </c>
      <c r="J4" s="6">
        <v>0</v>
      </c>
      <c r="K4" s="6">
        <v>3000</v>
      </c>
      <c r="L4" s="6">
        <v>500</v>
      </c>
      <c r="M4" s="6">
        <v>500</v>
      </c>
      <c r="N4" s="6">
        <v>500</v>
      </c>
      <c r="O4" s="6">
        <v>1000</v>
      </c>
      <c r="P4" s="6">
        <v>0</v>
      </c>
      <c r="Q4" s="6">
        <v>3000</v>
      </c>
      <c r="R4" s="6">
        <v>0</v>
      </c>
      <c r="S4" s="6">
        <v>0</v>
      </c>
      <c r="T4" s="6">
        <v>2000</v>
      </c>
      <c r="U4" s="6">
        <v>2000</v>
      </c>
      <c r="V4" s="6">
        <v>2000</v>
      </c>
      <c r="W4" s="6">
        <v>2000</v>
      </c>
      <c r="X4" s="6">
        <v>3000</v>
      </c>
      <c r="Y4" s="6">
        <v>3000</v>
      </c>
      <c r="Z4" s="6">
        <v>0</v>
      </c>
      <c r="AA4" s="6"/>
    </row>
    <row r="5" spans="1:27" x14ac:dyDescent="0.25">
      <c r="A5" s="33">
        <v>41850</v>
      </c>
      <c r="B5" s="30">
        <v>23423</v>
      </c>
      <c r="C5">
        <v>0</v>
      </c>
      <c r="D5" s="6">
        <v>0</v>
      </c>
      <c r="E5" s="6">
        <v>3000</v>
      </c>
      <c r="F5" s="6">
        <v>3000</v>
      </c>
      <c r="G5" s="6">
        <v>2000</v>
      </c>
      <c r="H5" s="6">
        <v>0</v>
      </c>
      <c r="I5" s="6">
        <v>3000</v>
      </c>
      <c r="J5" s="6">
        <v>0</v>
      </c>
      <c r="K5" s="6">
        <v>3000</v>
      </c>
      <c r="L5" s="6">
        <v>500</v>
      </c>
      <c r="M5" s="6">
        <v>500</v>
      </c>
      <c r="N5" s="6">
        <v>500</v>
      </c>
      <c r="O5" s="6">
        <v>0</v>
      </c>
      <c r="P5" s="6">
        <v>0</v>
      </c>
      <c r="Q5" s="6">
        <v>3000</v>
      </c>
      <c r="R5" s="6">
        <v>0</v>
      </c>
      <c r="S5" s="6">
        <v>1000</v>
      </c>
      <c r="T5" s="6">
        <v>2000</v>
      </c>
      <c r="U5" s="6">
        <v>2000</v>
      </c>
      <c r="V5" s="6">
        <v>1500</v>
      </c>
      <c r="W5" s="6">
        <v>2000</v>
      </c>
      <c r="X5" s="6">
        <v>3000</v>
      </c>
      <c r="Y5" s="6">
        <v>3000</v>
      </c>
      <c r="Z5" s="6"/>
      <c r="AA5" s="6"/>
    </row>
    <row r="6" spans="1:27" x14ac:dyDescent="0.25">
      <c r="A6" s="33">
        <v>41866</v>
      </c>
      <c r="B6" s="30">
        <v>23423</v>
      </c>
      <c r="C6">
        <v>0</v>
      </c>
      <c r="D6" s="6">
        <v>0</v>
      </c>
      <c r="E6" s="6">
        <v>-17000</v>
      </c>
      <c r="F6" s="6">
        <v>3000</v>
      </c>
      <c r="G6" s="6">
        <v>2000</v>
      </c>
      <c r="H6" s="6">
        <v>0</v>
      </c>
      <c r="I6" s="6">
        <v>3000</v>
      </c>
      <c r="J6" s="6">
        <v>0</v>
      </c>
      <c r="K6" s="6">
        <v>3000</v>
      </c>
      <c r="L6" s="6">
        <v>500</v>
      </c>
      <c r="M6" s="6">
        <v>500</v>
      </c>
      <c r="N6" s="6">
        <v>0</v>
      </c>
      <c r="O6" s="6">
        <v>0</v>
      </c>
      <c r="P6" s="6">
        <v>0</v>
      </c>
      <c r="Q6" s="6">
        <v>3000</v>
      </c>
      <c r="R6" s="6">
        <v>3000</v>
      </c>
      <c r="S6" s="6">
        <v>3000</v>
      </c>
      <c r="T6" s="6">
        <v>2000</v>
      </c>
      <c r="U6" s="6">
        <v>2000</v>
      </c>
      <c r="V6" s="6">
        <v>1500</v>
      </c>
      <c r="W6" s="6">
        <v>3000</v>
      </c>
      <c r="X6" s="6">
        <v>3000</v>
      </c>
      <c r="Y6" s="6">
        <v>3000</v>
      </c>
      <c r="Z6" s="6"/>
      <c r="AA6" s="6"/>
    </row>
    <row r="7" spans="1:27" x14ac:dyDescent="0.25">
      <c r="A7" s="33">
        <v>41881</v>
      </c>
      <c r="B7" s="30">
        <v>32423</v>
      </c>
      <c r="C7">
        <v>0</v>
      </c>
      <c r="D7" s="6">
        <v>0</v>
      </c>
      <c r="E7" s="6">
        <v>0</v>
      </c>
      <c r="F7" s="6">
        <v>3000</v>
      </c>
      <c r="G7" s="6">
        <v>2000</v>
      </c>
      <c r="H7" s="6">
        <v>0</v>
      </c>
      <c r="I7" s="6">
        <v>3000</v>
      </c>
      <c r="J7" s="6">
        <v>500</v>
      </c>
      <c r="K7" s="6">
        <v>3000</v>
      </c>
      <c r="L7" s="6">
        <v>500</v>
      </c>
      <c r="M7" s="6">
        <v>500</v>
      </c>
      <c r="N7" s="6">
        <v>0</v>
      </c>
      <c r="O7" s="6">
        <v>0</v>
      </c>
      <c r="P7" s="6">
        <v>0</v>
      </c>
      <c r="Q7" s="6">
        <v>3000</v>
      </c>
      <c r="R7" s="6">
        <v>0</v>
      </c>
      <c r="S7" s="6">
        <v>2000</v>
      </c>
      <c r="T7" s="6">
        <v>2000</v>
      </c>
      <c r="U7" s="6">
        <v>2000</v>
      </c>
      <c r="V7" s="6">
        <v>1000</v>
      </c>
      <c r="W7" s="6">
        <v>3000</v>
      </c>
      <c r="X7" s="6">
        <v>3000</v>
      </c>
      <c r="Y7" s="6">
        <v>3000</v>
      </c>
      <c r="Z7" s="6"/>
      <c r="AA7" s="6"/>
    </row>
    <row r="8" spans="1:27" x14ac:dyDescent="0.25">
      <c r="A8" s="33">
        <v>41897</v>
      </c>
      <c r="B8" s="30">
        <v>23423</v>
      </c>
      <c r="C8">
        <v>0</v>
      </c>
      <c r="D8" s="6">
        <v>0</v>
      </c>
      <c r="E8" s="6">
        <v>3000</v>
      </c>
      <c r="F8" s="6">
        <v>3000</v>
      </c>
      <c r="G8" s="6">
        <v>1000</v>
      </c>
      <c r="H8" s="6">
        <v>0</v>
      </c>
      <c r="I8" s="6">
        <v>3000</v>
      </c>
      <c r="J8" s="6">
        <v>0</v>
      </c>
      <c r="K8" s="6">
        <v>3000</v>
      </c>
      <c r="L8" s="6">
        <v>500</v>
      </c>
      <c r="M8" s="6">
        <v>500</v>
      </c>
      <c r="N8" s="6">
        <v>0</v>
      </c>
      <c r="O8" s="6">
        <v>0</v>
      </c>
      <c r="P8" s="6">
        <v>0</v>
      </c>
      <c r="Q8" s="6">
        <v>3000</v>
      </c>
      <c r="R8" s="6">
        <v>0</v>
      </c>
      <c r="S8" s="6">
        <v>1000</v>
      </c>
      <c r="T8" s="6">
        <v>2000</v>
      </c>
      <c r="U8" s="6">
        <v>2000</v>
      </c>
      <c r="V8" s="6">
        <v>2000</v>
      </c>
      <c r="W8" s="6">
        <v>3000</v>
      </c>
      <c r="X8" s="6">
        <v>3000</v>
      </c>
      <c r="Y8" s="6">
        <v>3000</v>
      </c>
      <c r="Z8" s="6"/>
      <c r="AA8" s="6"/>
    </row>
    <row r="9" spans="1:27" x14ac:dyDescent="0.25">
      <c r="A9" s="33">
        <v>41912</v>
      </c>
      <c r="B9" s="30">
        <v>2342</v>
      </c>
      <c r="C9">
        <v>0</v>
      </c>
      <c r="D9" s="6">
        <v>0</v>
      </c>
      <c r="E9" s="6">
        <v>3000</v>
      </c>
      <c r="F9" s="6">
        <v>3000</v>
      </c>
      <c r="G9" s="6">
        <v>2000</v>
      </c>
      <c r="H9" s="6">
        <v>0</v>
      </c>
      <c r="I9" s="6">
        <v>3000</v>
      </c>
      <c r="J9" s="6">
        <v>500</v>
      </c>
      <c r="K9" s="6">
        <v>3000</v>
      </c>
      <c r="L9" s="6">
        <v>500</v>
      </c>
      <c r="M9" s="6">
        <v>500</v>
      </c>
      <c r="N9" s="6">
        <v>0</v>
      </c>
      <c r="O9" s="6">
        <v>0</v>
      </c>
      <c r="P9" s="6">
        <v>0</v>
      </c>
      <c r="Q9" s="6">
        <v>3000</v>
      </c>
      <c r="R9" s="6">
        <v>0</v>
      </c>
      <c r="S9" s="6">
        <v>2000</v>
      </c>
      <c r="T9" s="6">
        <v>2000</v>
      </c>
      <c r="U9" s="6">
        <v>2000</v>
      </c>
      <c r="V9" s="6">
        <v>2000</v>
      </c>
      <c r="W9" s="6">
        <v>3000</v>
      </c>
      <c r="X9" s="6">
        <v>3000</v>
      </c>
      <c r="Y9" s="6">
        <v>3000</v>
      </c>
      <c r="Z9" s="6"/>
      <c r="AA9" s="6"/>
    </row>
    <row r="10" spans="1:27" x14ac:dyDescent="0.25">
      <c r="A10" s="33">
        <v>41927</v>
      </c>
      <c r="B10" s="30">
        <v>234324</v>
      </c>
      <c r="C10">
        <v>0</v>
      </c>
      <c r="D10" s="6">
        <v>0</v>
      </c>
      <c r="E10" s="6">
        <v>3000</v>
      </c>
      <c r="F10" s="6">
        <v>3000</v>
      </c>
      <c r="G10" s="6">
        <v>1000</v>
      </c>
      <c r="H10" s="6">
        <v>0</v>
      </c>
      <c r="I10" s="6">
        <v>3000</v>
      </c>
      <c r="J10" s="6">
        <v>0</v>
      </c>
      <c r="K10" s="6">
        <v>3000</v>
      </c>
      <c r="L10" s="6">
        <v>500</v>
      </c>
      <c r="M10" s="6">
        <v>500</v>
      </c>
      <c r="N10" s="6">
        <v>500</v>
      </c>
      <c r="O10" s="6">
        <v>0</v>
      </c>
      <c r="P10" s="6">
        <v>0</v>
      </c>
      <c r="Q10" s="6">
        <v>3000</v>
      </c>
      <c r="R10" s="6">
        <v>500</v>
      </c>
      <c r="S10" s="6">
        <v>3000</v>
      </c>
      <c r="T10" s="6">
        <v>2000</v>
      </c>
      <c r="U10" s="6">
        <v>2000</v>
      </c>
      <c r="V10" s="6">
        <v>2000</v>
      </c>
      <c r="W10" s="6">
        <v>3000</v>
      </c>
      <c r="X10" s="6">
        <v>3000</v>
      </c>
      <c r="Y10" s="6">
        <v>3000</v>
      </c>
      <c r="Z10" s="6"/>
      <c r="AA10" s="6"/>
    </row>
    <row r="11" spans="1:27" x14ac:dyDescent="0.25">
      <c r="A11" s="33">
        <v>41942</v>
      </c>
      <c r="B11" s="30">
        <v>23432</v>
      </c>
      <c r="C11">
        <v>0</v>
      </c>
      <c r="D11" s="6">
        <v>0</v>
      </c>
      <c r="E11" s="6">
        <v>1000</v>
      </c>
      <c r="F11" s="6">
        <v>3000</v>
      </c>
      <c r="G11" s="6">
        <v>1000</v>
      </c>
      <c r="H11" s="6">
        <v>500</v>
      </c>
      <c r="I11" s="6">
        <v>3000</v>
      </c>
      <c r="J11" s="6">
        <v>0</v>
      </c>
      <c r="K11" s="6">
        <v>3000</v>
      </c>
      <c r="L11" s="6">
        <v>500</v>
      </c>
      <c r="M11" s="6">
        <v>500</v>
      </c>
      <c r="N11" s="6">
        <v>0</v>
      </c>
      <c r="O11" s="6">
        <v>0</v>
      </c>
      <c r="P11" s="6">
        <v>0</v>
      </c>
      <c r="Q11" s="6">
        <v>3000</v>
      </c>
      <c r="R11" s="6">
        <v>0</v>
      </c>
      <c r="S11" s="6">
        <v>3000</v>
      </c>
      <c r="T11" s="6">
        <v>2000</v>
      </c>
      <c r="U11" s="6">
        <v>2000</v>
      </c>
      <c r="V11" s="6">
        <v>2000</v>
      </c>
      <c r="W11" s="6">
        <v>0</v>
      </c>
      <c r="X11" s="6">
        <v>3000</v>
      </c>
      <c r="Y11" s="6">
        <v>3000</v>
      </c>
      <c r="Z11" s="6"/>
      <c r="AA11" s="6"/>
    </row>
    <row r="12" spans="1:27" x14ac:dyDescent="0.25">
      <c r="A12" s="33">
        <v>41958</v>
      </c>
      <c r="B12" s="30">
        <v>234234</v>
      </c>
      <c r="C12">
        <v>0</v>
      </c>
      <c r="D12" s="6">
        <v>500</v>
      </c>
      <c r="E12" s="6">
        <v>1000</v>
      </c>
      <c r="F12" s="6">
        <v>2000</v>
      </c>
      <c r="G12" s="6">
        <v>1000</v>
      </c>
      <c r="H12" s="6">
        <v>500</v>
      </c>
      <c r="I12" s="6">
        <v>3000</v>
      </c>
      <c r="J12" s="6">
        <v>0</v>
      </c>
      <c r="K12" s="6">
        <v>3000</v>
      </c>
      <c r="L12" s="6">
        <v>500</v>
      </c>
      <c r="M12" s="6">
        <v>500</v>
      </c>
      <c r="N12" s="6">
        <v>0</v>
      </c>
      <c r="O12" s="6">
        <v>0</v>
      </c>
      <c r="P12" s="6">
        <v>0</v>
      </c>
      <c r="Q12" s="6">
        <v>3000</v>
      </c>
      <c r="R12" s="6">
        <v>1000</v>
      </c>
      <c r="S12" s="6">
        <v>3000</v>
      </c>
      <c r="T12" s="6">
        <v>2000</v>
      </c>
      <c r="U12" s="6">
        <v>2000</v>
      </c>
      <c r="V12" s="6">
        <v>2000</v>
      </c>
      <c r="W12" s="6">
        <v>0</v>
      </c>
      <c r="X12" s="6">
        <v>3000</v>
      </c>
      <c r="Y12" s="6">
        <v>3000</v>
      </c>
      <c r="Z12" s="6"/>
      <c r="AA12" s="6"/>
    </row>
    <row r="13" spans="1:27" x14ac:dyDescent="0.25">
      <c r="A13" s="33">
        <v>41973</v>
      </c>
      <c r="B13" s="30">
        <v>23423423</v>
      </c>
      <c r="C13">
        <v>0</v>
      </c>
      <c r="D13" s="6">
        <v>500</v>
      </c>
      <c r="E13" s="6">
        <v>2000</v>
      </c>
      <c r="F13" s="6">
        <v>3000</v>
      </c>
      <c r="G13" s="6">
        <v>1000</v>
      </c>
      <c r="H13" s="6">
        <v>500</v>
      </c>
      <c r="I13" s="6">
        <v>3000</v>
      </c>
      <c r="J13" s="6">
        <v>0</v>
      </c>
      <c r="K13" s="6">
        <v>3000</v>
      </c>
      <c r="L13" s="6">
        <v>0</v>
      </c>
      <c r="M13" s="6">
        <v>500</v>
      </c>
      <c r="N13" s="6">
        <v>0</v>
      </c>
      <c r="O13" s="6">
        <v>0</v>
      </c>
      <c r="P13" s="6">
        <v>0</v>
      </c>
      <c r="Q13" s="6">
        <v>3000</v>
      </c>
      <c r="R13" s="6">
        <v>500</v>
      </c>
      <c r="S13" s="6">
        <v>3000</v>
      </c>
      <c r="T13" s="6">
        <v>2000</v>
      </c>
      <c r="U13" s="6">
        <v>2000</v>
      </c>
      <c r="V13" s="6">
        <v>2000</v>
      </c>
      <c r="W13" s="6">
        <v>3000</v>
      </c>
      <c r="X13" s="6">
        <v>3000</v>
      </c>
      <c r="Y13" s="6">
        <v>3000</v>
      </c>
      <c r="Z13" s="6"/>
      <c r="AA13" s="6"/>
    </row>
    <row r="14" spans="1:27" ht="15.75" thickBot="1" x14ac:dyDescent="0.3">
      <c r="A14" s="34">
        <v>41623</v>
      </c>
      <c r="B14" s="31">
        <v>234234</v>
      </c>
      <c r="C14">
        <v>0</v>
      </c>
      <c r="D14" s="6">
        <v>0</v>
      </c>
      <c r="E14" s="6">
        <v>2000</v>
      </c>
      <c r="F14" s="6">
        <v>3000</v>
      </c>
      <c r="G14" s="6">
        <v>1000</v>
      </c>
      <c r="H14" s="6">
        <v>500</v>
      </c>
      <c r="I14" s="6">
        <v>3000</v>
      </c>
      <c r="J14" s="6">
        <v>0</v>
      </c>
      <c r="K14" s="6">
        <v>3000</v>
      </c>
      <c r="L14" s="6">
        <v>0</v>
      </c>
      <c r="M14" s="6">
        <v>500</v>
      </c>
      <c r="N14" s="6">
        <v>0</v>
      </c>
      <c r="O14" s="6">
        <v>0</v>
      </c>
      <c r="P14" s="6">
        <v>0</v>
      </c>
      <c r="Q14" s="6">
        <v>3000</v>
      </c>
      <c r="R14" s="6">
        <v>500</v>
      </c>
      <c r="S14" s="6">
        <v>3000</v>
      </c>
      <c r="T14" s="6">
        <v>2000</v>
      </c>
      <c r="U14" s="6">
        <v>2000</v>
      </c>
      <c r="V14" s="6">
        <v>2000</v>
      </c>
      <c r="W14" s="6">
        <v>3000</v>
      </c>
      <c r="X14" s="6">
        <v>3000</v>
      </c>
      <c r="Y14" s="6">
        <v>3000</v>
      </c>
      <c r="Z14" s="6"/>
      <c r="AA14" s="6"/>
    </row>
    <row r="15" spans="1:27" ht="15.75" thickBot="1" x14ac:dyDescent="0.3">
      <c r="A15" s="29" t="s">
        <v>6</v>
      </c>
      <c r="B15">
        <f>SUM(B3:B14)</f>
        <v>24524350</v>
      </c>
      <c r="C15">
        <f t="shared" ref="C15:Z15" si="0">SUM(C3:C14)</f>
        <v>300000</v>
      </c>
      <c r="D15">
        <f t="shared" si="0"/>
        <v>20310</v>
      </c>
      <c r="E15">
        <f t="shared" si="0"/>
        <v>57240</v>
      </c>
      <c r="F15">
        <f t="shared" si="0"/>
        <v>100745</v>
      </c>
      <c r="G15">
        <f t="shared" si="0"/>
        <v>111733</v>
      </c>
      <c r="H15">
        <f t="shared" si="0"/>
        <v>67667</v>
      </c>
      <c r="I15">
        <f t="shared" si="0"/>
        <v>190226</v>
      </c>
      <c r="J15">
        <f t="shared" si="0"/>
        <v>4834</v>
      </c>
      <c r="K15">
        <f t="shared" si="0"/>
        <v>167305</v>
      </c>
      <c r="L15">
        <f t="shared" si="0"/>
        <v>49565</v>
      </c>
      <c r="M15">
        <f t="shared" si="0"/>
        <v>50000</v>
      </c>
      <c r="N15">
        <f t="shared" si="0"/>
        <v>27172</v>
      </c>
      <c r="O15">
        <f t="shared" si="0"/>
        <v>6000</v>
      </c>
      <c r="P15">
        <f t="shared" si="0"/>
        <v>14070</v>
      </c>
      <c r="Q15">
        <f t="shared" si="0"/>
        <v>208629</v>
      </c>
      <c r="R15">
        <f t="shared" si="0"/>
        <v>10500</v>
      </c>
      <c r="S15">
        <f t="shared" si="0"/>
        <v>181027</v>
      </c>
      <c r="T15">
        <f t="shared" si="0"/>
        <v>88164</v>
      </c>
      <c r="U15">
        <f t="shared" si="0"/>
        <v>27000</v>
      </c>
      <c r="V15">
        <f t="shared" si="0"/>
        <v>23000</v>
      </c>
      <c r="W15">
        <f t="shared" si="0"/>
        <v>30000</v>
      </c>
      <c r="X15">
        <f t="shared" si="0"/>
        <v>38000</v>
      </c>
      <c r="Y15">
        <f t="shared" si="0"/>
        <v>38000</v>
      </c>
      <c r="Z15">
        <f t="shared" si="0"/>
        <v>0</v>
      </c>
      <c r="AA15">
        <f>SUM(AB3:AB14)</f>
        <v>0</v>
      </c>
    </row>
    <row r="16" spans="1:27" ht="15.75" thickBot="1" x14ac:dyDescent="0.3">
      <c r="A16" s="40"/>
    </row>
    <row r="17" spans="1:32" ht="15.75" thickBot="1" x14ac:dyDescent="0.3">
      <c r="A17" s="25" t="s">
        <v>49</v>
      </c>
    </row>
    <row r="18" spans="1:32" ht="15.75" thickBot="1" x14ac:dyDescent="0.3">
      <c r="A18" s="26" t="s">
        <v>5</v>
      </c>
      <c r="B18" s="6" t="s">
        <v>48</v>
      </c>
      <c r="C18" s="27" t="s">
        <v>22</v>
      </c>
      <c r="D18" s="27" t="s">
        <v>23</v>
      </c>
      <c r="E18" s="28" t="s">
        <v>24</v>
      </c>
      <c r="F18" s="28" t="s">
        <v>25</v>
      </c>
      <c r="G18" s="28" t="s">
        <v>26</v>
      </c>
      <c r="H18" s="28" t="s">
        <v>27</v>
      </c>
      <c r="I18" s="28" t="s">
        <v>28</v>
      </c>
      <c r="J18" s="28" t="s">
        <v>29</v>
      </c>
      <c r="K18" s="28" t="s">
        <v>30</v>
      </c>
      <c r="L18" s="28" t="s">
        <v>21</v>
      </c>
      <c r="M18" s="28" t="s">
        <v>31</v>
      </c>
      <c r="N18" s="28" t="s">
        <v>32</v>
      </c>
      <c r="O18" s="28" t="s">
        <v>33</v>
      </c>
      <c r="P18" s="28" t="s">
        <v>34</v>
      </c>
      <c r="Q18" s="28" t="s">
        <v>35</v>
      </c>
      <c r="R18" s="28" t="s">
        <v>36</v>
      </c>
      <c r="S18" s="28" t="s">
        <v>37</v>
      </c>
      <c r="T18" s="28" t="s">
        <v>38</v>
      </c>
      <c r="U18" s="28" t="s">
        <v>7</v>
      </c>
      <c r="V18" s="28" t="s">
        <v>0</v>
      </c>
      <c r="W18" s="28" t="s">
        <v>39</v>
      </c>
      <c r="X18" s="28" t="s">
        <v>40</v>
      </c>
      <c r="Y18" s="28" t="s">
        <v>41</v>
      </c>
      <c r="Z18" s="28" t="s">
        <v>45</v>
      </c>
      <c r="AA18" s="28" t="s">
        <v>46</v>
      </c>
    </row>
    <row r="19" spans="1:32" x14ac:dyDescent="0.25">
      <c r="A19" s="32">
        <v>42003</v>
      </c>
      <c r="B19" s="30">
        <v>35435</v>
      </c>
      <c r="C19" s="6">
        <v>0</v>
      </c>
      <c r="D19" s="6">
        <v>0</v>
      </c>
      <c r="E19" s="6">
        <v>1000</v>
      </c>
      <c r="F19" s="6">
        <v>3000</v>
      </c>
      <c r="G19" s="6">
        <v>3000</v>
      </c>
      <c r="H19" s="6">
        <v>500</v>
      </c>
      <c r="I19" s="6">
        <v>3000</v>
      </c>
      <c r="J19" s="6">
        <v>0</v>
      </c>
      <c r="K19" s="6">
        <v>3000</v>
      </c>
      <c r="L19" s="6">
        <v>500</v>
      </c>
      <c r="M19" s="6">
        <v>500</v>
      </c>
      <c r="N19" s="6">
        <v>0</v>
      </c>
      <c r="O19" s="6">
        <v>0</v>
      </c>
      <c r="P19" s="6">
        <v>0</v>
      </c>
      <c r="Q19" s="6">
        <v>3000</v>
      </c>
      <c r="R19" s="6">
        <v>0</v>
      </c>
      <c r="S19" s="6">
        <v>3000</v>
      </c>
      <c r="T19" s="6">
        <v>3000</v>
      </c>
      <c r="U19" s="6">
        <v>2000</v>
      </c>
      <c r="V19" s="6">
        <v>0</v>
      </c>
      <c r="W19" s="6">
        <v>0</v>
      </c>
      <c r="X19" s="6">
        <v>3000</v>
      </c>
      <c r="Y19" s="6">
        <v>3000</v>
      </c>
      <c r="Z19" s="6"/>
      <c r="AA19" s="6"/>
    </row>
    <row r="20" spans="1:32" x14ac:dyDescent="0.25">
      <c r="A20" s="33">
        <v>41654</v>
      </c>
      <c r="B20" s="30">
        <v>234234</v>
      </c>
      <c r="C20" s="6">
        <v>0</v>
      </c>
      <c r="D20" s="6">
        <v>300</v>
      </c>
      <c r="E20" s="6">
        <v>1000</v>
      </c>
      <c r="F20" s="6">
        <v>3000</v>
      </c>
      <c r="G20" s="6">
        <v>3000</v>
      </c>
      <c r="H20" s="6">
        <v>500</v>
      </c>
      <c r="I20" s="6">
        <v>3000</v>
      </c>
      <c r="J20" s="6">
        <v>0</v>
      </c>
      <c r="K20" s="6">
        <v>3000</v>
      </c>
      <c r="L20" s="6">
        <v>0</v>
      </c>
      <c r="M20" s="6">
        <v>500</v>
      </c>
      <c r="N20" s="6">
        <v>0</v>
      </c>
      <c r="O20" s="6">
        <v>1000</v>
      </c>
      <c r="P20" s="6">
        <v>0</v>
      </c>
      <c r="Q20" s="6">
        <v>3000</v>
      </c>
      <c r="R20" s="6">
        <v>0</v>
      </c>
      <c r="S20" s="6">
        <v>3000</v>
      </c>
      <c r="T20" s="6">
        <v>3000</v>
      </c>
      <c r="U20" s="6">
        <v>2000</v>
      </c>
      <c r="V20" s="6">
        <v>2000</v>
      </c>
      <c r="W20" s="6">
        <v>0</v>
      </c>
      <c r="X20" s="6">
        <v>3000</v>
      </c>
      <c r="Y20" s="6">
        <v>3000</v>
      </c>
      <c r="Z20" s="6"/>
      <c r="AA20" s="6"/>
    </row>
    <row r="21" spans="1:32" x14ac:dyDescent="0.25">
      <c r="A21" s="33">
        <v>41669</v>
      </c>
      <c r="B21" s="30">
        <v>23423</v>
      </c>
      <c r="C21" s="6">
        <v>0</v>
      </c>
      <c r="D21" s="6">
        <v>300</v>
      </c>
      <c r="E21" s="6">
        <v>0</v>
      </c>
      <c r="F21" s="6">
        <v>1000</v>
      </c>
      <c r="G21" s="6">
        <v>3000</v>
      </c>
      <c r="H21" s="6">
        <v>500</v>
      </c>
      <c r="I21" s="6">
        <v>3000</v>
      </c>
      <c r="J21" s="6">
        <v>0</v>
      </c>
      <c r="K21" s="6">
        <v>3000</v>
      </c>
      <c r="L21" s="6">
        <v>0</v>
      </c>
      <c r="M21" s="6">
        <v>500</v>
      </c>
      <c r="N21" s="6">
        <v>0</v>
      </c>
      <c r="O21" s="6">
        <v>1000</v>
      </c>
      <c r="P21" s="6">
        <v>0</v>
      </c>
      <c r="Q21" s="6">
        <v>3000</v>
      </c>
      <c r="R21" s="6">
        <v>0</v>
      </c>
      <c r="S21" s="6">
        <v>3000</v>
      </c>
      <c r="T21" s="6">
        <v>3000</v>
      </c>
      <c r="U21" s="6">
        <v>2000</v>
      </c>
      <c r="V21" s="6">
        <v>2000</v>
      </c>
      <c r="W21" s="6">
        <v>0</v>
      </c>
      <c r="X21" s="6">
        <v>3000</v>
      </c>
      <c r="Y21" s="6">
        <v>3000</v>
      </c>
      <c r="Z21" s="6"/>
      <c r="AA21" s="6"/>
    </row>
    <row r="22" spans="1:32" x14ac:dyDescent="0.25">
      <c r="A22" s="33">
        <v>41685</v>
      </c>
      <c r="B22" s="30">
        <v>23423</v>
      </c>
      <c r="C22" s="6">
        <v>0</v>
      </c>
      <c r="D22" s="6">
        <v>300</v>
      </c>
      <c r="E22" s="6">
        <v>1500</v>
      </c>
      <c r="F22" s="6">
        <v>1000</v>
      </c>
      <c r="G22" s="6">
        <v>3000</v>
      </c>
      <c r="H22" s="6">
        <v>500</v>
      </c>
      <c r="I22" s="6">
        <v>3000</v>
      </c>
      <c r="J22" s="6">
        <v>0</v>
      </c>
      <c r="K22" s="6">
        <v>3000</v>
      </c>
      <c r="L22" s="6">
        <v>500</v>
      </c>
      <c r="M22" s="6">
        <v>500</v>
      </c>
      <c r="N22" s="6">
        <v>0</v>
      </c>
      <c r="O22" s="6">
        <v>500</v>
      </c>
      <c r="P22" s="6">
        <v>0</v>
      </c>
      <c r="Q22" s="6">
        <v>3000</v>
      </c>
      <c r="R22" s="6">
        <v>410</v>
      </c>
      <c r="S22" s="6">
        <v>3000</v>
      </c>
      <c r="T22" s="6">
        <v>3000</v>
      </c>
      <c r="U22" s="6">
        <v>2000</v>
      </c>
      <c r="V22" s="6">
        <v>0</v>
      </c>
      <c r="W22" s="6">
        <v>0</v>
      </c>
      <c r="X22" s="6">
        <v>3000</v>
      </c>
      <c r="Y22" s="6">
        <v>3000</v>
      </c>
      <c r="Z22" s="6"/>
      <c r="AA22" s="6"/>
    </row>
    <row r="23" spans="1:32" x14ac:dyDescent="0.25">
      <c r="A23" s="33">
        <v>41698</v>
      </c>
      <c r="B23" s="30">
        <v>32423</v>
      </c>
      <c r="C23" s="6">
        <v>0</v>
      </c>
      <c r="D23" s="6">
        <v>0</v>
      </c>
      <c r="E23" s="6">
        <v>0</v>
      </c>
      <c r="F23" s="6">
        <v>1000</v>
      </c>
      <c r="G23" s="6">
        <v>3000</v>
      </c>
      <c r="H23" s="6">
        <v>0</v>
      </c>
      <c r="I23" s="6">
        <v>3000</v>
      </c>
      <c r="J23" s="6">
        <v>0</v>
      </c>
      <c r="K23" s="6">
        <v>3000</v>
      </c>
      <c r="L23" s="6">
        <v>500</v>
      </c>
      <c r="M23" s="6">
        <v>500</v>
      </c>
      <c r="N23" s="6">
        <v>0</v>
      </c>
      <c r="O23" s="6">
        <v>1000</v>
      </c>
      <c r="P23" s="6">
        <v>0</v>
      </c>
      <c r="Q23" s="6">
        <v>3000</v>
      </c>
      <c r="R23" s="6">
        <v>1000</v>
      </c>
      <c r="S23" s="6">
        <v>3000</v>
      </c>
      <c r="T23" s="6">
        <v>3000</v>
      </c>
      <c r="U23" s="6">
        <v>2000</v>
      </c>
      <c r="V23" s="6">
        <v>0</v>
      </c>
      <c r="W23" s="6">
        <v>2000</v>
      </c>
      <c r="X23" s="6">
        <v>3000</v>
      </c>
      <c r="Y23" s="6">
        <v>3000</v>
      </c>
      <c r="Z23" s="6"/>
      <c r="AA23" s="6"/>
      <c r="AF23">
        <v>1</v>
      </c>
    </row>
    <row r="24" spans="1:32" x14ac:dyDescent="0.25">
      <c r="A24" s="33">
        <v>41713</v>
      </c>
      <c r="B24" s="30">
        <v>23423</v>
      </c>
      <c r="C24" s="6">
        <v>0</v>
      </c>
      <c r="D24" s="6">
        <v>0</v>
      </c>
      <c r="E24" s="6">
        <v>0</v>
      </c>
      <c r="F24" s="6">
        <v>2000</v>
      </c>
      <c r="G24" s="6">
        <v>3000</v>
      </c>
      <c r="H24" s="6">
        <v>0</v>
      </c>
      <c r="I24" s="6">
        <v>3000</v>
      </c>
      <c r="J24" s="6">
        <v>0</v>
      </c>
      <c r="K24" s="6">
        <v>3000</v>
      </c>
      <c r="L24" s="6">
        <v>500</v>
      </c>
      <c r="M24" s="6">
        <v>500</v>
      </c>
      <c r="N24" s="6">
        <v>0</v>
      </c>
      <c r="O24" s="6">
        <v>0</v>
      </c>
      <c r="P24" s="6">
        <v>0</v>
      </c>
      <c r="Q24" s="6">
        <v>3000</v>
      </c>
      <c r="R24" s="6">
        <v>0</v>
      </c>
      <c r="S24" s="6">
        <v>0</v>
      </c>
      <c r="T24" s="6">
        <v>3000</v>
      </c>
      <c r="U24" s="6">
        <v>2000</v>
      </c>
      <c r="V24" s="6">
        <v>0</v>
      </c>
      <c r="W24" s="6">
        <v>0</v>
      </c>
      <c r="X24" s="6">
        <v>3000</v>
      </c>
      <c r="Y24" s="6">
        <v>3000</v>
      </c>
      <c r="Z24" s="6"/>
      <c r="AA24" s="6"/>
    </row>
    <row r="25" spans="1:32" x14ac:dyDescent="0.25">
      <c r="A25" s="33">
        <v>41728</v>
      </c>
      <c r="B25" s="30">
        <v>2342</v>
      </c>
      <c r="C25" s="6">
        <v>0</v>
      </c>
      <c r="D25" s="6">
        <v>0</v>
      </c>
      <c r="E25" s="6">
        <v>0</v>
      </c>
      <c r="F25" s="6">
        <v>1000</v>
      </c>
      <c r="G25" s="6">
        <v>3000</v>
      </c>
      <c r="H25" s="6">
        <v>0</v>
      </c>
      <c r="I25" s="6">
        <v>3000</v>
      </c>
      <c r="J25" s="6">
        <v>0</v>
      </c>
      <c r="K25" s="6">
        <v>3000</v>
      </c>
      <c r="L25" s="6">
        <v>500</v>
      </c>
      <c r="M25" s="6">
        <v>1000</v>
      </c>
      <c r="N25" s="6">
        <v>0</v>
      </c>
      <c r="O25" s="6">
        <v>1000</v>
      </c>
      <c r="P25" s="6">
        <v>0</v>
      </c>
      <c r="Q25" s="6">
        <v>3000</v>
      </c>
      <c r="R25" s="6">
        <v>0</v>
      </c>
      <c r="S25" s="6">
        <v>3000</v>
      </c>
      <c r="T25" s="6">
        <v>3000</v>
      </c>
      <c r="U25" s="6">
        <v>2000</v>
      </c>
      <c r="V25" s="6">
        <v>0</v>
      </c>
      <c r="W25" s="6">
        <v>3000</v>
      </c>
      <c r="X25" s="6">
        <v>3000</v>
      </c>
      <c r="Y25" s="6">
        <v>3000</v>
      </c>
      <c r="Z25" s="6"/>
      <c r="AA25" s="6"/>
    </row>
    <row r="26" spans="1:32" x14ac:dyDescent="0.25">
      <c r="A26" s="33">
        <v>41744</v>
      </c>
      <c r="B26" s="30">
        <v>234324</v>
      </c>
      <c r="C26" s="6">
        <v>0</v>
      </c>
      <c r="D26" s="6">
        <v>0</v>
      </c>
      <c r="E26" s="6">
        <v>0</v>
      </c>
      <c r="F26" s="6">
        <v>1000</v>
      </c>
      <c r="G26" s="6">
        <v>3000</v>
      </c>
      <c r="H26" s="6">
        <v>0</v>
      </c>
      <c r="I26" s="6">
        <v>3000</v>
      </c>
      <c r="J26" s="6">
        <v>0</v>
      </c>
      <c r="K26" s="6">
        <v>3000</v>
      </c>
      <c r="L26" s="6">
        <v>500</v>
      </c>
      <c r="M26" s="6">
        <v>1000</v>
      </c>
      <c r="N26" s="6">
        <v>0</v>
      </c>
      <c r="O26" s="6">
        <v>1000</v>
      </c>
      <c r="P26" s="6">
        <v>0</v>
      </c>
      <c r="Q26" s="6">
        <v>3000</v>
      </c>
      <c r="R26" s="6">
        <v>0</v>
      </c>
      <c r="S26" s="6">
        <v>3000</v>
      </c>
      <c r="T26" s="6">
        <v>3000</v>
      </c>
      <c r="U26" s="6">
        <v>2000</v>
      </c>
      <c r="V26" s="6">
        <v>0</v>
      </c>
      <c r="W26" s="6">
        <v>0</v>
      </c>
      <c r="X26" s="6">
        <v>3000</v>
      </c>
      <c r="Y26" s="6">
        <v>3000</v>
      </c>
      <c r="Z26" s="6"/>
      <c r="AA26" s="6"/>
    </row>
    <row r="27" spans="1:32" x14ac:dyDescent="0.25">
      <c r="A27" s="33">
        <v>41759</v>
      </c>
      <c r="B27" s="30">
        <v>23432</v>
      </c>
      <c r="C27" s="6">
        <v>0</v>
      </c>
      <c r="D27" s="6">
        <v>0</v>
      </c>
      <c r="E27" s="6">
        <v>0</v>
      </c>
      <c r="F27" s="6">
        <v>1000</v>
      </c>
      <c r="G27" s="6">
        <v>3000</v>
      </c>
      <c r="H27" s="6">
        <v>0</v>
      </c>
      <c r="I27" s="6">
        <v>3000</v>
      </c>
      <c r="J27" s="6">
        <v>0</v>
      </c>
      <c r="K27" s="6">
        <v>3000</v>
      </c>
      <c r="L27" s="6">
        <v>0</v>
      </c>
      <c r="M27" s="6">
        <v>1000</v>
      </c>
      <c r="N27" s="6">
        <v>0</v>
      </c>
      <c r="O27" s="6">
        <v>1000</v>
      </c>
      <c r="P27" s="6">
        <v>0</v>
      </c>
      <c r="Q27" s="6">
        <v>0</v>
      </c>
      <c r="R27" s="6">
        <v>0</v>
      </c>
      <c r="S27" s="6">
        <v>2000</v>
      </c>
      <c r="T27" s="6">
        <v>3000</v>
      </c>
      <c r="U27" s="6">
        <v>2000</v>
      </c>
      <c r="V27" s="6">
        <v>0</v>
      </c>
      <c r="W27" s="6">
        <v>1000</v>
      </c>
      <c r="X27" s="6">
        <v>3000</v>
      </c>
      <c r="Y27" s="6">
        <v>3000</v>
      </c>
      <c r="Z27" s="6"/>
      <c r="AA27" s="6"/>
    </row>
    <row r="28" spans="1:32" x14ac:dyDescent="0.25">
      <c r="A28" s="33">
        <v>41774</v>
      </c>
      <c r="B28" s="30">
        <v>234234</v>
      </c>
      <c r="C28" s="6">
        <v>0</v>
      </c>
      <c r="D28" s="6">
        <v>0</v>
      </c>
      <c r="E28" s="6">
        <v>1000</v>
      </c>
      <c r="F28" s="6">
        <v>1000</v>
      </c>
      <c r="G28" s="6">
        <v>3000</v>
      </c>
      <c r="H28" s="6">
        <v>0</v>
      </c>
      <c r="I28" s="6">
        <v>0</v>
      </c>
      <c r="J28" s="6">
        <v>0</v>
      </c>
      <c r="K28" s="6">
        <v>3000</v>
      </c>
      <c r="L28" s="6">
        <v>500</v>
      </c>
      <c r="M28" s="6">
        <v>1000</v>
      </c>
      <c r="N28" s="6">
        <v>0</v>
      </c>
      <c r="O28" s="6">
        <v>1000</v>
      </c>
      <c r="P28" s="6">
        <v>0</v>
      </c>
      <c r="Q28" s="6">
        <v>0</v>
      </c>
      <c r="R28" s="6">
        <v>0</v>
      </c>
      <c r="S28" s="6">
        <v>0</v>
      </c>
      <c r="T28" s="6">
        <v>3000</v>
      </c>
      <c r="U28" s="6">
        <v>0</v>
      </c>
      <c r="V28" s="6">
        <v>2000</v>
      </c>
      <c r="W28" s="6">
        <v>0</v>
      </c>
      <c r="X28" s="6">
        <v>3000</v>
      </c>
      <c r="Y28" s="6">
        <v>3000</v>
      </c>
      <c r="Z28" s="6"/>
      <c r="AA28" s="6"/>
    </row>
    <row r="29" spans="1:32" x14ac:dyDescent="0.25">
      <c r="A29" s="33">
        <v>41789</v>
      </c>
      <c r="B29" s="30">
        <v>23423423</v>
      </c>
      <c r="C29" s="6">
        <v>0</v>
      </c>
      <c r="D29" s="6">
        <v>0</v>
      </c>
      <c r="E29" s="6">
        <v>1000</v>
      </c>
      <c r="F29" s="6">
        <v>21000</v>
      </c>
      <c r="G29" s="6">
        <v>3000</v>
      </c>
      <c r="H29" s="6">
        <v>0</v>
      </c>
      <c r="I29" s="6">
        <v>26861</v>
      </c>
      <c r="J29" s="6">
        <v>-5829</v>
      </c>
      <c r="K29" s="6">
        <v>52662</v>
      </c>
      <c r="L29" s="6">
        <v>500</v>
      </c>
      <c r="M29" s="6">
        <v>11000</v>
      </c>
      <c r="N29" s="6">
        <v>0</v>
      </c>
      <c r="O29" s="6">
        <v>2919</v>
      </c>
      <c r="P29" s="6">
        <v>0</v>
      </c>
      <c r="Q29" s="6">
        <v>4908</v>
      </c>
      <c r="R29" s="6">
        <v>2611</v>
      </c>
      <c r="S29" s="6">
        <v>41124</v>
      </c>
      <c r="T29" s="6">
        <v>18000</v>
      </c>
      <c r="U29" s="6">
        <v>13235</v>
      </c>
      <c r="V29" s="6">
        <v>7543</v>
      </c>
      <c r="W29" s="6">
        <v>8662</v>
      </c>
      <c r="X29" s="6">
        <v>18367</v>
      </c>
      <c r="Y29" s="6">
        <v>18618</v>
      </c>
      <c r="Z29" s="6"/>
      <c r="AA29" s="6"/>
    </row>
    <row r="30" spans="1:32" ht="15.75" thickBot="1" x14ac:dyDescent="0.3">
      <c r="A30" s="34">
        <v>41805</v>
      </c>
      <c r="B30" s="31">
        <v>234234</v>
      </c>
      <c r="C30" s="6">
        <v>0</v>
      </c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</row>
    <row r="31" spans="1:32" ht="15.75" thickBot="1" x14ac:dyDescent="0.3">
      <c r="A31" s="29" t="s">
        <v>6</v>
      </c>
      <c r="B31">
        <f>SUM(B19:B30)</f>
        <v>24524350</v>
      </c>
      <c r="C31">
        <f t="shared" ref="C31" si="1">SUM(C19:C30)</f>
        <v>0</v>
      </c>
      <c r="D31">
        <f t="shared" ref="D31" si="2">SUM(D19:D30)</f>
        <v>900</v>
      </c>
      <c r="E31">
        <f t="shared" ref="E31" si="3">SUM(E19:E30)</f>
        <v>5500</v>
      </c>
      <c r="F31">
        <f t="shared" ref="F31" si="4">SUM(F19:F30)</f>
        <v>36000</v>
      </c>
      <c r="G31">
        <f t="shared" ref="G31" si="5">SUM(G19:G30)</f>
        <v>33000</v>
      </c>
      <c r="H31">
        <f t="shared" ref="H31" si="6">SUM(H19:H30)</f>
        <v>2000</v>
      </c>
      <c r="I31">
        <f t="shared" ref="I31" si="7">SUM(I19:I30)</f>
        <v>53861</v>
      </c>
      <c r="J31">
        <f t="shared" ref="J31" si="8">SUM(J19:J30)</f>
        <v>-5829</v>
      </c>
      <c r="K31">
        <f t="shared" ref="K31" si="9">SUM(K19:K30)</f>
        <v>82662</v>
      </c>
      <c r="L31">
        <f t="shared" ref="L31" si="10">SUM(L19:L30)</f>
        <v>4000</v>
      </c>
      <c r="M31">
        <f t="shared" ref="M31" si="11">SUM(M19:M30)</f>
        <v>18000</v>
      </c>
      <c r="N31">
        <f t="shared" ref="N31" si="12">SUM(N19:N30)</f>
        <v>0</v>
      </c>
      <c r="O31">
        <f t="shared" ref="O31" si="13">SUM(O19:O30)</f>
        <v>10419</v>
      </c>
      <c r="P31">
        <f t="shared" ref="P31" si="14">SUM(P19:P30)</f>
        <v>0</v>
      </c>
      <c r="Q31">
        <f t="shared" ref="Q31" si="15">SUM(Q19:Q30)</f>
        <v>28908</v>
      </c>
      <c r="R31">
        <f t="shared" ref="R31" si="16">SUM(R19:R30)</f>
        <v>4021</v>
      </c>
      <c r="S31">
        <f t="shared" ref="S31" si="17">SUM(S19:S30)</f>
        <v>64124</v>
      </c>
      <c r="T31">
        <f t="shared" ref="T31" si="18">SUM(T19:T30)</f>
        <v>48000</v>
      </c>
      <c r="U31">
        <f t="shared" ref="U31" si="19">SUM(U19:U30)</f>
        <v>31235</v>
      </c>
      <c r="V31">
        <f t="shared" ref="V31" si="20">SUM(V19:V30)</f>
        <v>13543</v>
      </c>
      <c r="W31">
        <f t="shared" ref="W31" si="21">SUM(W19:W30)</f>
        <v>14662</v>
      </c>
      <c r="X31">
        <f t="shared" ref="X31" si="22">SUM(X19:X30)</f>
        <v>48367</v>
      </c>
      <c r="Y31">
        <f t="shared" ref="Y31" si="23">SUM(Y19:Y30)</f>
        <v>48618</v>
      </c>
      <c r="Z31">
        <f t="shared" ref="Z31" si="24">SUM(Z19:Z30)</f>
        <v>0</v>
      </c>
      <c r="AA31">
        <f t="shared" ref="AA31" si="25">SUM(AA19:AA30)</f>
        <v>0</v>
      </c>
    </row>
    <row r="32" spans="1:32" ht="15.75" thickBot="1" x14ac:dyDescent="0.3">
      <c r="A32" s="40"/>
    </row>
    <row r="33" spans="1:27" ht="15.75" thickBot="1" x14ac:dyDescent="0.3">
      <c r="A33" s="25" t="s">
        <v>50</v>
      </c>
    </row>
    <row r="34" spans="1:27" ht="15.75" thickBot="1" x14ac:dyDescent="0.3">
      <c r="A34" s="26" t="s">
        <v>5</v>
      </c>
      <c r="B34" s="6" t="s">
        <v>48</v>
      </c>
      <c r="C34" s="27" t="s">
        <v>22</v>
      </c>
      <c r="D34" s="27" t="s">
        <v>23</v>
      </c>
      <c r="E34" s="28" t="s">
        <v>24</v>
      </c>
      <c r="F34" s="28" t="s">
        <v>25</v>
      </c>
      <c r="G34" s="28" t="s">
        <v>26</v>
      </c>
      <c r="H34" s="28" t="s">
        <v>27</v>
      </c>
      <c r="I34" s="28" t="s">
        <v>28</v>
      </c>
      <c r="J34" s="28" t="s">
        <v>29</v>
      </c>
      <c r="K34" s="28" t="s">
        <v>30</v>
      </c>
      <c r="L34" s="28" t="s">
        <v>21</v>
      </c>
      <c r="M34" s="28" t="s">
        <v>31</v>
      </c>
      <c r="N34" s="28" t="s">
        <v>32</v>
      </c>
      <c r="O34" s="28" t="s">
        <v>33</v>
      </c>
      <c r="P34" s="28" t="s">
        <v>34</v>
      </c>
      <c r="Q34" s="28" t="s">
        <v>35</v>
      </c>
      <c r="R34" s="28" t="s">
        <v>36</v>
      </c>
      <c r="S34" s="28" t="s">
        <v>37</v>
      </c>
      <c r="T34" s="28" t="s">
        <v>38</v>
      </c>
      <c r="U34" s="28" t="s">
        <v>7</v>
      </c>
      <c r="V34" s="28" t="s">
        <v>0</v>
      </c>
      <c r="W34" s="28" t="s">
        <v>39</v>
      </c>
      <c r="X34" s="28" t="s">
        <v>40</v>
      </c>
      <c r="Y34" s="28" t="s">
        <v>41</v>
      </c>
      <c r="Z34" s="28" t="s">
        <v>45</v>
      </c>
      <c r="AA34" s="28" t="s">
        <v>46</v>
      </c>
    </row>
    <row r="35" spans="1:27" x14ac:dyDescent="0.25">
      <c r="A35" s="32">
        <v>41820</v>
      </c>
      <c r="B35" s="30">
        <v>35435</v>
      </c>
      <c r="C35" s="6">
        <v>0</v>
      </c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</row>
    <row r="36" spans="1:27" x14ac:dyDescent="0.25">
      <c r="A36" s="33">
        <v>41835</v>
      </c>
      <c r="B36" s="30">
        <v>234234</v>
      </c>
      <c r="C36" s="6">
        <v>0</v>
      </c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</row>
    <row r="37" spans="1:27" x14ac:dyDescent="0.25">
      <c r="A37" s="33">
        <v>41850</v>
      </c>
      <c r="B37" s="30">
        <v>23423</v>
      </c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</row>
    <row r="38" spans="1:27" x14ac:dyDescent="0.25">
      <c r="A38" s="33">
        <v>41866</v>
      </c>
      <c r="B38" s="30">
        <v>23423</v>
      </c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</row>
    <row r="39" spans="1:27" x14ac:dyDescent="0.25">
      <c r="A39" s="33">
        <v>41881</v>
      </c>
      <c r="B39" s="30">
        <v>32423</v>
      </c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</row>
    <row r="40" spans="1:27" x14ac:dyDescent="0.25">
      <c r="A40" s="33">
        <v>41897</v>
      </c>
      <c r="B40" s="30">
        <v>23423</v>
      </c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</row>
    <row r="41" spans="1:27" x14ac:dyDescent="0.25">
      <c r="A41" s="33">
        <v>41912</v>
      </c>
      <c r="B41" s="30">
        <v>2342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</row>
    <row r="42" spans="1:27" x14ac:dyDescent="0.25">
      <c r="A42" s="33">
        <v>41927</v>
      </c>
      <c r="B42" s="30">
        <v>234324</v>
      </c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</row>
    <row r="43" spans="1:27" x14ac:dyDescent="0.25">
      <c r="A43" s="33">
        <v>41942</v>
      </c>
      <c r="B43" s="30">
        <v>23432</v>
      </c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</row>
    <row r="44" spans="1:27" x14ac:dyDescent="0.25">
      <c r="A44" s="33">
        <v>41958</v>
      </c>
      <c r="B44" s="30">
        <v>234234</v>
      </c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</row>
    <row r="45" spans="1:27" x14ac:dyDescent="0.25">
      <c r="A45" s="33">
        <v>41973</v>
      </c>
      <c r="B45" s="30">
        <v>23423423</v>
      </c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</row>
    <row r="46" spans="1:27" ht="15.75" thickBot="1" x14ac:dyDescent="0.3">
      <c r="A46" s="34">
        <v>41623</v>
      </c>
      <c r="B46" s="31">
        <v>234234</v>
      </c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</row>
    <row r="47" spans="1:27" ht="15.75" thickBot="1" x14ac:dyDescent="0.3">
      <c r="A47" s="29" t="s">
        <v>6</v>
      </c>
      <c r="B47">
        <f t="shared" ref="B47:AA47" si="26">SUM(B35:B46)</f>
        <v>24524350</v>
      </c>
      <c r="C47">
        <f t="shared" si="26"/>
        <v>0</v>
      </c>
      <c r="D47">
        <f t="shared" si="26"/>
        <v>0</v>
      </c>
      <c r="E47">
        <f t="shared" si="26"/>
        <v>0</v>
      </c>
      <c r="F47">
        <f t="shared" si="26"/>
        <v>0</v>
      </c>
      <c r="G47">
        <f t="shared" si="26"/>
        <v>0</v>
      </c>
      <c r="H47">
        <f t="shared" si="26"/>
        <v>0</v>
      </c>
      <c r="I47">
        <f t="shared" si="26"/>
        <v>0</v>
      </c>
      <c r="J47">
        <f t="shared" si="26"/>
        <v>0</v>
      </c>
      <c r="K47">
        <f t="shared" si="26"/>
        <v>0</v>
      </c>
      <c r="L47">
        <f t="shared" si="26"/>
        <v>0</v>
      </c>
      <c r="M47">
        <f t="shared" si="26"/>
        <v>0</v>
      </c>
      <c r="N47">
        <f t="shared" si="26"/>
        <v>0</v>
      </c>
      <c r="O47">
        <f t="shared" si="26"/>
        <v>0</v>
      </c>
      <c r="P47">
        <f t="shared" si="26"/>
        <v>0</v>
      </c>
      <c r="Q47">
        <f t="shared" si="26"/>
        <v>0</v>
      </c>
      <c r="R47">
        <f t="shared" si="26"/>
        <v>0</v>
      </c>
      <c r="S47">
        <f t="shared" si="26"/>
        <v>0</v>
      </c>
      <c r="T47">
        <f t="shared" si="26"/>
        <v>0</v>
      </c>
      <c r="U47">
        <f t="shared" si="26"/>
        <v>0</v>
      </c>
      <c r="V47">
        <f t="shared" si="26"/>
        <v>0</v>
      </c>
      <c r="W47">
        <f t="shared" si="26"/>
        <v>0</v>
      </c>
      <c r="X47">
        <f t="shared" si="26"/>
        <v>0</v>
      </c>
      <c r="Y47">
        <f t="shared" si="26"/>
        <v>0</v>
      </c>
      <c r="Z47">
        <f t="shared" si="26"/>
        <v>0</v>
      </c>
      <c r="AA47">
        <f t="shared" si="26"/>
        <v>0</v>
      </c>
    </row>
    <row r="49" spans="1:1" x14ac:dyDescent="0.25">
      <c r="A49" s="36">
        <v>2020</v>
      </c>
    </row>
    <row r="50" spans="1:1" x14ac:dyDescent="0.25">
      <c r="A50" s="20" t="s">
        <v>57</v>
      </c>
    </row>
    <row r="51" spans="1:1" x14ac:dyDescent="0.25">
      <c r="A51" s="37" t="s">
        <v>57</v>
      </c>
    </row>
    <row r="52" spans="1:1" x14ac:dyDescent="0.25">
      <c r="A52" s="37" t="s">
        <v>57</v>
      </c>
    </row>
    <row r="53" spans="1:1" x14ac:dyDescent="0.25">
      <c r="A53" s="37" t="s">
        <v>57</v>
      </c>
    </row>
    <row r="54" spans="1:1" x14ac:dyDescent="0.25">
      <c r="A54" s="37" t="s">
        <v>57</v>
      </c>
    </row>
    <row r="55" spans="1:1" x14ac:dyDescent="0.25">
      <c r="A55" s="37" t="s">
        <v>57</v>
      </c>
    </row>
    <row r="56" spans="1:1" x14ac:dyDescent="0.25">
      <c r="A56" s="37" t="s">
        <v>57</v>
      </c>
    </row>
    <row r="57" spans="1:1" x14ac:dyDescent="0.25">
      <c r="A57" s="37" t="s">
        <v>57</v>
      </c>
    </row>
    <row r="58" spans="1:1" x14ac:dyDescent="0.25">
      <c r="A58" s="37" t="s">
        <v>57</v>
      </c>
    </row>
    <row r="59" spans="1:1" x14ac:dyDescent="0.25">
      <c r="A59" s="37" t="s">
        <v>57</v>
      </c>
    </row>
    <row r="60" spans="1:1" x14ac:dyDescent="0.25">
      <c r="A60" s="37" t="s">
        <v>57</v>
      </c>
    </row>
    <row r="61" spans="1:1" x14ac:dyDescent="0.25">
      <c r="A61" s="37" t="s">
        <v>57</v>
      </c>
    </row>
    <row r="62" spans="1:1" x14ac:dyDescent="0.25">
      <c r="A62" s="37" t="s">
        <v>57</v>
      </c>
    </row>
    <row r="63" spans="1:1" x14ac:dyDescent="0.25">
      <c r="A63" s="38" t="s">
        <v>6</v>
      </c>
    </row>
    <row r="64" spans="1:1" x14ac:dyDescent="0.25">
      <c r="A64" s="39"/>
    </row>
    <row r="65" spans="1:32" x14ac:dyDescent="0.25">
      <c r="A65" s="36">
        <v>2021</v>
      </c>
    </row>
    <row r="66" spans="1:32" x14ac:dyDescent="0.25">
      <c r="A66" s="20" t="s">
        <v>57</v>
      </c>
    </row>
    <row r="67" spans="1:32" x14ac:dyDescent="0.25">
      <c r="A67" s="37" t="s">
        <v>57</v>
      </c>
      <c r="AF67" s="3"/>
    </row>
    <row r="68" spans="1:32" x14ac:dyDescent="0.25">
      <c r="A68" s="37" t="s">
        <v>57</v>
      </c>
      <c r="AF68" s="3"/>
    </row>
    <row r="69" spans="1:32" x14ac:dyDescent="0.25">
      <c r="A69" s="37" t="s">
        <v>57</v>
      </c>
      <c r="AF69" s="3"/>
    </row>
    <row r="70" spans="1:32" x14ac:dyDescent="0.25">
      <c r="A70" s="37" t="s">
        <v>57</v>
      </c>
      <c r="AF70" s="3"/>
    </row>
    <row r="71" spans="1:32" x14ac:dyDescent="0.25">
      <c r="A71" s="37" t="s">
        <v>57</v>
      </c>
      <c r="AF71" s="3"/>
    </row>
    <row r="72" spans="1:32" x14ac:dyDescent="0.25">
      <c r="A72" s="37" t="s">
        <v>57</v>
      </c>
    </row>
    <row r="73" spans="1:32" x14ac:dyDescent="0.25">
      <c r="A73" s="37" t="s">
        <v>57</v>
      </c>
      <c r="AF73" s="3"/>
    </row>
    <row r="74" spans="1:32" x14ac:dyDescent="0.25">
      <c r="A74" s="37" t="s">
        <v>57</v>
      </c>
      <c r="AF74" s="3"/>
    </row>
    <row r="75" spans="1:32" x14ac:dyDescent="0.25">
      <c r="A75" s="37" t="s">
        <v>57</v>
      </c>
      <c r="AF75" s="3"/>
    </row>
    <row r="76" spans="1:32" x14ac:dyDescent="0.25">
      <c r="A76" s="37" t="s">
        <v>57</v>
      </c>
      <c r="AF76" s="3"/>
    </row>
    <row r="77" spans="1:32" x14ac:dyDescent="0.25">
      <c r="A77" s="37" t="s">
        <v>57</v>
      </c>
      <c r="AF77" s="3"/>
    </row>
    <row r="78" spans="1:32" x14ac:dyDescent="0.25">
      <c r="A78" s="37" t="s">
        <v>57</v>
      </c>
      <c r="AF78" s="3"/>
    </row>
    <row r="79" spans="1:32" x14ac:dyDescent="0.25">
      <c r="A79" s="38" t="s">
        <v>6</v>
      </c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AF79" s="3"/>
    </row>
    <row r="80" spans="1:32" x14ac:dyDescent="0.25">
      <c r="A80" s="39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AF80" s="3"/>
    </row>
    <row r="81" spans="1:32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AF81" s="3"/>
    </row>
    <row r="82" spans="1:32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AF82" s="3"/>
    </row>
    <row r="83" spans="1:32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AF83" s="3"/>
    </row>
    <row r="84" spans="1:32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AF84" s="3"/>
    </row>
    <row r="85" spans="1:3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AF85" s="3"/>
    </row>
    <row r="86" spans="1:3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AF86" s="3"/>
    </row>
    <row r="87" spans="1:3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AF87" s="3"/>
    </row>
    <row r="88" spans="1:3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AF88" s="3"/>
    </row>
    <row r="89" spans="1:3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AF89" s="3"/>
    </row>
    <row r="90" spans="1:3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AF90" s="3"/>
    </row>
    <row r="91" spans="1:3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AF91" s="3"/>
    </row>
    <row r="92" spans="1:3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AF92" s="3"/>
    </row>
    <row r="93" spans="1:3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N93" t="s">
        <v>51</v>
      </c>
      <c r="AF93" s="3"/>
    </row>
    <row r="94" spans="1:3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N94" t="s">
        <v>55</v>
      </c>
      <c r="AF94" s="3"/>
    </row>
    <row r="95" spans="1:3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N95" t="s">
        <v>56</v>
      </c>
      <c r="AF95" s="3"/>
    </row>
    <row r="96" spans="1:3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AF96" s="3"/>
    </row>
    <row r="97" spans="1:3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AF97" s="3"/>
    </row>
    <row r="98" spans="1:32" x14ac:dyDescent="0.25">
      <c r="A98" s="8"/>
      <c r="B98" s="8"/>
      <c r="C98" s="8"/>
      <c r="D98" s="8"/>
      <c r="E98" s="8"/>
      <c r="F98" s="8"/>
      <c r="G98" s="8"/>
      <c r="H98" s="8"/>
      <c r="I98" s="8"/>
      <c r="J98" s="8"/>
      <c r="AF98" s="3"/>
    </row>
    <row r="99" spans="1:32" x14ac:dyDescent="0.25">
      <c r="A99" s="2" t="s">
        <v>3</v>
      </c>
      <c r="B99" s="2" t="s">
        <v>53</v>
      </c>
      <c r="C99">
        <f>COUNTA(C2:AB2)</f>
        <v>25</v>
      </c>
      <c r="E99" s="2" t="s">
        <v>18</v>
      </c>
      <c r="F99" s="2" t="s">
        <v>52</v>
      </c>
      <c r="G99" s="2" t="s">
        <v>54</v>
      </c>
      <c r="H99" s="2"/>
      <c r="I99" s="2"/>
      <c r="K99">
        <f>COUNTA(A2:A95)</f>
        <v>74</v>
      </c>
      <c r="AF99" s="3"/>
    </row>
    <row r="100" spans="1:32" x14ac:dyDescent="0.25">
      <c r="A100" t="s">
        <v>22</v>
      </c>
      <c r="B100" t="s">
        <v>51</v>
      </c>
      <c r="C100" t="s">
        <v>1</v>
      </c>
      <c r="E100">
        <v>16</v>
      </c>
      <c r="F100">
        <f>COUNTA(B100:B115)</f>
        <v>5</v>
      </c>
      <c r="G100">
        <f>E100 * F100</f>
        <v>80</v>
      </c>
      <c r="AF100" s="3"/>
    </row>
    <row r="101" spans="1:32" x14ac:dyDescent="0.25">
      <c r="A101" t="s">
        <v>23</v>
      </c>
      <c r="B101" t="s">
        <v>55</v>
      </c>
      <c r="C101" t="s">
        <v>4</v>
      </c>
      <c r="AF101" s="3"/>
    </row>
    <row r="102" spans="1:32" x14ac:dyDescent="0.25">
      <c r="A102" t="s">
        <v>24</v>
      </c>
      <c r="B102" t="s">
        <v>56</v>
      </c>
      <c r="C102" t="s">
        <v>2</v>
      </c>
      <c r="AF102" s="3"/>
    </row>
    <row r="103" spans="1:32" x14ac:dyDescent="0.25">
      <c r="A103" t="s">
        <v>25</v>
      </c>
      <c r="B103">
        <v>2020</v>
      </c>
      <c r="AF103" s="3"/>
    </row>
    <row r="104" spans="1:32" x14ac:dyDescent="0.25">
      <c r="A104" t="s">
        <v>26</v>
      </c>
      <c r="B104">
        <v>2021</v>
      </c>
      <c r="AF104" s="3"/>
    </row>
    <row r="105" spans="1:32" x14ac:dyDescent="0.25">
      <c r="A105" t="s">
        <v>27</v>
      </c>
      <c r="AF105" s="3"/>
    </row>
    <row r="106" spans="1:32" x14ac:dyDescent="0.25">
      <c r="A106" t="s">
        <v>28</v>
      </c>
      <c r="AF106" s="3"/>
    </row>
    <row r="107" spans="1:32" x14ac:dyDescent="0.25">
      <c r="A107" t="s">
        <v>29</v>
      </c>
      <c r="AF107" s="3"/>
    </row>
    <row r="108" spans="1:32" x14ac:dyDescent="0.25">
      <c r="A108" t="s">
        <v>30</v>
      </c>
      <c r="AF108" s="3"/>
    </row>
    <row r="109" spans="1:32" x14ac:dyDescent="0.25">
      <c r="A109" t="s">
        <v>21</v>
      </c>
      <c r="AF109" s="3"/>
    </row>
    <row r="110" spans="1:32" x14ac:dyDescent="0.25">
      <c r="A110" t="s">
        <v>31</v>
      </c>
      <c r="AF110" s="3"/>
    </row>
    <row r="111" spans="1:32" x14ac:dyDescent="0.25">
      <c r="A111" t="s">
        <v>32</v>
      </c>
      <c r="AF111" s="3"/>
    </row>
    <row r="112" spans="1:32" x14ac:dyDescent="0.25">
      <c r="A112" t="s">
        <v>33</v>
      </c>
      <c r="AF112" s="3"/>
    </row>
    <row r="113" spans="1:32" x14ac:dyDescent="0.25">
      <c r="A113" t="s">
        <v>34</v>
      </c>
      <c r="AF113" s="3"/>
    </row>
    <row r="114" spans="1:32" x14ac:dyDescent="0.25">
      <c r="A114" t="s">
        <v>35</v>
      </c>
      <c r="AF114" s="3"/>
    </row>
    <row r="115" spans="1:32" x14ac:dyDescent="0.25">
      <c r="A115" t="s">
        <v>36</v>
      </c>
      <c r="AF115" s="3"/>
    </row>
    <row r="116" spans="1:32" x14ac:dyDescent="0.25">
      <c r="A116" t="s">
        <v>37</v>
      </c>
      <c r="AF116" s="3"/>
    </row>
    <row r="117" spans="1:32" x14ac:dyDescent="0.25">
      <c r="A117" t="s">
        <v>38</v>
      </c>
      <c r="AF117" s="3"/>
    </row>
    <row r="118" spans="1:32" x14ac:dyDescent="0.25">
      <c r="A118" t="s">
        <v>7</v>
      </c>
      <c r="AF118" s="3"/>
    </row>
    <row r="119" spans="1:32" x14ac:dyDescent="0.25">
      <c r="A119" t="s">
        <v>0</v>
      </c>
      <c r="AF119" s="3"/>
    </row>
    <row r="120" spans="1:32" x14ac:dyDescent="0.25">
      <c r="A120" t="s">
        <v>39</v>
      </c>
      <c r="AF120" s="3"/>
    </row>
    <row r="121" spans="1:32" x14ac:dyDescent="0.25">
      <c r="A121" t="s">
        <v>40</v>
      </c>
      <c r="AF121" s="4"/>
    </row>
    <row r="122" spans="1:32" x14ac:dyDescent="0.25">
      <c r="A122" t="s">
        <v>41</v>
      </c>
      <c r="AF122" s="4"/>
    </row>
    <row r="123" spans="1:32" x14ac:dyDescent="0.25">
      <c r="A123" t="s">
        <v>45</v>
      </c>
      <c r="AF123" s="4"/>
    </row>
    <row r="124" spans="1:32" x14ac:dyDescent="0.25">
      <c r="A124" t="s">
        <v>47</v>
      </c>
      <c r="AF124" s="4"/>
    </row>
    <row r="125" spans="1:32" x14ac:dyDescent="0.25">
      <c r="AF125" s="4"/>
    </row>
    <row r="126" spans="1:32" x14ac:dyDescent="0.25">
      <c r="AF126" s="4"/>
    </row>
    <row r="127" spans="1:32" x14ac:dyDescent="0.25">
      <c r="AF127" s="4"/>
    </row>
    <row r="128" spans="1:32" x14ac:dyDescent="0.25">
      <c r="AF128" s="4"/>
    </row>
    <row r="129" spans="32:32" x14ac:dyDescent="0.25">
      <c r="AF129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A2"/>
  <sheetViews>
    <sheetView workbookViewId="0">
      <selection activeCell="C3" sqref="C3"/>
    </sheetView>
  </sheetViews>
  <sheetFormatPr defaultRowHeight="15" x14ac:dyDescent="0.25"/>
  <sheetData>
    <row r="2" spans="27:27" x14ac:dyDescent="0.25">
      <c r="AA2" s="2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C148"/>
  <sheetViews>
    <sheetView workbookViewId="0">
      <pane ySplit="2" topLeftCell="A3" activePane="bottomLeft" state="frozen"/>
      <selection pane="bottomLeft" activeCell="D102" sqref="D102"/>
    </sheetView>
  </sheetViews>
  <sheetFormatPr defaultRowHeight="15" x14ac:dyDescent="0.25"/>
  <cols>
    <col min="1" max="1" width="13" customWidth="1"/>
    <col min="2" max="2" width="9.28515625" bestFit="1" customWidth="1"/>
    <col min="3" max="3" width="16.5703125" customWidth="1"/>
    <col min="4" max="4" width="14.28515625" customWidth="1"/>
    <col min="5" max="5" width="17.140625" customWidth="1"/>
    <col min="6" max="6" width="16.7109375" customWidth="1"/>
    <col min="7" max="7" width="15.5703125" customWidth="1"/>
    <col min="8" max="8" width="13.5703125" customWidth="1"/>
    <col min="9" max="9" width="14.28515625" bestFit="1" customWidth="1"/>
    <col min="11" max="11" width="9.28515625" bestFit="1" customWidth="1"/>
    <col min="13" max="13" width="14.28515625" bestFit="1" customWidth="1"/>
    <col min="15" max="15" width="9.28515625" bestFit="1" customWidth="1"/>
    <col min="33" max="34" width="8.7109375" customWidth="1"/>
  </cols>
  <sheetData>
    <row r="1" spans="1:169" x14ac:dyDescent="0.25">
      <c r="A1" s="16" t="s">
        <v>42</v>
      </c>
      <c r="B1" s="6"/>
      <c r="C1" s="6"/>
      <c r="D1" s="6"/>
      <c r="E1" s="16" t="s">
        <v>43</v>
      </c>
      <c r="F1" s="6"/>
      <c r="G1" s="6"/>
      <c r="H1" s="6"/>
      <c r="I1" s="16" t="s">
        <v>44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169" x14ac:dyDescent="0.25">
      <c r="A2" s="6" t="s">
        <v>14</v>
      </c>
      <c r="B2" s="6" t="s">
        <v>15</v>
      </c>
      <c r="C2" s="6" t="s">
        <v>16</v>
      </c>
      <c r="D2" s="6" t="s">
        <v>8</v>
      </c>
      <c r="E2" s="6" t="s">
        <v>14</v>
      </c>
      <c r="F2" s="6" t="s">
        <v>15</v>
      </c>
      <c r="G2" s="6" t="s">
        <v>16</v>
      </c>
      <c r="H2" s="6" t="s">
        <v>8</v>
      </c>
      <c r="I2" s="6" t="s">
        <v>14</v>
      </c>
      <c r="J2" s="6" t="s">
        <v>15</v>
      </c>
      <c r="K2" s="6" t="s">
        <v>16</v>
      </c>
      <c r="L2" s="6" t="s">
        <v>8</v>
      </c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</row>
    <row r="3" spans="1:169" x14ac:dyDescent="0.25">
      <c r="A3" s="21">
        <v>43586.259375000001</v>
      </c>
      <c r="B3" s="6">
        <v>10000</v>
      </c>
      <c r="C3" s="22"/>
      <c r="D3" s="6">
        <v>10000</v>
      </c>
      <c r="E3" s="24">
        <v>43587.180451388886</v>
      </c>
      <c r="F3" s="7">
        <v>50000</v>
      </c>
      <c r="G3" s="22"/>
      <c r="H3" s="7">
        <v>50000</v>
      </c>
      <c r="I3" s="21">
        <v>43587.187615740739</v>
      </c>
      <c r="J3" s="6">
        <v>20000</v>
      </c>
      <c r="K3" s="22"/>
      <c r="L3" s="6">
        <v>20000</v>
      </c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</row>
    <row r="4" spans="1:169" x14ac:dyDescent="0.25">
      <c r="A4" s="21">
        <v>43586.259398148148</v>
      </c>
      <c r="B4" s="6">
        <v>0</v>
      </c>
      <c r="C4" s="23">
        <v>300</v>
      </c>
      <c r="D4" s="6">
        <v>10300</v>
      </c>
      <c r="E4" s="24">
        <v>43587.180474537039</v>
      </c>
      <c r="F4" s="7">
        <v>0</v>
      </c>
      <c r="G4" s="22">
        <v>1500</v>
      </c>
      <c r="H4" s="7">
        <v>53000</v>
      </c>
      <c r="I4" s="21">
        <v>43587.195613425924</v>
      </c>
      <c r="J4" s="6"/>
      <c r="K4" s="23">
        <v>600</v>
      </c>
      <c r="L4" s="6">
        <v>21200</v>
      </c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</row>
    <row r="5" spans="1:169" ht="15.75" customHeight="1" x14ac:dyDescent="0.25">
      <c r="A5" s="21">
        <v>43586.259699074071</v>
      </c>
      <c r="B5" s="6">
        <v>0</v>
      </c>
      <c r="C5" s="6"/>
      <c r="D5" s="6">
        <v>10000</v>
      </c>
      <c r="E5" s="24">
        <v>43587.180474537039</v>
      </c>
      <c r="F5" s="7">
        <v>0</v>
      </c>
      <c r="G5" s="22">
        <v>1500</v>
      </c>
      <c r="H5" s="7">
        <v>56000</v>
      </c>
      <c r="I5" s="21">
        <v>43587.206620370373</v>
      </c>
      <c r="J5" s="6"/>
      <c r="K5" s="6"/>
      <c r="L5" s="6">
        <v>20000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</row>
    <row r="6" spans="1:169" x14ac:dyDescent="0.25">
      <c r="A6" s="21">
        <v>43586.260092592594</v>
      </c>
      <c r="B6" s="6"/>
      <c r="C6" s="23">
        <v>300</v>
      </c>
      <c r="D6" s="6">
        <v>10300</v>
      </c>
      <c r="E6" s="24">
        <v>43587.180486111109</v>
      </c>
      <c r="F6" s="7">
        <v>0</v>
      </c>
      <c r="G6" s="22">
        <v>1500</v>
      </c>
      <c r="H6" s="7">
        <v>59000</v>
      </c>
      <c r="I6" s="21">
        <v>43587.206643518519</v>
      </c>
      <c r="J6" s="6"/>
      <c r="K6" s="22">
        <v>600</v>
      </c>
      <c r="L6" s="6">
        <v>21200</v>
      </c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</row>
    <row r="7" spans="1:169" x14ac:dyDescent="0.25">
      <c r="A7" s="21">
        <v>43586.26017361111</v>
      </c>
      <c r="B7" s="6"/>
      <c r="C7" s="6"/>
      <c r="D7" s="6">
        <v>10000</v>
      </c>
      <c r="E7" s="24">
        <v>43587.180509259262</v>
      </c>
      <c r="F7" s="7">
        <v>0</v>
      </c>
      <c r="G7" s="23">
        <v>1500</v>
      </c>
      <c r="H7" s="7">
        <v>62000</v>
      </c>
      <c r="I7" s="21">
        <v>43587.206666666665</v>
      </c>
      <c r="J7" s="6"/>
      <c r="K7" s="22">
        <v>600</v>
      </c>
      <c r="L7" s="6">
        <v>22400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</row>
    <row r="8" spans="1:169" x14ac:dyDescent="0.25">
      <c r="A8" s="21">
        <v>43586.260243055556</v>
      </c>
      <c r="B8" s="6">
        <v>-3000</v>
      </c>
      <c r="C8" s="22"/>
      <c r="D8" s="6">
        <v>7000</v>
      </c>
      <c r="E8" s="24">
        <v>43587.180567129632</v>
      </c>
      <c r="F8" s="7">
        <v>0</v>
      </c>
      <c r="G8" s="23"/>
      <c r="H8" s="7">
        <v>60500</v>
      </c>
      <c r="I8" s="21">
        <v>43587.206666666665</v>
      </c>
      <c r="J8" s="6"/>
      <c r="K8" s="23">
        <v>600</v>
      </c>
      <c r="L8" s="6">
        <v>23600</v>
      </c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</row>
    <row r="9" spans="1:169" x14ac:dyDescent="0.25">
      <c r="A9" s="24">
        <v>43586.260254629633</v>
      </c>
      <c r="B9" s="7">
        <v>0</v>
      </c>
      <c r="C9" s="23">
        <v>210</v>
      </c>
      <c r="D9" s="7">
        <v>7210</v>
      </c>
      <c r="E9" s="24">
        <v>43587.181747685187</v>
      </c>
      <c r="F9" s="7"/>
      <c r="G9" s="7"/>
      <c r="H9" s="7">
        <v>56000</v>
      </c>
      <c r="I9" s="21">
        <v>43587.206712962965</v>
      </c>
      <c r="J9" s="6"/>
      <c r="K9" s="23"/>
      <c r="L9" s="6">
        <v>21600</v>
      </c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</row>
    <row r="10" spans="1:169" x14ac:dyDescent="0.25">
      <c r="A10" s="24">
        <v>43586.260347222225</v>
      </c>
      <c r="B10" s="7">
        <v>0</v>
      </c>
      <c r="C10" s="7"/>
      <c r="D10" s="7">
        <v>7000</v>
      </c>
      <c r="E10" s="24">
        <v>43587.181979166664</v>
      </c>
      <c r="F10" s="7"/>
      <c r="G10" s="23">
        <v>1500</v>
      </c>
      <c r="H10" s="7">
        <v>59000</v>
      </c>
      <c r="I10" s="24">
        <v>43587.206747685188</v>
      </c>
      <c r="J10" s="6"/>
      <c r="K10" s="6"/>
      <c r="L10" s="6">
        <v>20000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</row>
    <row r="11" spans="1:169" x14ac:dyDescent="0.25">
      <c r="A11" s="24">
        <v>43586.952615740738</v>
      </c>
      <c r="B11" s="7"/>
      <c r="C11" s="23">
        <v>210</v>
      </c>
      <c r="D11" s="7">
        <v>7210</v>
      </c>
      <c r="E11" s="24">
        <v>43587.182164351849</v>
      </c>
      <c r="F11" s="7"/>
      <c r="G11" s="7"/>
      <c r="H11" s="7">
        <v>57500</v>
      </c>
      <c r="I11" s="24">
        <v>43587.206805555557</v>
      </c>
      <c r="J11" s="7">
        <v>-5000</v>
      </c>
      <c r="K11" s="22"/>
      <c r="L11" s="7">
        <v>15000</v>
      </c>
      <c r="M11" s="7"/>
      <c r="N11" s="7"/>
      <c r="O11" s="7"/>
      <c r="P11" s="7"/>
      <c r="Q11" s="7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</row>
    <row r="12" spans="1:169" s="18" customFormat="1" x14ac:dyDescent="0.25">
      <c r="A12" s="24">
        <v>43586.952766203707</v>
      </c>
      <c r="B12" s="7"/>
      <c r="C12" s="7"/>
      <c r="D12" s="7">
        <v>7000</v>
      </c>
      <c r="E12" s="24">
        <v>43587.182233796295</v>
      </c>
      <c r="F12" s="7"/>
      <c r="G12" s="23">
        <v>1500</v>
      </c>
      <c r="H12" s="7">
        <v>60500</v>
      </c>
      <c r="I12" s="24">
        <v>43587.206817129627</v>
      </c>
      <c r="J12" s="7">
        <v>0</v>
      </c>
      <c r="K12" s="22">
        <v>450</v>
      </c>
      <c r="L12" s="7">
        <v>15900</v>
      </c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</row>
    <row r="13" spans="1:169" x14ac:dyDescent="0.25">
      <c r="A13" s="21">
        <v>43586.952800925923</v>
      </c>
      <c r="B13" s="6"/>
      <c r="C13" s="23">
        <v>210</v>
      </c>
      <c r="D13" s="6">
        <v>7210</v>
      </c>
      <c r="E13" s="24">
        <v>43587.182303240741</v>
      </c>
      <c r="F13" s="7"/>
      <c r="G13" s="7"/>
      <c r="H13" s="7">
        <v>59000</v>
      </c>
      <c r="I13" s="21">
        <v>43587.20684027778</v>
      </c>
      <c r="J13" s="6">
        <v>0</v>
      </c>
      <c r="K13" s="23">
        <v>450</v>
      </c>
      <c r="L13" s="6">
        <v>16800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</row>
    <row r="14" spans="1:169" x14ac:dyDescent="0.25">
      <c r="A14" s="21">
        <v>43586.958854166667</v>
      </c>
      <c r="B14" s="6"/>
      <c r="C14" s="6"/>
      <c r="D14" s="6">
        <v>5770</v>
      </c>
      <c r="E14" s="24">
        <v>43587.186967592592</v>
      </c>
      <c r="F14" s="7"/>
      <c r="G14" s="22">
        <v>1500</v>
      </c>
      <c r="H14" s="7">
        <v>53000</v>
      </c>
      <c r="I14" s="21">
        <v>43587.206863425927</v>
      </c>
      <c r="J14" s="6">
        <v>0</v>
      </c>
      <c r="K14" s="23"/>
      <c r="L14" s="6">
        <v>16000</v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</row>
    <row r="15" spans="1:169" x14ac:dyDescent="0.25">
      <c r="A15" s="21">
        <v>43586.958958333336</v>
      </c>
      <c r="B15" s="6"/>
      <c r="C15" s="23">
        <v>210</v>
      </c>
      <c r="D15" s="6">
        <v>5980</v>
      </c>
      <c r="E15" s="24">
        <v>43587.186990740738</v>
      </c>
      <c r="F15" s="7"/>
      <c r="G15" s="22">
        <v>1500</v>
      </c>
      <c r="H15" s="7">
        <v>56000</v>
      </c>
      <c r="I15" s="21">
        <v>43587.206886574073</v>
      </c>
      <c r="J15" s="6">
        <v>0</v>
      </c>
      <c r="K15" s="6"/>
      <c r="L15" s="6">
        <v>15000</v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</row>
    <row r="16" spans="1:169" x14ac:dyDescent="0.25">
      <c r="A16" s="21">
        <v>43586.959027777775</v>
      </c>
      <c r="B16" s="6"/>
      <c r="C16" s="6"/>
      <c r="D16" s="6">
        <v>5560</v>
      </c>
      <c r="E16" s="24">
        <v>43587.186990740738</v>
      </c>
      <c r="F16" s="7"/>
      <c r="G16" s="22">
        <v>1500</v>
      </c>
      <c r="H16" s="7">
        <v>59000</v>
      </c>
      <c r="I16" s="21">
        <v>43587.206932870373</v>
      </c>
      <c r="J16" s="6">
        <v>2000</v>
      </c>
      <c r="K16" s="22"/>
      <c r="L16" s="6">
        <v>17000</v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</row>
    <row r="17" spans="1:185" x14ac:dyDescent="0.25">
      <c r="A17" s="21">
        <v>43586.961481481485</v>
      </c>
      <c r="B17" s="6"/>
      <c r="C17" s="23">
        <v>210</v>
      </c>
      <c r="D17" s="6">
        <v>7420</v>
      </c>
      <c r="E17" s="24">
        <v>43587.187013888892</v>
      </c>
      <c r="F17" s="7"/>
      <c r="G17" s="23">
        <v>1500</v>
      </c>
      <c r="H17" s="7">
        <v>62000</v>
      </c>
      <c r="I17" s="21">
        <v>43587.206944444442</v>
      </c>
      <c r="J17" s="6">
        <v>0</v>
      </c>
      <c r="K17" s="23">
        <v>510</v>
      </c>
      <c r="L17" s="6">
        <v>18020</v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</row>
    <row r="18" spans="1:185" x14ac:dyDescent="0.25">
      <c r="A18" s="21">
        <v>43586.961539351854</v>
      </c>
      <c r="B18" s="6"/>
      <c r="C18" s="6"/>
      <c r="D18" s="6">
        <v>7000</v>
      </c>
      <c r="E18" s="24">
        <v>43587.187060185184</v>
      </c>
      <c r="F18" s="7"/>
      <c r="G18" s="23"/>
      <c r="H18" s="7">
        <v>59000</v>
      </c>
      <c r="I18" s="21">
        <v>43587.206979166665</v>
      </c>
      <c r="J18" s="6">
        <v>0</v>
      </c>
      <c r="K18" s="6"/>
      <c r="L18" s="6">
        <v>17000</v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</row>
    <row r="19" spans="1:185" x14ac:dyDescent="0.25">
      <c r="A19" s="15">
        <v>43586.961597222224</v>
      </c>
      <c r="B19" s="7"/>
      <c r="C19" s="23">
        <v>210</v>
      </c>
      <c r="D19" s="7">
        <v>7420</v>
      </c>
      <c r="E19" s="24">
        <v>43587.187118055554</v>
      </c>
      <c r="F19" s="7"/>
      <c r="G19" s="7"/>
      <c r="H19" s="7">
        <v>50000</v>
      </c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  <c r="FS19" s="6"/>
      <c r="FT19" s="6"/>
      <c r="FU19" s="6"/>
      <c r="FV19" s="6"/>
      <c r="FW19" s="6"/>
      <c r="FX19" s="6"/>
      <c r="FY19" s="6"/>
    </row>
    <row r="20" spans="1:185" x14ac:dyDescent="0.25">
      <c r="A20" s="10">
        <v>43586.961863425924</v>
      </c>
      <c r="B20" s="7"/>
      <c r="C20" s="7"/>
      <c r="D20" s="13">
        <v>7000</v>
      </c>
      <c r="E20" s="15">
        <v>43587.18712962963</v>
      </c>
      <c r="F20" s="7"/>
      <c r="G20" s="23">
        <v>1500</v>
      </c>
      <c r="H20" s="7">
        <v>53000</v>
      </c>
      <c r="I20" s="7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  <c r="FS20" s="6"/>
      <c r="FT20" s="6"/>
      <c r="FU20" s="6"/>
      <c r="FV20" s="6"/>
      <c r="FW20" s="6"/>
      <c r="FX20" s="6"/>
      <c r="FY20" s="6"/>
      <c r="FZ20" s="6"/>
      <c r="GA20" s="6"/>
      <c r="GB20" s="6"/>
      <c r="GC20" s="6"/>
    </row>
    <row r="21" spans="1:185" x14ac:dyDescent="0.25">
      <c r="A21" s="10">
        <v>43586.962094907409</v>
      </c>
      <c r="B21" s="7"/>
      <c r="C21" s="23">
        <v>210</v>
      </c>
      <c r="D21" s="13">
        <v>7420</v>
      </c>
      <c r="E21" s="15">
        <v>43587.187175925923</v>
      </c>
      <c r="F21" s="7"/>
      <c r="G21" s="7"/>
      <c r="H21" s="7">
        <v>50000</v>
      </c>
      <c r="I21" s="7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  <c r="FS21" s="6"/>
      <c r="FT21" s="6"/>
      <c r="FU21" s="6"/>
      <c r="FV21" s="6"/>
      <c r="FW21" s="6"/>
      <c r="FX21" s="6"/>
      <c r="FY21" s="6"/>
      <c r="FZ21" s="6"/>
      <c r="GA21" s="6"/>
      <c r="GB21" s="6"/>
      <c r="GC21" s="6"/>
    </row>
    <row r="22" spans="1:185" x14ac:dyDescent="0.25">
      <c r="A22" s="10">
        <v>43586.971516203703</v>
      </c>
      <c r="B22" s="7"/>
      <c r="C22" s="7"/>
      <c r="D22" s="13">
        <v>7000</v>
      </c>
      <c r="E22" s="15">
        <v>43587.187476851854</v>
      </c>
      <c r="F22" s="7">
        <v>-20000</v>
      </c>
      <c r="G22" s="22"/>
      <c r="H22" s="7">
        <v>30000</v>
      </c>
      <c r="I22" s="7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  <c r="FS22" s="6"/>
      <c r="FT22" s="6"/>
      <c r="FU22" s="6"/>
      <c r="FV22" s="6"/>
      <c r="FW22" s="6"/>
      <c r="FX22" s="6"/>
      <c r="FY22" s="6"/>
      <c r="FZ22" s="6"/>
      <c r="GA22" s="6"/>
      <c r="GB22" s="6"/>
      <c r="GC22" s="6"/>
    </row>
    <row r="23" spans="1:185" x14ac:dyDescent="0.25">
      <c r="A23" s="10">
        <v>43586.971550925926</v>
      </c>
      <c r="B23" s="7"/>
      <c r="C23" s="22">
        <v>210</v>
      </c>
      <c r="D23" s="13">
        <v>7420</v>
      </c>
      <c r="E23" s="14">
        <v>43587.1875</v>
      </c>
      <c r="F23" s="6">
        <v>0</v>
      </c>
      <c r="G23" s="23">
        <v>900</v>
      </c>
      <c r="H23" s="6">
        <v>31800</v>
      </c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  <c r="FS23" s="6"/>
      <c r="FT23" s="6"/>
      <c r="FU23" s="6"/>
      <c r="FV23" s="6"/>
      <c r="FW23" s="6"/>
      <c r="FX23" s="6"/>
      <c r="FY23" s="6"/>
      <c r="FZ23" s="6"/>
      <c r="GA23" s="6"/>
      <c r="GB23" s="6"/>
      <c r="GC23" s="6"/>
    </row>
    <row r="24" spans="1:185" x14ac:dyDescent="0.25">
      <c r="A24" s="10">
        <v>43586.971550925926</v>
      </c>
      <c r="B24" s="7"/>
      <c r="C24" s="22">
        <v>210</v>
      </c>
      <c r="D24" s="13">
        <v>7840</v>
      </c>
      <c r="E24" s="14">
        <v>43587.1875462963</v>
      </c>
      <c r="F24" s="6">
        <v>0</v>
      </c>
      <c r="G24" s="6"/>
      <c r="H24" s="6">
        <v>30000</v>
      </c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  <c r="FS24" s="6"/>
      <c r="FT24" s="6"/>
      <c r="FU24" s="6"/>
      <c r="FV24" s="6"/>
      <c r="FW24" s="6"/>
      <c r="FX24" s="6"/>
      <c r="FY24" s="6"/>
      <c r="FZ24" s="6"/>
      <c r="GA24" s="6"/>
      <c r="GB24" s="6"/>
      <c r="GC24" s="6"/>
    </row>
    <row r="25" spans="1:185" x14ac:dyDescent="0.25">
      <c r="A25" s="10">
        <v>43586.971562500003</v>
      </c>
      <c r="B25" s="7"/>
      <c r="C25" s="23">
        <v>210</v>
      </c>
      <c r="D25" s="13">
        <v>8260</v>
      </c>
      <c r="E25" s="14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  <c r="FS25" s="6"/>
      <c r="FT25" s="6"/>
      <c r="FU25" s="6"/>
      <c r="FV25" s="6"/>
      <c r="FW25" s="6"/>
      <c r="FX25" s="6"/>
      <c r="FY25" s="6"/>
      <c r="FZ25" s="6"/>
      <c r="GA25" s="6"/>
      <c r="GB25" s="6"/>
      <c r="GC25" s="6"/>
    </row>
    <row r="26" spans="1:185" x14ac:dyDescent="0.25">
      <c r="A26" s="10">
        <v>43586.971620370372</v>
      </c>
      <c r="B26" s="7"/>
      <c r="C26" s="7"/>
      <c r="D26" s="13">
        <v>7000</v>
      </c>
      <c r="E26" s="14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  <c r="FS26" s="6"/>
      <c r="FT26" s="6"/>
      <c r="FU26" s="6"/>
      <c r="FV26" s="6"/>
      <c r="FW26" s="6"/>
      <c r="FX26" s="6"/>
      <c r="FY26" s="6"/>
      <c r="FZ26" s="6"/>
      <c r="GA26" s="6"/>
      <c r="GB26" s="6"/>
      <c r="GC26" s="6"/>
    </row>
    <row r="27" spans="1:185" x14ac:dyDescent="0.25">
      <c r="A27" s="10">
        <v>43587.008402777778</v>
      </c>
      <c r="B27" s="7"/>
      <c r="C27" s="23">
        <v>210</v>
      </c>
      <c r="D27" s="13">
        <v>7420</v>
      </c>
      <c r="E27" s="14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</row>
    <row r="28" spans="1:185" x14ac:dyDescent="0.25">
      <c r="A28" s="10">
        <v>43587.178761574076</v>
      </c>
      <c r="B28" s="7"/>
      <c r="C28" s="7"/>
      <c r="D28" s="13">
        <v>7000</v>
      </c>
      <c r="E28" s="14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  <c r="FS28" s="6"/>
      <c r="FT28" s="6"/>
      <c r="FU28" s="6"/>
      <c r="FV28" s="6"/>
      <c r="FW28" s="6"/>
      <c r="FX28" s="6"/>
      <c r="FY28" s="6"/>
      <c r="FZ28" s="6"/>
      <c r="GA28" s="6"/>
      <c r="GB28" s="6"/>
      <c r="GC28" s="6"/>
    </row>
    <row r="29" spans="1:185" x14ac:dyDescent="0.25">
      <c r="A29" s="10">
        <v>43587.186921296299</v>
      </c>
      <c r="B29" s="7"/>
      <c r="C29" s="22">
        <v>210</v>
      </c>
      <c r="D29" s="13">
        <v>7420</v>
      </c>
      <c r="E29" s="14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</row>
    <row r="30" spans="1:185" x14ac:dyDescent="0.25">
      <c r="A30" s="10">
        <v>43587.187326388892</v>
      </c>
      <c r="B30" s="7">
        <v>-2000</v>
      </c>
      <c r="C30" s="23"/>
      <c r="D30" s="13">
        <v>5420</v>
      </c>
      <c r="E30" s="14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  <c r="FU30" s="6"/>
      <c r="FV30" s="6"/>
      <c r="FW30" s="6"/>
      <c r="FX30" s="6"/>
      <c r="FY30" s="6"/>
      <c r="FZ30" s="6"/>
      <c r="GA30" s="6"/>
      <c r="GB30" s="6"/>
      <c r="GC30" s="6"/>
    </row>
    <row r="31" spans="1:185" x14ac:dyDescent="0.25">
      <c r="A31" s="10">
        <v>43587.187372685185</v>
      </c>
      <c r="B31" s="7">
        <v>0</v>
      </c>
      <c r="C31" s="7"/>
      <c r="D31" s="13">
        <v>5000</v>
      </c>
      <c r="E31" s="14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  <c r="FU31" s="6"/>
      <c r="FV31" s="6"/>
      <c r="FW31" s="6"/>
      <c r="FX31" s="6"/>
      <c r="FY31" s="6"/>
      <c r="FZ31" s="6"/>
      <c r="GA31" s="6"/>
      <c r="GB31" s="6"/>
      <c r="GC31" s="6"/>
    </row>
    <row r="32" spans="1:185" x14ac:dyDescent="0.25">
      <c r="A32" s="10"/>
      <c r="B32" s="7"/>
      <c r="C32" s="7"/>
      <c r="D32" s="13"/>
      <c r="E32" s="14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  <c r="FU32" s="6"/>
      <c r="FV32" s="6"/>
      <c r="FW32" s="6"/>
      <c r="FX32" s="6"/>
      <c r="FY32" s="6"/>
      <c r="FZ32" s="6"/>
      <c r="GA32" s="6"/>
      <c r="GB32" s="6"/>
      <c r="GC32" s="6"/>
    </row>
    <row r="33" spans="1:185" x14ac:dyDescent="0.25">
      <c r="A33" s="10"/>
      <c r="B33" s="7"/>
      <c r="C33" s="7"/>
      <c r="D33" s="13"/>
      <c r="E33" s="14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  <c r="FU33" s="6"/>
      <c r="FV33" s="6"/>
      <c r="FW33" s="6"/>
      <c r="FX33" s="6"/>
      <c r="FY33" s="6"/>
      <c r="FZ33" s="6"/>
      <c r="GA33" s="6"/>
      <c r="GB33" s="6"/>
      <c r="GC33" s="6"/>
    </row>
    <row r="34" spans="1:185" x14ac:dyDescent="0.25">
      <c r="A34" s="10"/>
      <c r="B34" s="7"/>
      <c r="C34" s="7"/>
      <c r="D34" s="13"/>
      <c r="E34" s="14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  <c r="FS34" s="6"/>
      <c r="FT34" s="6"/>
      <c r="FU34" s="6"/>
      <c r="FV34" s="6"/>
      <c r="FW34" s="6"/>
      <c r="FX34" s="6"/>
      <c r="FY34" s="6"/>
      <c r="FZ34" s="6"/>
      <c r="GA34" s="6"/>
      <c r="GB34" s="6"/>
      <c r="GC34" s="6"/>
    </row>
    <row r="35" spans="1:185" x14ac:dyDescent="0.25">
      <c r="A35" s="10"/>
      <c r="B35" s="7"/>
      <c r="C35" s="7"/>
      <c r="D35" s="13"/>
      <c r="E35" s="14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  <c r="FS35" s="6"/>
      <c r="FT35" s="6"/>
      <c r="FU35" s="6"/>
      <c r="FV35" s="6"/>
      <c r="FW35" s="6"/>
      <c r="FX35" s="6"/>
      <c r="FY35" s="6"/>
      <c r="FZ35" s="6"/>
      <c r="GA35" s="6"/>
      <c r="GB35" s="6"/>
      <c r="GC35" s="6"/>
    </row>
    <row r="36" spans="1:185" x14ac:dyDescent="0.25">
      <c r="A36" s="10"/>
      <c r="B36" s="7"/>
      <c r="C36" s="7"/>
      <c r="D36" s="13"/>
      <c r="E36" s="14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  <c r="FS36" s="6"/>
      <c r="FT36" s="6"/>
      <c r="FU36" s="6"/>
      <c r="FV36" s="6"/>
      <c r="FW36" s="6"/>
      <c r="FX36" s="6"/>
      <c r="FY36" s="6"/>
      <c r="FZ36" s="6"/>
      <c r="GA36" s="6"/>
      <c r="GB36" s="6"/>
      <c r="GC36" s="6"/>
    </row>
    <row r="37" spans="1:185" x14ac:dyDescent="0.25">
      <c r="A37" s="10"/>
      <c r="B37" s="7"/>
      <c r="C37" s="7"/>
      <c r="D37" s="13"/>
      <c r="E37" s="14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  <c r="FS37" s="6"/>
      <c r="FT37" s="6"/>
      <c r="FU37" s="6"/>
      <c r="FV37" s="6"/>
      <c r="FW37" s="6"/>
      <c r="FX37" s="6"/>
      <c r="FY37" s="6"/>
      <c r="FZ37" s="6"/>
      <c r="GA37" s="6"/>
      <c r="GB37" s="6"/>
      <c r="GC37" s="6"/>
    </row>
    <row r="38" spans="1:185" x14ac:dyDescent="0.25">
      <c r="A38" s="10"/>
      <c r="B38" s="7"/>
      <c r="C38" s="7"/>
      <c r="D38" s="13"/>
      <c r="E38" s="14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  <c r="FS38" s="6"/>
      <c r="FT38" s="6"/>
      <c r="FU38" s="6"/>
      <c r="FV38" s="6"/>
      <c r="FW38" s="6"/>
      <c r="FX38" s="6"/>
      <c r="FY38" s="6"/>
      <c r="FZ38" s="6"/>
      <c r="GA38" s="6"/>
      <c r="GB38" s="6"/>
      <c r="GC38" s="6"/>
    </row>
    <row r="39" spans="1:185" x14ac:dyDescent="0.25">
      <c r="A39" s="10"/>
      <c r="B39" s="7"/>
      <c r="C39" s="7"/>
      <c r="D39" s="13"/>
      <c r="E39" s="14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</row>
    <row r="40" spans="1:185" x14ac:dyDescent="0.25">
      <c r="A40" s="10"/>
      <c r="B40" s="7"/>
      <c r="C40" s="7"/>
      <c r="D40" s="13"/>
      <c r="E40" s="14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  <c r="FS40" s="6"/>
      <c r="FT40" s="6"/>
      <c r="FU40" s="6"/>
      <c r="FV40" s="6"/>
      <c r="FW40" s="6"/>
      <c r="FX40" s="6"/>
      <c r="FY40" s="6"/>
      <c r="FZ40" s="6"/>
      <c r="GA40" s="6"/>
      <c r="GB40" s="6"/>
      <c r="GC40" s="6"/>
    </row>
    <row r="41" spans="1:185" x14ac:dyDescent="0.25">
      <c r="A41" s="10"/>
      <c r="B41" s="7"/>
      <c r="C41" s="7"/>
      <c r="D41" s="13"/>
      <c r="E41" s="14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  <c r="FS41" s="6"/>
      <c r="FT41" s="6"/>
      <c r="FU41" s="6"/>
      <c r="FV41" s="6"/>
      <c r="FW41" s="6"/>
      <c r="FX41" s="6"/>
      <c r="FY41" s="6"/>
      <c r="FZ41" s="6"/>
      <c r="GA41" s="6"/>
      <c r="GB41" s="6"/>
      <c r="GC41" s="6"/>
    </row>
    <row r="42" spans="1:185" x14ac:dyDescent="0.25">
      <c r="A42" s="10"/>
      <c r="B42" s="7"/>
      <c r="C42" s="7"/>
      <c r="D42" s="13"/>
      <c r="E42" s="14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  <c r="FS42" s="6"/>
      <c r="FT42" s="6"/>
      <c r="FU42" s="6"/>
      <c r="FV42" s="6"/>
      <c r="FW42" s="6"/>
      <c r="FX42" s="6"/>
      <c r="FY42" s="6"/>
      <c r="FZ42" s="6"/>
      <c r="GA42" s="6"/>
      <c r="GB42" s="6"/>
      <c r="GC42" s="6"/>
    </row>
    <row r="43" spans="1:185" x14ac:dyDescent="0.25">
      <c r="A43" s="10"/>
      <c r="B43" s="7"/>
      <c r="C43" s="7"/>
      <c r="D43" s="13"/>
      <c r="E43" s="14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  <c r="FS43" s="6"/>
      <c r="FT43" s="6"/>
      <c r="FU43" s="6"/>
      <c r="FV43" s="6"/>
      <c r="FW43" s="6"/>
      <c r="FX43" s="6"/>
      <c r="FY43" s="6"/>
      <c r="FZ43" s="6"/>
      <c r="GA43" s="6"/>
      <c r="GB43" s="6"/>
      <c r="GC43" s="6"/>
    </row>
    <row r="44" spans="1:185" x14ac:dyDescent="0.25">
      <c r="A44" s="10"/>
      <c r="B44" s="7"/>
      <c r="C44" s="7"/>
      <c r="D44" s="13"/>
      <c r="E44" s="14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  <c r="FS44" s="6"/>
      <c r="FT44" s="6"/>
      <c r="FU44" s="6"/>
      <c r="FV44" s="6"/>
      <c r="FW44" s="6"/>
      <c r="FX44" s="6"/>
      <c r="FY44" s="6"/>
      <c r="FZ44" s="6"/>
      <c r="GA44" s="6"/>
      <c r="GB44" s="6"/>
      <c r="GC44" s="6"/>
    </row>
    <row r="45" spans="1:185" x14ac:dyDescent="0.25">
      <c r="A45" s="10"/>
      <c r="B45" s="7"/>
      <c r="C45" s="7"/>
      <c r="D45" s="13"/>
      <c r="E45" s="14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  <c r="FS45" s="6"/>
      <c r="FT45" s="6"/>
      <c r="FU45" s="6"/>
      <c r="FV45" s="6"/>
      <c r="FW45" s="6"/>
      <c r="FX45" s="6"/>
      <c r="FY45" s="6"/>
      <c r="FZ45" s="6"/>
      <c r="GA45" s="6"/>
      <c r="GB45" s="6"/>
      <c r="GC45" s="6"/>
    </row>
    <row r="46" spans="1:185" x14ac:dyDescent="0.25">
      <c r="A46" s="10"/>
      <c r="B46" s="7"/>
      <c r="C46" s="7"/>
      <c r="D46" s="13"/>
      <c r="E46" s="14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  <c r="FS46" s="6"/>
      <c r="FT46" s="6"/>
      <c r="FU46" s="6"/>
      <c r="FV46" s="6"/>
      <c r="FW46" s="6"/>
      <c r="FX46" s="6"/>
      <c r="FY46" s="6"/>
      <c r="FZ46" s="6"/>
      <c r="GA46" s="6"/>
      <c r="GB46" s="6"/>
      <c r="GC46" s="6"/>
    </row>
    <row r="47" spans="1:185" x14ac:dyDescent="0.25">
      <c r="A47" s="10"/>
      <c r="B47" s="7"/>
      <c r="C47" s="7"/>
      <c r="D47" s="13"/>
      <c r="E47" s="14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  <c r="FS47" s="6"/>
      <c r="FT47" s="6"/>
      <c r="FU47" s="6"/>
      <c r="FV47" s="6"/>
      <c r="FW47" s="6"/>
      <c r="FX47" s="6"/>
      <c r="FY47" s="6"/>
      <c r="FZ47" s="6"/>
      <c r="GA47" s="6"/>
      <c r="GB47" s="6"/>
      <c r="GC47" s="6"/>
    </row>
    <row r="48" spans="1:185" x14ac:dyDescent="0.25">
      <c r="A48" s="10"/>
      <c r="B48" s="7"/>
      <c r="C48" s="7"/>
      <c r="D48" s="13"/>
      <c r="E48" s="14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  <c r="FS48" s="6"/>
      <c r="FT48" s="6"/>
      <c r="FU48" s="6"/>
      <c r="FV48" s="6"/>
      <c r="FW48" s="6"/>
      <c r="FX48" s="6"/>
      <c r="FY48" s="6"/>
      <c r="FZ48" s="6"/>
      <c r="GA48" s="6"/>
      <c r="GB48" s="6"/>
      <c r="GC48" s="6"/>
    </row>
    <row r="49" spans="1:185" x14ac:dyDescent="0.25">
      <c r="A49" s="10"/>
      <c r="B49" s="7"/>
      <c r="C49" s="7"/>
      <c r="D49" s="13"/>
      <c r="E49" s="14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  <c r="FS49" s="6"/>
      <c r="FT49" s="6"/>
      <c r="FU49" s="6"/>
      <c r="FV49" s="6"/>
      <c r="FW49" s="6"/>
      <c r="FX49" s="6"/>
      <c r="FY49" s="6"/>
      <c r="FZ49" s="6"/>
      <c r="GA49" s="6"/>
      <c r="GB49" s="6"/>
      <c r="GC49" s="6"/>
    </row>
    <row r="50" spans="1:185" x14ac:dyDescent="0.25">
      <c r="A50" s="10"/>
      <c r="B50" s="7"/>
      <c r="C50" s="7"/>
      <c r="D50" s="13"/>
      <c r="E50" s="1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  <c r="FS50" s="6"/>
      <c r="FT50" s="6"/>
      <c r="FU50" s="6"/>
      <c r="FV50" s="6"/>
      <c r="FW50" s="6"/>
      <c r="FX50" s="6"/>
      <c r="FY50" s="6"/>
      <c r="FZ50" s="6"/>
      <c r="GA50" s="6"/>
      <c r="GB50" s="6"/>
      <c r="GC50" s="6"/>
    </row>
    <row r="51" spans="1:185" x14ac:dyDescent="0.25">
      <c r="A51" s="10"/>
      <c r="B51" s="7"/>
      <c r="C51" s="7"/>
      <c r="D51" s="13"/>
      <c r="E51" s="14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  <c r="FS51" s="6"/>
      <c r="FT51" s="6"/>
      <c r="FU51" s="6"/>
      <c r="FV51" s="6"/>
      <c r="FW51" s="6"/>
      <c r="FX51" s="6"/>
      <c r="FY51" s="6"/>
      <c r="FZ51" s="6"/>
      <c r="GA51" s="6"/>
      <c r="GB51" s="6"/>
      <c r="GC51" s="6"/>
    </row>
    <row r="52" spans="1:185" x14ac:dyDescent="0.25">
      <c r="A52" s="10"/>
      <c r="B52" s="7"/>
      <c r="C52" s="7"/>
      <c r="D52" s="13"/>
      <c r="E52" s="14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  <c r="FE52" s="6"/>
      <c r="FF52" s="6"/>
      <c r="FG52" s="6"/>
      <c r="FH52" s="6"/>
      <c r="FI52" s="6"/>
      <c r="FJ52" s="6"/>
      <c r="FK52" s="6"/>
      <c r="FL52" s="6"/>
      <c r="FM52" s="6"/>
      <c r="FN52" s="6"/>
      <c r="FO52" s="6"/>
      <c r="FP52" s="6"/>
      <c r="FQ52" s="6"/>
      <c r="FR52" s="6"/>
      <c r="FS52" s="6"/>
      <c r="FT52" s="6"/>
      <c r="FU52" s="6"/>
      <c r="FV52" s="6"/>
      <c r="FW52" s="6"/>
      <c r="FX52" s="6"/>
      <c r="FY52" s="6"/>
      <c r="FZ52" s="6"/>
      <c r="GA52" s="6"/>
      <c r="GB52" s="6"/>
      <c r="GC52" s="6"/>
    </row>
    <row r="53" spans="1:185" x14ac:dyDescent="0.25">
      <c r="A53" s="10"/>
      <c r="B53" s="7"/>
      <c r="C53" s="7"/>
      <c r="D53" s="13"/>
      <c r="E53" s="14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  <c r="EF53" s="6"/>
      <c r="EG53" s="6"/>
      <c r="EH53" s="6"/>
      <c r="EI53" s="6"/>
      <c r="EJ53" s="6"/>
      <c r="EK53" s="6"/>
      <c r="EL53" s="6"/>
      <c r="EM53" s="6"/>
      <c r="EN53" s="6"/>
      <c r="EO53" s="6"/>
      <c r="EP53" s="6"/>
      <c r="EQ53" s="6"/>
      <c r="ER53" s="6"/>
      <c r="ES53" s="6"/>
      <c r="ET53" s="6"/>
      <c r="EU53" s="6"/>
      <c r="EV53" s="6"/>
      <c r="EW53" s="6"/>
      <c r="EX53" s="6"/>
      <c r="EY53" s="6"/>
      <c r="EZ53" s="6"/>
      <c r="FA53" s="6"/>
      <c r="FB53" s="6"/>
      <c r="FC53" s="6"/>
      <c r="FD53" s="6"/>
      <c r="FE53" s="6"/>
      <c r="FF53" s="6"/>
      <c r="FG53" s="6"/>
      <c r="FH53" s="6"/>
      <c r="FI53" s="6"/>
      <c r="FJ53" s="6"/>
      <c r="FK53" s="6"/>
      <c r="FL53" s="6"/>
      <c r="FM53" s="6"/>
      <c r="FN53" s="6"/>
      <c r="FO53" s="6"/>
      <c r="FP53" s="6"/>
      <c r="FQ53" s="6"/>
      <c r="FR53" s="6"/>
      <c r="FS53" s="6"/>
      <c r="FT53" s="6"/>
      <c r="FU53" s="6"/>
      <c r="FV53" s="6"/>
      <c r="FW53" s="6"/>
      <c r="FX53" s="6"/>
      <c r="FY53" s="6"/>
      <c r="FZ53" s="6"/>
      <c r="GA53" s="6"/>
      <c r="GB53" s="6"/>
      <c r="GC53" s="6"/>
    </row>
    <row r="54" spans="1:185" x14ac:dyDescent="0.25">
      <c r="A54" s="10"/>
      <c r="B54" s="7"/>
      <c r="C54" s="7"/>
      <c r="D54" s="13"/>
      <c r="E54" s="14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  <c r="EF54" s="6"/>
      <c r="EG54" s="6"/>
      <c r="EH54" s="6"/>
      <c r="EI54" s="6"/>
      <c r="EJ54" s="6"/>
      <c r="EK54" s="6"/>
      <c r="EL54" s="6"/>
      <c r="EM54" s="6"/>
      <c r="EN54" s="6"/>
      <c r="EO54" s="6"/>
      <c r="EP54" s="6"/>
      <c r="EQ54" s="6"/>
      <c r="ER54" s="6"/>
      <c r="ES54" s="6"/>
      <c r="ET54" s="6"/>
      <c r="EU54" s="6"/>
      <c r="EV54" s="6"/>
      <c r="EW54" s="6"/>
      <c r="EX54" s="6"/>
      <c r="EY54" s="6"/>
      <c r="EZ54" s="6"/>
      <c r="FA54" s="6"/>
      <c r="FB54" s="6"/>
      <c r="FC54" s="6"/>
      <c r="FD54" s="6"/>
      <c r="FE54" s="6"/>
      <c r="FF54" s="6"/>
      <c r="FG54" s="6"/>
      <c r="FH54" s="6"/>
      <c r="FI54" s="6"/>
      <c r="FJ54" s="6"/>
      <c r="FK54" s="6"/>
      <c r="FL54" s="6"/>
      <c r="FM54" s="6"/>
      <c r="FN54" s="6"/>
      <c r="FO54" s="6"/>
      <c r="FP54" s="6"/>
      <c r="FQ54" s="6"/>
      <c r="FR54" s="6"/>
      <c r="FS54" s="6"/>
      <c r="FT54" s="6"/>
      <c r="FU54" s="6"/>
      <c r="FV54" s="6"/>
      <c r="FW54" s="6"/>
      <c r="FX54" s="6"/>
      <c r="FY54" s="6"/>
      <c r="FZ54" s="6"/>
      <c r="GA54" s="6"/>
      <c r="GB54" s="6"/>
      <c r="GC54" s="6"/>
    </row>
    <row r="55" spans="1:185" x14ac:dyDescent="0.25">
      <c r="A55" s="10"/>
      <c r="B55" s="7"/>
      <c r="C55" s="7"/>
      <c r="D55" s="13"/>
      <c r="E55" s="14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  <c r="EF55" s="6"/>
      <c r="EG55" s="6"/>
      <c r="EH55" s="6"/>
      <c r="EI55" s="6"/>
      <c r="EJ55" s="6"/>
      <c r="EK55" s="6"/>
      <c r="EL55" s="6"/>
      <c r="EM55" s="6"/>
      <c r="EN55" s="6"/>
      <c r="EO55" s="6"/>
      <c r="EP55" s="6"/>
      <c r="EQ55" s="6"/>
      <c r="ER55" s="6"/>
      <c r="ES55" s="6"/>
      <c r="ET55" s="6"/>
      <c r="EU55" s="6"/>
      <c r="EV55" s="6"/>
      <c r="EW55" s="6"/>
      <c r="EX55" s="6"/>
      <c r="EY55" s="6"/>
      <c r="EZ55" s="6"/>
      <c r="FA55" s="6"/>
      <c r="FB55" s="6"/>
      <c r="FC55" s="6"/>
      <c r="FD55" s="6"/>
      <c r="FE55" s="6"/>
      <c r="FF55" s="6"/>
      <c r="FG55" s="6"/>
      <c r="FH55" s="6"/>
      <c r="FI55" s="6"/>
      <c r="FJ55" s="6"/>
      <c r="FK55" s="6"/>
      <c r="FL55" s="6"/>
      <c r="FM55" s="6"/>
      <c r="FN55" s="6"/>
      <c r="FO55" s="6"/>
      <c r="FP55" s="6"/>
      <c r="FQ55" s="6"/>
      <c r="FR55" s="6"/>
      <c r="FS55" s="6"/>
      <c r="FT55" s="6"/>
      <c r="FU55" s="6"/>
      <c r="FV55" s="6"/>
      <c r="FW55" s="6"/>
      <c r="FX55" s="6"/>
      <c r="FY55" s="6"/>
      <c r="FZ55" s="6"/>
      <c r="GA55" s="6"/>
      <c r="GB55" s="6"/>
      <c r="GC55" s="6"/>
    </row>
    <row r="56" spans="1:185" x14ac:dyDescent="0.25">
      <c r="A56" s="10"/>
      <c r="B56" s="7"/>
      <c r="C56" s="7"/>
      <c r="D56" s="13"/>
      <c r="E56" s="14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  <c r="EF56" s="6"/>
      <c r="EG56" s="6"/>
      <c r="EH56" s="6"/>
      <c r="EI56" s="6"/>
      <c r="EJ56" s="6"/>
      <c r="EK56" s="6"/>
      <c r="EL56" s="6"/>
      <c r="EM56" s="6"/>
      <c r="EN56" s="6"/>
      <c r="EO56" s="6"/>
      <c r="EP56" s="6"/>
      <c r="EQ56" s="6"/>
      <c r="ER56" s="6"/>
      <c r="ES56" s="6"/>
      <c r="ET56" s="6"/>
      <c r="EU56" s="6"/>
      <c r="EV56" s="6"/>
      <c r="EW56" s="6"/>
      <c r="EX56" s="6"/>
      <c r="EY56" s="6"/>
      <c r="EZ56" s="6"/>
      <c r="FA56" s="6"/>
      <c r="FB56" s="6"/>
      <c r="FC56" s="6"/>
      <c r="FD56" s="6"/>
      <c r="FE56" s="6"/>
      <c r="FF56" s="6"/>
      <c r="FG56" s="6"/>
      <c r="FH56" s="6"/>
      <c r="FI56" s="6"/>
      <c r="FJ56" s="6"/>
      <c r="FK56" s="6"/>
      <c r="FL56" s="6"/>
      <c r="FM56" s="6"/>
      <c r="FN56" s="6"/>
      <c r="FO56" s="6"/>
      <c r="FP56" s="6"/>
      <c r="FQ56" s="6"/>
      <c r="FR56" s="6"/>
      <c r="FS56" s="6"/>
      <c r="FT56" s="6"/>
      <c r="FU56" s="6"/>
      <c r="FV56" s="6"/>
      <c r="FW56" s="6"/>
      <c r="FX56" s="6"/>
      <c r="FY56" s="6"/>
      <c r="FZ56" s="6"/>
      <c r="GA56" s="6"/>
      <c r="GB56" s="6"/>
      <c r="GC56" s="6"/>
    </row>
    <row r="57" spans="1:185" x14ac:dyDescent="0.25">
      <c r="A57" s="10"/>
      <c r="B57" s="7"/>
      <c r="C57" s="7"/>
      <c r="D57" s="13"/>
      <c r="E57" s="1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  <c r="EF57" s="6"/>
      <c r="EG57" s="6"/>
      <c r="EH57" s="6"/>
      <c r="EI57" s="6"/>
      <c r="EJ57" s="6"/>
      <c r="EK57" s="6"/>
      <c r="EL57" s="6"/>
      <c r="EM57" s="6"/>
      <c r="EN57" s="6"/>
      <c r="EO57" s="6"/>
      <c r="EP57" s="6"/>
      <c r="EQ57" s="6"/>
      <c r="ER57" s="6"/>
      <c r="ES57" s="6"/>
      <c r="ET57" s="6"/>
      <c r="EU57" s="6"/>
      <c r="EV57" s="6"/>
      <c r="EW57" s="6"/>
      <c r="EX57" s="6"/>
      <c r="EY57" s="6"/>
      <c r="EZ57" s="6"/>
      <c r="FA57" s="6"/>
      <c r="FB57" s="6"/>
      <c r="FC57" s="6"/>
      <c r="FD57" s="6"/>
      <c r="FE57" s="6"/>
      <c r="FF57" s="6"/>
      <c r="FG57" s="6"/>
      <c r="FH57" s="6"/>
      <c r="FI57" s="6"/>
      <c r="FJ57" s="6"/>
      <c r="FK57" s="6"/>
      <c r="FL57" s="6"/>
      <c r="FM57" s="6"/>
      <c r="FN57" s="6"/>
      <c r="FO57" s="6"/>
      <c r="FP57" s="6"/>
      <c r="FQ57" s="6"/>
      <c r="FR57" s="6"/>
      <c r="FS57" s="6"/>
      <c r="FT57" s="6"/>
      <c r="FU57" s="6"/>
      <c r="FV57" s="6"/>
      <c r="FW57" s="6"/>
      <c r="FX57" s="6"/>
      <c r="FY57" s="6"/>
      <c r="FZ57" s="6"/>
      <c r="GA57" s="6"/>
      <c r="GB57" s="6"/>
      <c r="GC57" s="6"/>
    </row>
    <row r="58" spans="1:185" x14ac:dyDescent="0.25">
      <c r="A58" s="10"/>
      <c r="B58" s="7"/>
      <c r="C58" s="7"/>
      <c r="D58" s="13"/>
      <c r="E58" s="1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  <c r="EF58" s="6"/>
      <c r="EG58" s="6"/>
      <c r="EH58" s="6"/>
      <c r="EI58" s="6"/>
      <c r="EJ58" s="6"/>
      <c r="EK58" s="6"/>
      <c r="EL58" s="6"/>
      <c r="EM58" s="6"/>
      <c r="EN58" s="6"/>
      <c r="EO58" s="6"/>
      <c r="EP58" s="6"/>
      <c r="EQ58" s="6"/>
      <c r="ER58" s="6"/>
      <c r="ES58" s="6"/>
      <c r="ET58" s="6"/>
      <c r="EU58" s="6"/>
      <c r="EV58" s="6"/>
      <c r="EW58" s="6"/>
      <c r="EX58" s="6"/>
      <c r="EY58" s="6"/>
      <c r="EZ58" s="6"/>
      <c r="FA58" s="6"/>
      <c r="FB58" s="6"/>
      <c r="FC58" s="6"/>
      <c r="FD58" s="6"/>
      <c r="FE58" s="6"/>
      <c r="FF58" s="6"/>
      <c r="FG58" s="6"/>
      <c r="FH58" s="6"/>
      <c r="FI58" s="6"/>
      <c r="FJ58" s="6"/>
      <c r="FK58" s="6"/>
      <c r="FL58" s="6"/>
      <c r="FM58" s="6"/>
      <c r="FN58" s="6"/>
      <c r="FO58" s="6"/>
      <c r="FP58" s="6"/>
      <c r="FQ58" s="6"/>
      <c r="FR58" s="6"/>
      <c r="FS58" s="6"/>
      <c r="FT58" s="6"/>
      <c r="FU58" s="6"/>
      <c r="FV58" s="6"/>
      <c r="FW58" s="6"/>
      <c r="FX58" s="6"/>
      <c r="FY58" s="6"/>
      <c r="FZ58" s="6"/>
      <c r="GA58" s="6"/>
      <c r="GB58" s="6"/>
      <c r="GC58" s="6"/>
    </row>
    <row r="59" spans="1:185" x14ac:dyDescent="0.25">
      <c r="A59" s="10"/>
      <c r="B59" s="7"/>
      <c r="C59" s="7"/>
      <c r="D59" s="13"/>
      <c r="E59" s="1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  <c r="EF59" s="6"/>
      <c r="EG59" s="6"/>
      <c r="EH59" s="6"/>
      <c r="EI59" s="6"/>
      <c r="EJ59" s="6"/>
      <c r="EK59" s="6"/>
      <c r="EL59" s="6"/>
      <c r="EM59" s="6"/>
      <c r="EN59" s="6"/>
      <c r="EO59" s="6"/>
      <c r="EP59" s="6"/>
      <c r="EQ59" s="6"/>
      <c r="ER59" s="6"/>
      <c r="ES59" s="6"/>
      <c r="ET59" s="6"/>
      <c r="EU59" s="6"/>
      <c r="EV59" s="6"/>
      <c r="EW59" s="6"/>
      <c r="EX59" s="6"/>
      <c r="EY59" s="6"/>
      <c r="EZ59" s="6"/>
      <c r="FA59" s="6"/>
      <c r="FB59" s="6"/>
      <c r="FC59" s="6"/>
      <c r="FD59" s="6"/>
      <c r="FE59" s="6"/>
      <c r="FF59" s="6"/>
      <c r="FG59" s="6"/>
      <c r="FH59" s="6"/>
      <c r="FI59" s="6"/>
      <c r="FJ59" s="6"/>
      <c r="FK59" s="6"/>
      <c r="FL59" s="6"/>
      <c r="FM59" s="6"/>
      <c r="FN59" s="6"/>
      <c r="FO59" s="6"/>
      <c r="FP59" s="6"/>
      <c r="FQ59" s="6"/>
      <c r="FR59" s="6"/>
      <c r="FS59" s="6"/>
      <c r="FT59" s="6"/>
      <c r="FU59" s="6"/>
      <c r="FV59" s="6"/>
      <c r="FW59" s="6"/>
      <c r="FX59" s="6"/>
      <c r="FY59" s="6"/>
      <c r="FZ59" s="6"/>
      <c r="GA59" s="6"/>
      <c r="GB59" s="6"/>
      <c r="GC59" s="6"/>
    </row>
    <row r="60" spans="1:185" x14ac:dyDescent="0.25">
      <c r="A60" s="10"/>
      <c r="B60" s="7"/>
      <c r="C60" s="7"/>
      <c r="D60" s="13"/>
      <c r="E60" s="1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  <c r="EF60" s="6"/>
      <c r="EG60" s="6"/>
      <c r="EH60" s="6"/>
      <c r="EI60" s="6"/>
      <c r="EJ60" s="6"/>
      <c r="EK60" s="6"/>
      <c r="EL60" s="6"/>
      <c r="EM60" s="6"/>
      <c r="EN60" s="6"/>
      <c r="EO60" s="6"/>
      <c r="EP60" s="6"/>
      <c r="EQ60" s="6"/>
      <c r="ER60" s="6"/>
      <c r="ES60" s="6"/>
      <c r="ET60" s="6"/>
      <c r="EU60" s="6"/>
      <c r="EV60" s="6"/>
      <c r="EW60" s="6"/>
      <c r="EX60" s="6"/>
      <c r="EY60" s="6"/>
      <c r="EZ60" s="6"/>
      <c r="FA60" s="6"/>
      <c r="FB60" s="6"/>
      <c r="FC60" s="6"/>
      <c r="FD60" s="6"/>
      <c r="FE60" s="6"/>
      <c r="FF60" s="6"/>
      <c r="FG60" s="6"/>
      <c r="FH60" s="6"/>
      <c r="FI60" s="6"/>
      <c r="FJ60" s="6"/>
      <c r="FK60" s="6"/>
      <c r="FL60" s="6"/>
      <c r="FM60" s="6"/>
      <c r="FN60" s="6"/>
      <c r="FO60" s="6"/>
      <c r="FP60" s="6"/>
      <c r="FQ60" s="6"/>
      <c r="FR60" s="6"/>
      <c r="FS60" s="6"/>
      <c r="FT60" s="6"/>
      <c r="FU60" s="6"/>
      <c r="FV60" s="6"/>
      <c r="FW60" s="6"/>
      <c r="FX60" s="6"/>
      <c r="FY60" s="6"/>
      <c r="FZ60" s="6"/>
      <c r="GA60" s="6"/>
      <c r="GB60" s="6"/>
      <c r="GC60" s="6"/>
    </row>
    <row r="61" spans="1:185" x14ac:dyDescent="0.25">
      <c r="A61" s="10"/>
      <c r="B61" s="7"/>
      <c r="C61" s="7"/>
      <c r="D61" s="13"/>
      <c r="E61" s="14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  <c r="EF61" s="6"/>
      <c r="EG61" s="6"/>
      <c r="EH61" s="6"/>
      <c r="EI61" s="6"/>
      <c r="EJ61" s="6"/>
      <c r="EK61" s="6"/>
      <c r="EL61" s="6"/>
      <c r="EM61" s="6"/>
      <c r="EN61" s="6"/>
      <c r="EO61" s="6"/>
      <c r="EP61" s="6"/>
      <c r="EQ61" s="6"/>
      <c r="ER61" s="6"/>
      <c r="ES61" s="6"/>
      <c r="ET61" s="6"/>
      <c r="EU61" s="6"/>
      <c r="EV61" s="6"/>
      <c r="EW61" s="6"/>
      <c r="EX61" s="6"/>
      <c r="EY61" s="6"/>
      <c r="EZ61" s="6"/>
      <c r="FA61" s="6"/>
      <c r="FB61" s="6"/>
      <c r="FC61" s="6"/>
      <c r="FD61" s="6"/>
      <c r="FE61" s="6"/>
      <c r="FF61" s="6"/>
      <c r="FG61" s="6"/>
      <c r="FH61" s="6"/>
      <c r="FI61" s="6"/>
      <c r="FJ61" s="6"/>
      <c r="FK61" s="6"/>
      <c r="FL61" s="6"/>
      <c r="FM61" s="6"/>
      <c r="FN61" s="6"/>
      <c r="FO61" s="6"/>
      <c r="FP61" s="6"/>
      <c r="FQ61" s="6"/>
      <c r="FR61" s="6"/>
      <c r="FS61" s="6"/>
      <c r="FT61" s="6"/>
      <c r="FU61" s="6"/>
      <c r="FV61" s="6"/>
      <c r="FW61" s="6"/>
      <c r="FX61" s="6"/>
      <c r="FY61" s="6"/>
      <c r="FZ61" s="6"/>
      <c r="GA61" s="6"/>
      <c r="GB61" s="6"/>
      <c r="GC61" s="6"/>
    </row>
    <row r="62" spans="1:185" x14ac:dyDescent="0.25">
      <c r="A62" s="10"/>
      <c r="B62" s="7"/>
      <c r="C62" s="7"/>
      <c r="D62" s="13"/>
      <c r="E62" s="14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  <c r="EF62" s="6"/>
      <c r="EG62" s="6"/>
      <c r="EH62" s="6"/>
      <c r="EI62" s="6"/>
      <c r="EJ62" s="6"/>
      <c r="EK62" s="6"/>
      <c r="EL62" s="6"/>
      <c r="EM62" s="6"/>
      <c r="EN62" s="6"/>
      <c r="EO62" s="6"/>
      <c r="EP62" s="6"/>
      <c r="EQ62" s="6"/>
      <c r="ER62" s="6"/>
      <c r="ES62" s="6"/>
      <c r="ET62" s="6"/>
      <c r="EU62" s="6"/>
      <c r="EV62" s="6"/>
      <c r="EW62" s="6"/>
      <c r="EX62" s="6"/>
      <c r="EY62" s="6"/>
      <c r="EZ62" s="6"/>
      <c r="FA62" s="6"/>
      <c r="FB62" s="6"/>
      <c r="FC62" s="6"/>
      <c r="FD62" s="6"/>
      <c r="FE62" s="6"/>
      <c r="FF62" s="6"/>
      <c r="FG62" s="6"/>
      <c r="FH62" s="6"/>
      <c r="FI62" s="6"/>
      <c r="FJ62" s="6"/>
      <c r="FK62" s="6"/>
      <c r="FL62" s="6"/>
      <c r="FM62" s="6"/>
      <c r="FN62" s="6"/>
      <c r="FO62" s="6"/>
      <c r="FP62" s="6"/>
      <c r="FQ62" s="6"/>
      <c r="FR62" s="6"/>
      <c r="FS62" s="6"/>
      <c r="FT62" s="6"/>
      <c r="FU62" s="6"/>
      <c r="FV62" s="6"/>
      <c r="FW62" s="6"/>
      <c r="FX62" s="6"/>
      <c r="FY62" s="6"/>
      <c r="FZ62" s="6"/>
      <c r="GA62" s="6"/>
      <c r="GB62" s="6"/>
      <c r="GC62" s="6"/>
    </row>
    <row r="63" spans="1:185" x14ac:dyDescent="0.25">
      <c r="A63" s="10"/>
      <c r="B63" s="7"/>
      <c r="C63" s="7"/>
      <c r="D63" s="13"/>
      <c r="E63" s="14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  <c r="EF63" s="6"/>
      <c r="EG63" s="6"/>
      <c r="EH63" s="6"/>
      <c r="EI63" s="6"/>
      <c r="EJ63" s="6"/>
      <c r="EK63" s="6"/>
      <c r="EL63" s="6"/>
      <c r="EM63" s="6"/>
      <c r="EN63" s="6"/>
      <c r="EO63" s="6"/>
      <c r="EP63" s="6"/>
      <c r="EQ63" s="6"/>
      <c r="ER63" s="6"/>
      <c r="ES63" s="6"/>
      <c r="ET63" s="6"/>
      <c r="EU63" s="6"/>
      <c r="EV63" s="6"/>
      <c r="EW63" s="6"/>
      <c r="EX63" s="6"/>
      <c r="EY63" s="6"/>
      <c r="EZ63" s="6"/>
      <c r="FA63" s="6"/>
      <c r="FB63" s="6"/>
      <c r="FC63" s="6"/>
      <c r="FD63" s="6"/>
      <c r="FE63" s="6"/>
      <c r="FF63" s="6"/>
      <c r="FG63" s="6"/>
      <c r="FH63" s="6"/>
      <c r="FI63" s="6"/>
      <c r="FJ63" s="6"/>
      <c r="FK63" s="6"/>
      <c r="FL63" s="6"/>
      <c r="FM63" s="6"/>
      <c r="FN63" s="6"/>
      <c r="FO63" s="6"/>
      <c r="FP63" s="6"/>
      <c r="FQ63" s="6"/>
      <c r="FR63" s="6"/>
      <c r="FS63" s="6"/>
      <c r="FT63" s="6"/>
      <c r="FU63" s="6"/>
      <c r="FV63" s="6"/>
      <c r="FW63" s="6"/>
      <c r="FX63" s="6"/>
      <c r="FY63" s="6"/>
      <c r="FZ63" s="6"/>
      <c r="GA63" s="6"/>
      <c r="GB63" s="6"/>
      <c r="GC63" s="6"/>
    </row>
    <row r="64" spans="1:185" x14ac:dyDescent="0.25">
      <c r="A64" s="9"/>
      <c r="B64" s="7"/>
      <c r="C64" s="7"/>
      <c r="D64" s="13"/>
      <c r="E64" s="1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  <c r="EF64" s="6"/>
      <c r="EG64" s="6"/>
      <c r="EH64" s="6"/>
      <c r="EI64" s="6"/>
      <c r="EJ64" s="6"/>
      <c r="EK64" s="6"/>
      <c r="EL64" s="6"/>
      <c r="EM64" s="6"/>
      <c r="EN64" s="6"/>
      <c r="EO64" s="6"/>
      <c r="EP64" s="6"/>
      <c r="EQ64" s="6"/>
      <c r="ER64" s="6"/>
      <c r="ES64" s="6"/>
      <c r="ET64" s="6"/>
      <c r="EU64" s="6"/>
      <c r="EV64" s="6"/>
      <c r="EW64" s="6"/>
      <c r="EX64" s="6"/>
      <c r="EY64" s="6"/>
      <c r="EZ64" s="6"/>
      <c r="FA64" s="6"/>
      <c r="FB64" s="6"/>
      <c r="FC64" s="6"/>
      <c r="FD64" s="6"/>
      <c r="FE64" s="6"/>
      <c r="FF64" s="6"/>
      <c r="FG64" s="6"/>
      <c r="FH64" s="6"/>
      <c r="FI64" s="6"/>
      <c r="FJ64" s="6"/>
      <c r="FK64" s="6"/>
      <c r="FL64" s="6"/>
      <c r="FM64" s="6"/>
      <c r="FN64" s="6"/>
      <c r="FO64" s="6"/>
      <c r="FP64" s="6"/>
      <c r="FQ64" s="6"/>
      <c r="FR64" s="6"/>
      <c r="FS64" s="6"/>
      <c r="FT64" s="6"/>
      <c r="FU64" s="6"/>
      <c r="FV64" s="6"/>
      <c r="FW64" s="6"/>
      <c r="FX64" s="6"/>
      <c r="FY64" s="6"/>
      <c r="FZ64" s="6"/>
      <c r="GA64" s="6"/>
      <c r="GB64" s="6"/>
      <c r="GC64" s="6"/>
    </row>
    <row r="65" spans="2:185" x14ac:dyDescent="0.25">
      <c r="B65" s="7"/>
      <c r="C65" s="5"/>
      <c r="D65" s="13"/>
      <c r="E65" s="1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  <c r="EF65" s="6"/>
      <c r="EG65" s="6"/>
      <c r="EH65" s="6"/>
      <c r="EI65" s="6"/>
      <c r="EJ65" s="6"/>
      <c r="EK65" s="6"/>
      <c r="EL65" s="6"/>
      <c r="EM65" s="6"/>
      <c r="EN65" s="6"/>
      <c r="EO65" s="6"/>
      <c r="EP65" s="6"/>
      <c r="EQ65" s="6"/>
      <c r="ER65" s="6"/>
      <c r="ES65" s="6"/>
      <c r="ET65" s="6"/>
      <c r="EU65" s="6"/>
      <c r="EV65" s="6"/>
      <c r="EW65" s="6"/>
      <c r="EX65" s="6"/>
      <c r="EY65" s="6"/>
      <c r="EZ65" s="6"/>
      <c r="FA65" s="6"/>
      <c r="FB65" s="6"/>
      <c r="FC65" s="6"/>
      <c r="FD65" s="6"/>
      <c r="FE65" s="6"/>
      <c r="FF65" s="6"/>
      <c r="FG65" s="6"/>
      <c r="FH65" s="6"/>
      <c r="FI65" s="6"/>
      <c r="FJ65" s="6"/>
      <c r="FK65" s="6"/>
      <c r="FL65" s="6"/>
      <c r="FM65" s="6"/>
      <c r="FN65" s="6"/>
      <c r="FO65" s="6"/>
      <c r="FP65" s="6"/>
      <c r="FQ65" s="6"/>
      <c r="FR65" s="6"/>
      <c r="FS65" s="6"/>
      <c r="FT65" s="6"/>
      <c r="FU65" s="6"/>
      <c r="FV65" s="6"/>
      <c r="FW65" s="6"/>
      <c r="FX65" s="6"/>
      <c r="FY65" s="6"/>
      <c r="FZ65" s="6"/>
      <c r="GA65" s="6"/>
      <c r="GB65" s="6"/>
      <c r="GC65" s="6"/>
    </row>
    <row r="66" spans="2:185" x14ac:dyDescent="0.25">
      <c r="B66" s="5"/>
      <c r="C66" s="5"/>
      <c r="D66" s="5"/>
      <c r="E66" s="1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  <c r="EF66" s="6"/>
      <c r="EG66" s="6"/>
      <c r="EH66" s="6"/>
      <c r="EI66" s="6"/>
      <c r="EJ66" s="6"/>
      <c r="EK66" s="6"/>
      <c r="EL66" s="6"/>
      <c r="EM66" s="6"/>
      <c r="EN66" s="6"/>
      <c r="EO66" s="6"/>
      <c r="EP66" s="6"/>
      <c r="EQ66" s="6"/>
      <c r="ER66" s="6"/>
      <c r="ES66" s="6"/>
      <c r="ET66" s="6"/>
      <c r="EU66" s="6"/>
      <c r="EV66" s="6"/>
      <c r="EW66" s="6"/>
      <c r="EX66" s="6"/>
      <c r="EY66" s="6"/>
      <c r="EZ66" s="6"/>
      <c r="FA66" s="6"/>
      <c r="FB66" s="6"/>
      <c r="FC66" s="6"/>
      <c r="FD66" s="6"/>
      <c r="FE66" s="6"/>
      <c r="FF66" s="6"/>
      <c r="FG66" s="6"/>
      <c r="FH66" s="6"/>
      <c r="FI66" s="6"/>
      <c r="FJ66" s="6"/>
      <c r="FK66" s="6"/>
      <c r="FL66" s="6"/>
      <c r="FM66" s="6"/>
      <c r="FN66" s="6"/>
      <c r="FO66" s="6"/>
      <c r="FP66" s="6"/>
      <c r="FQ66" s="6"/>
      <c r="FR66" s="6"/>
      <c r="FS66" s="6"/>
      <c r="FT66" s="6"/>
      <c r="FU66" s="6"/>
      <c r="FV66" s="6"/>
      <c r="FW66" s="6"/>
      <c r="FX66" s="6"/>
      <c r="FY66" s="6"/>
      <c r="FZ66" s="6"/>
      <c r="GA66" s="6"/>
      <c r="GB66" s="6"/>
      <c r="GC66" s="6"/>
    </row>
    <row r="67" spans="2:185" x14ac:dyDescent="0.25">
      <c r="B67" s="5"/>
      <c r="C67" s="5"/>
      <c r="D67" s="5"/>
      <c r="E67" s="1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  <c r="EF67" s="6"/>
      <c r="EG67" s="6"/>
      <c r="EH67" s="6"/>
      <c r="EI67" s="6"/>
      <c r="EJ67" s="6"/>
      <c r="EK67" s="6"/>
      <c r="EL67" s="6"/>
      <c r="EM67" s="6"/>
      <c r="EN67" s="6"/>
      <c r="EO67" s="6"/>
      <c r="EP67" s="6"/>
      <c r="EQ67" s="6"/>
      <c r="ER67" s="6"/>
      <c r="ES67" s="6"/>
      <c r="ET67" s="6"/>
      <c r="EU67" s="6"/>
      <c r="EV67" s="6"/>
      <c r="EW67" s="6"/>
      <c r="EX67" s="6"/>
      <c r="EY67" s="6"/>
      <c r="EZ67" s="6"/>
      <c r="FA67" s="6"/>
      <c r="FB67" s="6"/>
      <c r="FC67" s="6"/>
      <c r="FD67" s="6"/>
      <c r="FE67" s="6"/>
      <c r="FF67" s="6"/>
      <c r="FG67" s="6"/>
      <c r="FH67" s="6"/>
      <c r="FI67" s="6"/>
      <c r="FJ67" s="6"/>
      <c r="FK67" s="6"/>
      <c r="FL67" s="6"/>
      <c r="FM67" s="6"/>
      <c r="FN67" s="6"/>
      <c r="FO67" s="6"/>
      <c r="FP67" s="6"/>
      <c r="FQ67" s="6"/>
      <c r="FR67" s="6"/>
      <c r="FS67" s="6"/>
      <c r="FT67" s="6"/>
      <c r="FU67" s="6"/>
      <c r="FV67" s="6"/>
      <c r="FW67" s="6"/>
      <c r="FX67" s="6"/>
      <c r="FY67" s="6"/>
      <c r="FZ67" s="6"/>
      <c r="GA67" s="6"/>
      <c r="GB67" s="6"/>
      <c r="GC67" s="6"/>
    </row>
    <row r="68" spans="2:185" x14ac:dyDescent="0.25">
      <c r="B68" s="5"/>
      <c r="C68" s="5"/>
      <c r="D68" s="5"/>
      <c r="E68" s="1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  <c r="CN68" s="6"/>
      <c r="CO68" s="6"/>
      <c r="CP68" s="6"/>
      <c r="CQ68" s="6"/>
      <c r="CR68" s="6"/>
      <c r="CS68" s="6"/>
      <c r="CT68" s="6"/>
      <c r="CU68" s="6"/>
      <c r="CV68" s="6"/>
      <c r="CW68" s="6"/>
      <c r="CX68" s="6"/>
      <c r="CY68" s="6"/>
      <c r="CZ68" s="6"/>
      <c r="DA68" s="6"/>
      <c r="DB68" s="6"/>
      <c r="DC68" s="6"/>
      <c r="DD68" s="6"/>
      <c r="DE68" s="6"/>
      <c r="DF68" s="6"/>
      <c r="DG68" s="6"/>
      <c r="DH68" s="6"/>
      <c r="DI68" s="6"/>
      <c r="DJ68" s="6"/>
      <c r="DK68" s="6"/>
      <c r="DL68" s="6"/>
      <c r="DM68" s="6"/>
      <c r="DN68" s="6"/>
      <c r="DO68" s="6"/>
      <c r="DP68" s="6"/>
      <c r="DQ68" s="6"/>
      <c r="DR68" s="6"/>
      <c r="DS68" s="6"/>
      <c r="DT68" s="6"/>
      <c r="DU68" s="6"/>
      <c r="DV68" s="6"/>
      <c r="DW68" s="6"/>
      <c r="DX68" s="6"/>
      <c r="DY68" s="6"/>
      <c r="DZ68" s="6"/>
      <c r="EA68" s="6"/>
      <c r="EB68" s="6"/>
      <c r="EC68" s="6"/>
      <c r="ED68" s="6"/>
      <c r="EE68" s="6"/>
      <c r="EF68" s="6"/>
      <c r="EG68" s="6"/>
      <c r="EH68" s="6"/>
      <c r="EI68" s="6"/>
      <c r="EJ68" s="6"/>
      <c r="EK68" s="6"/>
      <c r="EL68" s="6"/>
      <c r="EM68" s="6"/>
      <c r="EN68" s="6"/>
      <c r="EO68" s="6"/>
      <c r="EP68" s="6"/>
      <c r="EQ68" s="6"/>
      <c r="ER68" s="6"/>
      <c r="ES68" s="6"/>
      <c r="ET68" s="6"/>
      <c r="EU68" s="6"/>
      <c r="EV68" s="6"/>
      <c r="EW68" s="6"/>
      <c r="EX68" s="6"/>
      <c r="EY68" s="6"/>
      <c r="EZ68" s="6"/>
      <c r="FA68" s="6"/>
      <c r="FB68" s="6"/>
      <c r="FC68" s="6"/>
      <c r="FD68" s="6"/>
      <c r="FE68" s="6"/>
      <c r="FF68" s="6"/>
      <c r="FG68" s="6"/>
      <c r="FH68" s="6"/>
      <c r="FI68" s="6"/>
      <c r="FJ68" s="6"/>
      <c r="FK68" s="6"/>
      <c r="FL68" s="6"/>
      <c r="FM68" s="6"/>
      <c r="FN68" s="6"/>
      <c r="FO68" s="6"/>
      <c r="FP68" s="6"/>
      <c r="FQ68" s="6"/>
      <c r="FR68" s="6"/>
      <c r="FS68" s="6"/>
      <c r="FT68" s="6"/>
      <c r="FU68" s="6"/>
      <c r="FV68" s="6"/>
      <c r="FW68" s="6"/>
      <c r="FX68" s="6"/>
      <c r="FY68" s="6"/>
      <c r="FZ68" s="6"/>
      <c r="GA68" s="6"/>
      <c r="GB68" s="6"/>
      <c r="GC68" s="6"/>
    </row>
    <row r="69" spans="2:185" x14ac:dyDescent="0.25">
      <c r="B69" s="5"/>
      <c r="C69" s="5"/>
      <c r="D69" s="5"/>
      <c r="E69" s="1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  <c r="CR69" s="6"/>
      <c r="CS69" s="6"/>
      <c r="CT69" s="6"/>
      <c r="CU69" s="6"/>
      <c r="CV69" s="6"/>
      <c r="CW69" s="6"/>
      <c r="CX69" s="6"/>
      <c r="CY69" s="6"/>
      <c r="CZ69" s="6"/>
      <c r="DA69" s="6"/>
      <c r="DB69" s="6"/>
      <c r="DC69" s="6"/>
      <c r="DD69" s="6"/>
      <c r="DE69" s="6"/>
      <c r="DF69" s="6"/>
      <c r="DG69" s="6"/>
      <c r="DH69" s="6"/>
      <c r="DI69" s="6"/>
      <c r="DJ69" s="6"/>
      <c r="DK69" s="6"/>
      <c r="DL69" s="6"/>
      <c r="DM69" s="6"/>
      <c r="DN69" s="6"/>
      <c r="DO69" s="6"/>
      <c r="DP69" s="6"/>
      <c r="DQ69" s="6"/>
      <c r="DR69" s="6"/>
      <c r="DS69" s="6"/>
      <c r="DT69" s="6"/>
      <c r="DU69" s="6"/>
      <c r="DV69" s="6"/>
      <c r="DW69" s="6"/>
      <c r="DX69" s="6"/>
      <c r="DY69" s="6"/>
      <c r="DZ69" s="6"/>
      <c r="EA69" s="6"/>
      <c r="EB69" s="6"/>
      <c r="EC69" s="6"/>
      <c r="ED69" s="6"/>
      <c r="EE69" s="6"/>
      <c r="EF69" s="6"/>
      <c r="EG69" s="6"/>
      <c r="EH69" s="6"/>
      <c r="EI69" s="6"/>
      <c r="EJ69" s="6"/>
      <c r="EK69" s="6"/>
      <c r="EL69" s="6"/>
      <c r="EM69" s="6"/>
      <c r="EN69" s="6"/>
      <c r="EO69" s="6"/>
      <c r="EP69" s="6"/>
      <c r="EQ69" s="6"/>
      <c r="ER69" s="6"/>
      <c r="ES69" s="6"/>
      <c r="ET69" s="6"/>
      <c r="EU69" s="6"/>
      <c r="EV69" s="6"/>
      <c r="EW69" s="6"/>
      <c r="EX69" s="6"/>
      <c r="EY69" s="6"/>
      <c r="EZ69" s="6"/>
      <c r="FA69" s="6"/>
      <c r="FB69" s="6"/>
      <c r="FC69" s="6"/>
      <c r="FD69" s="6"/>
      <c r="FE69" s="6"/>
      <c r="FF69" s="6"/>
      <c r="FG69" s="6"/>
      <c r="FH69" s="6"/>
      <c r="FI69" s="6"/>
      <c r="FJ69" s="6"/>
      <c r="FK69" s="6"/>
      <c r="FL69" s="6"/>
      <c r="FM69" s="6"/>
      <c r="FN69" s="6"/>
      <c r="FO69" s="6"/>
      <c r="FP69" s="6"/>
      <c r="FQ69" s="6"/>
      <c r="FR69" s="6"/>
      <c r="FS69" s="6"/>
      <c r="FT69" s="6"/>
      <c r="FU69" s="6"/>
      <c r="FV69" s="6"/>
      <c r="FW69" s="6"/>
      <c r="FX69" s="6"/>
      <c r="FY69" s="6"/>
      <c r="FZ69" s="6"/>
      <c r="GA69" s="6"/>
      <c r="GB69" s="6"/>
      <c r="GC69" s="6"/>
    </row>
    <row r="70" spans="2:185" x14ac:dyDescent="0.25">
      <c r="B70" s="5"/>
      <c r="D70" s="5"/>
      <c r="E70" s="1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  <c r="CR70" s="6"/>
      <c r="CS70" s="6"/>
      <c r="CT70" s="6"/>
      <c r="CU70" s="6"/>
      <c r="CV70" s="6"/>
      <c r="CW70" s="6"/>
      <c r="CX70" s="6"/>
      <c r="CY70" s="6"/>
      <c r="CZ70" s="6"/>
      <c r="DA70" s="6"/>
      <c r="DB70" s="6"/>
      <c r="DC70" s="6"/>
      <c r="DD70" s="6"/>
      <c r="DE70" s="6"/>
      <c r="DF70" s="6"/>
      <c r="DG70" s="6"/>
      <c r="DH70" s="6"/>
      <c r="DI70" s="6"/>
      <c r="DJ70" s="6"/>
      <c r="DK70" s="6"/>
      <c r="DL70" s="6"/>
      <c r="DM70" s="6"/>
      <c r="DN70" s="6"/>
      <c r="DO70" s="6"/>
      <c r="DP70" s="6"/>
      <c r="DQ70" s="6"/>
      <c r="DR70" s="6"/>
      <c r="DS70" s="6"/>
      <c r="DT70" s="6"/>
      <c r="DU70" s="6"/>
      <c r="DV70" s="6"/>
      <c r="DW70" s="6"/>
      <c r="DX70" s="6"/>
      <c r="DY70" s="6"/>
      <c r="DZ70" s="6"/>
      <c r="EA70" s="6"/>
      <c r="EB70" s="6"/>
      <c r="EC70" s="6"/>
      <c r="ED70" s="6"/>
      <c r="EE70" s="6"/>
      <c r="EF70" s="6"/>
      <c r="EG70" s="6"/>
      <c r="EH70" s="6"/>
      <c r="EI70" s="6"/>
      <c r="EJ70" s="6"/>
      <c r="EK70" s="6"/>
      <c r="EL70" s="6"/>
      <c r="EM70" s="6"/>
      <c r="EN70" s="6"/>
      <c r="EO70" s="6"/>
      <c r="EP70" s="6"/>
      <c r="EQ70" s="6"/>
      <c r="ER70" s="6"/>
      <c r="ES70" s="6"/>
      <c r="ET70" s="6"/>
      <c r="EU70" s="6"/>
      <c r="EV70" s="6"/>
      <c r="EW70" s="6"/>
      <c r="EX70" s="6"/>
      <c r="EY70" s="6"/>
      <c r="EZ70" s="6"/>
      <c r="FA70" s="6"/>
      <c r="FB70" s="6"/>
      <c r="FC70" s="6"/>
      <c r="FD70" s="6"/>
      <c r="FE70" s="6"/>
      <c r="FF70" s="6"/>
      <c r="FG70" s="6"/>
      <c r="FH70" s="6"/>
      <c r="FI70" s="6"/>
      <c r="FJ70" s="6"/>
      <c r="FK70" s="6"/>
      <c r="FL70" s="6"/>
      <c r="FM70" s="6"/>
      <c r="FN70" s="6"/>
      <c r="FO70" s="6"/>
      <c r="FP70" s="6"/>
      <c r="FQ70" s="6"/>
      <c r="FR70" s="6"/>
      <c r="FS70" s="6"/>
      <c r="FT70" s="6"/>
      <c r="FU70" s="6"/>
      <c r="FV70" s="6"/>
      <c r="FW70" s="6"/>
      <c r="FX70" s="6"/>
      <c r="FY70" s="6"/>
      <c r="FZ70" s="6"/>
      <c r="GA70" s="6"/>
      <c r="GB70" s="6"/>
      <c r="GC70" s="6"/>
    </row>
    <row r="71" spans="2:185" x14ac:dyDescent="0.25">
      <c r="E71" s="1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  <c r="CR71" s="6"/>
      <c r="CS71" s="6"/>
      <c r="CT71" s="6"/>
      <c r="CU71" s="6"/>
      <c r="CV71" s="6"/>
      <c r="CW71" s="6"/>
      <c r="CX71" s="6"/>
      <c r="CY71" s="6"/>
      <c r="CZ71" s="6"/>
      <c r="DA71" s="6"/>
      <c r="DB71" s="6"/>
      <c r="DC71" s="6"/>
      <c r="DD71" s="6"/>
      <c r="DE71" s="6"/>
      <c r="DF71" s="6"/>
      <c r="DG71" s="6"/>
      <c r="DH71" s="6"/>
      <c r="DI71" s="6"/>
      <c r="DJ71" s="6"/>
      <c r="DK71" s="6"/>
      <c r="DL71" s="6"/>
      <c r="DM71" s="6"/>
      <c r="DN71" s="6"/>
      <c r="DO71" s="6"/>
      <c r="DP71" s="6"/>
      <c r="DQ71" s="6"/>
      <c r="DR71" s="6"/>
      <c r="DS71" s="6"/>
      <c r="DT71" s="6"/>
      <c r="DU71" s="6"/>
      <c r="DV71" s="6"/>
      <c r="DW71" s="6"/>
      <c r="DX71" s="6"/>
      <c r="DY71" s="6"/>
      <c r="DZ71" s="6"/>
      <c r="EA71" s="6"/>
      <c r="EB71" s="6"/>
      <c r="EC71" s="6"/>
      <c r="ED71" s="6"/>
      <c r="EE71" s="6"/>
      <c r="EF71" s="6"/>
      <c r="EG71" s="6"/>
      <c r="EH71" s="6"/>
      <c r="EI71" s="6"/>
      <c r="EJ71" s="6"/>
      <c r="EK71" s="6"/>
      <c r="EL71" s="6"/>
      <c r="EM71" s="6"/>
      <c r="EN71" s="6"/>
      <c r="EO71" s="6"/>
      <c r="EP71" s="6"/>
      <c r="EQ71" s="6"/>
      <c r="ER71" s="6"/>
      <c r="ES71" s="6"/>
      <c r="ET71" s="6"/>
      <c r="EU71" s="6"/>
      <c r="EV71" s="6"/>
      <c r="EW71" s="6"/>
      <c r="EX71" s="6"/>
      <c r="EY71" s="6"/>
      <c r="EZ71" s="6"/>
      <c r="FA71" s="6"/>
      <c r="FB71" s="6"/>
      <c r="FC71" s="6"/>
      <c r="FD71" s="6"/>
      <c r="FE71" s="6"/>
      <c r="FF71" s="6"/>
      <c r="FG71" s="6"/>
      <c r="FH71" s="6"/>
      <c r="FI71" s="6"/>
      <c r="FJ71" s="6"/>
      <c r="FK71" s="6"/>
      <c r="FL71" s="6"/>
      <c r="FM71" s="6"/>
      <c r="FN71" s="6"/>
      <c r="FO71" s="6"/>
      <c r="FP71" s="6"/>
      <c r="FQ71" s="6"/>
      <c r="FR71" s="6"/>
      <c r="FS71" s="6"/>
      <c r="FT71" s="6"/>
      <c r="FU71" s="6"/>
      <c r="FV71" s="6"/>
      <c r="FW71" s="6"/>
      <c r="FX71" s="6"/>
      <c r="FY71" s="6"/>
      <c r="FZ71" s="6"/>
      <c r="GA71" s="6"/>
      <c r="GB71" s="6"/>
      <c r="GC71" s="6"/>
    </row>
    <row r="72" spans="2:185" x14ac:dyDescent="0.25">
      <c r="E72" s="1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  <c r="CR72" s="6"/>
      <c r="CS72" s="6"/>
      <c r="CT72" s="6"/>
      <c r="CU72" s="6"/>
      <c r="CV72" s="6"/>
      <c r="CW72" s="6"/>
      <c r="CX72" s="6"/>
      <c r="CY72" s="6"/>
      <c r="CZ72" s="6"/>
      <c r="DA72" s="6"/>
      <c r="DB72" s="6"/>
      <c r="DC72" s="6"/>
      <c r="DD72" s="6"/>
      <c r="DE72" s="6"/>
      <c r="DF72" s="6"/>
      <c r="DG72" s="6"/>
      <c r="DH72" s="6"/>
      <c r="DI72" s="6"/>
      <c r="DJ72" s="6"/>
      <c r="DK72" s="6"/>
      <c r="DL72" s="6"/>
      <c r="DM72" s="6"/>
      <c r="DN72" s="6"/>
      <c r="DO72" s="6"/>
      <c r="DP72" s="6"/>
      <c r="DQ72" s="6"/>
      <c r="DR72" s="6"/>
      <c r="DS72" s="6"/>
      <c r="DT72" s="6"/>
      <c r="DU72" s="6"/>
      <c r="DV72" s="6"/>
      <c r="DW72" s="6"/>
      <c r="DX72" s="6"/>
      <c r="DY72" s="6"/>
      <c r="DZ72" s="6"/>
      <c r="EA72" s="6"/>
      <c r="EB72" s="6"/>
      <c r="EC72" s="6"/>
      <c r="ED72" s="6"/>
      <c r="EE72" s="6"/>
      <c r="EF72" s="6"/>
      <c r="EG72" s="6"/>
      <c r="EH72" s="6"/>
      <c r="EI72" s="6"/>
      <c r="EJ72" s="6"/>
      <c r="EK72" s="6"/>
      <c r="EL72" s="6"/>
      <c r="EM72" s="6"/>
      <c r="EN72" s="6"/>
      <c r="EO72" s="6"/>
      <c r="EP72" s="6"/>
      <c r="EQ72" s="6"/>
      <c r="ER72" s="6"/>
      <c r="ES72" s="6"/>
      <c r="ET72" s="6"/>
      <c r="EU72" s="6"/>
      <c r="EV72" s="6"/>
      <c r="EW72" s="6"/>
      <c r="EX72" s="6"/>
      <c r="EY72" s="6"/>
      <c r="EZ72" s="6"/>
      <c r="FA72" s="6"/>
      <c r="FB72" s="6"/>
      <c r="FC72" s="6"/>
      <c r="FD72" s="6"/>
      <c r="FE72" s="6"/>
      <c r="FF72" s="6"/>
      <c r="FG72" s="6"/>
      <c r="FH72" s="6"/>
      <c r="FI72" s="6"/>
      <c r="FJ72" s="6"/>
      <c r="FK72" s="6"/>
      <c r="FL72" s="6"/>
      <c r="FM72" s="6"/>
      <c r="FN72" s="6"/>
      <c r="FO72" s="6"/>
      <c r="FP72" s="6"/>
      <c r="FQ72" s="6"/>
      <c r="FR72" s="6"/>
      <c r="FS72" s="6"/>
      <c r="FT72" s="6"/>
      <c r="FU72" s="6"/>
      <c r="FV72" s="6"/>
      <c r="FW72" s="6"/>
      <c r="FX72" s="6"/>
      <c r="FY72" s="6"/>
      <c r="FZ72" s="6"/>
      <c r="GA72" s="6"/>
      <c r="GB72" s="6"/>
      <c r="GC72" s="6"/>
    </row>
    <row r="73" spans="2:185" x14ac:dyDescent="0.25">
      <c r="E73" s="1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  <c r="CR73" s="6"/>
      <c r="CS73" s="6"/>
      <c r="CT73" s="6"/>
      <c r="CU73" s="6"/>
      <c r="CV73" s="6"/>
      <c r="CW73" s="6"/>
      <c r="CX73" s="6"/>
      <c r="CY73" s="6"/>
      <c r="CZ73" s="6"/>
      <c r="DA73" s="6"/>
      <c r="DB73" s="6"/>
      <c r="DC73" s="6"/>
      <c r="DD73" s="6"/>
      <c r="DE73" s="6"/>
      <c r="DF73" s="6"/>
      <c r="DG73" s="6"/>
      <c r="DH73" s="6"/>
      <c r="DI73" s="6"/>
      <c r="DJ73" s="6"/>
      <c r="DK73" s="6"/>
      <c r="DL73" s="6"/>
      <c r="DM73" s="6"/>
      <c r="DN73" s="6"/>
      <c r="DO73" s="6"/>
      <c r="DP73" s="6"/>
      <c r="DQ73" s="6"/>
      <c r="DR73" s="6"/>
      <c r="DS73" s="6"/>
      <c r="DT73" s="6"/>
      <c r="DU73" s="6"/>
      <c r="DV73" s="6"/>
      <c r="DW73" s="6"/>
      <c r="DX73" s="6"/>
      <c r="DY73" s="6"/>
      <c r="DZ73" s="6"/>
      <c r="EA73" s="6"/>
      <c r="EB73" s="6"/>
      <c r="EC73" s="6"/>
      <c r="ED73" s="6"/>
      <c r="EE73" s="6"/>
      <c r="EF73" s="6"/>
      <c r="EG73" s="6"/>
      <c r="EH73" s="6"/>
      <c r="EI73" s="6"/>
      <c r="EJ73" s="6"/>
      <c r="EK73" s="6"/>
      <c r="EL73" s="6"/>
      <c r="EM73" s="6"/>
      <c r="EN73" s="6"/>
      <c r="EO73" s="6"/>
      <c r="EP73" s="6"/>
      <c r="EQ73" s="6"/>
      <c r="ER73" s="6"/>
      <c r="ES73" s="6"/>
      <c r="ET73" s="6"/>
      <c r="EU73" s="6"/>
      <c r="EV73" s="6"/>
      <c r="EW73" s="6"/>
      <c r="EX73" s="6"/>
      <c r="EY73" s="6"/>
      <c r="EZ73" s="6"/>
      <c r="FA73" s="6"/>
      <c r="FB73" s="6"/>
      <c r="FC73" s="6"/>
      <c r="FD73" s="6"/>
      <c r="FE73" s="6"/>
      <c r="FF73" s="6"/>
      <c r="FG73" s="6"/>
      <c r="FH73" s="6"/>
      <c r="FI73" s="6"/>
      <c r="FJ73" s="6"/>
      <c r="FK73" s="6"/>
      <c r="FL73" s="6"/>
      <c r="FM73" s="6"/>
      <c r="FN73" s="6"/>
      <c r="FO73" s="6"/>
      <c r="FP73" s="6"/>
      <c r="FQ73" s="6"/>
      <c r="FR73" s="6"/>
      <c r="FS73" s="6"/>
      <c r="FT73" s="6"/>
      <c r="FU73" s="6"/>
      <c r="FV73" s="6"/>
      <c r="FW73" s="6"/>
      <c r="FX73" s="6"/>
      <c r="FY73" s="6"/>
      <c r="FZ73" s="6"/>
      <c r="GA73" s="6"/>
      <c r="GB73" s="6"/>
      <c r="GC73" s="6"/>
    </row>
    <row r="74" spans="2:185" x14ac:dyDescent="0.25">
      <c r="E74" s="1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  <c r="FG74" s="6"/>
      <c r="FH74" s="6"/>
      <c r="FI74" s="6"/>
      <c r="FJ74" s="6"/>
      <c r="FK74" s="6"/>
      <c r="FL74" s="6"/>
      <c r="FM74" s="6"/>
      <c r="FN74" s="6"/>
      <c r="FO74" s="6"/>
      <c r="FP74" s="6"/>
      <c r="FQ74" s="6"/>
      <c r="FR74" s="6"/>
      <c r="FS74" s="6"/>
      <c r="FT74" s="6"/>
      <c r="FU74" s="6"/>
      <c r="FV74" s="6"/>
      <c r="FW74" s="6"/>
      <c r="FX74" s="6"/>
      <c r="FY74" s="6"/>
      <c r="FZ74" s="6"/>
      <c r="GA74" s="6"/>
      <c r="GB74" s="6"/>
      <c r="GC74" s="6"/>
    </row>
    <row r="75" spans="2:185" x14ac:dyDescent="0.25">
      <c r="E75" s="1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  <c r="CR75" s="6"/>
      <c r="CS75" s="6"/>
      <c r="CT75" s="6"/>
      <c r="CU75" s="6"/>
      <c r="CV75" s="6"/>
      <c r="CW75" s="6"/>
      <c r="CX75" s="6"/>
      <c r="CY75" s="6"/>
      <c r="CZ75" s="6"/>
      <c r="DA75" s="6"/>
      <c r="DB75" s="6"/>
      <c r="DC75" s="6"/>
      <c r="DD75" s="6"/>
      <c r="DE75" s="6"/>
      <c r="DF75" s="6"/>
      <c r="DG75" s="6"/>
      <c r="DH75" s="6"/>
      <c r="DI75" s="6"/>
      <c r="DJ75" s="6"/>
      <c r="DK75" s="6"/>
      <c r="DL75" s="6"/>
      <c r="DM75" s="6"/>
      <c r="DN75" s="6"/>
      <c r="DO75" s="6"/>
      <c r="DP75" s="6"/>
      <c r="DQ75" s="6"/>
      <c r="DR75" s="6"/>
      <c r="DS75" s="6"/>
      <c r="DT75" s="6"/>
      <c r="DU75" s="6"/>
      <c r="DV75" s="6"/>
      <c r="DW75" s="6"/>
      <c r="DX75" s="6"/>
      <c r="DY75" s="6"/>
      <c r="DZ75" s="6"/>
      <c r="EA75" s="6"/>
      <c r="EB75" s="6"/>
      <c r="EC75" s="6"/>
      <c r="ED75" s="6"/>
      <c r="EE75" s="6"/>
      <c r="EF75" s="6"/>
      <c r="EG75" s="6"/>
      <c r="EH75" s="6"/>
      <c r="EI75" s="6"/>
      <c r="EJ75" s="6"/>
      <c r="EK75" s="6"/>
      <c r="EL75" s="6"/>
      <c r="EM75" s="6"/>
      <c r="EN75" s="6"/>
      <c r="EO75" s="6"/>
      <c r="EP75" s="6"/>
      <c r="EQ75" s="6"/>
      <c r="ER75" s="6"/>
      <c r="ES75" s="6"/>
      <c r="ET75" s="6"/>
      <c r="EU75" s="6"/>
      <c r="EV75" s="6"/>
      <c r="EW75" s="6"/>
      <c r="EX75" s="6"/>
      <c r="EY75" s="6"/>
      <c r="EZ75" s="6"/>
      <c r="FA75" s="6"/>
      <c r="FB75" s="6"/>
      <c r="FC75" s="6"/>
      <c r="FD75" s="6"/>
      <c r="FE75" s="6"/>
      <c r="FF75" s="6"/>
      <c r="FG75" s="6"/>
      <c r="FH75" s="6"/>
      <c r="FI75" s="6"/>
      <c r="FJ75" s="6"/>
      <c r="FK75" s="6"/>
      <c r="FL75" s="6"/>
      <c r="FM75" s="6"/>
      <c r="FN75" s="6"/>
      <c r="FO75" s="6"/>
      <c r="FP75" s="6"/>
      <c r="FQ75" s="6"/>
      <c r="FR75" s="6"/>
      <c r="FS75" s="6"/>
      <c r="FT75" s="6"/>
      <c r="FU75" s="6"/>
      <c r="FV75" s="6"/>
      <c r="FW75" s="6"/>
      <c r="FX75" s="6"/>
      <c r="FY75" s="6"/>
      <c r="FZ75" s="6"/>
      <c r="GA75" s="6"/>
      <c r="GB75" s="6"/>
      <c r="GC75" s="6"/>
    </row>
    <row r="76" spans="2:185" x14ac:dyDescent="0.25">
      <c r="E76" s="1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  <c r="CR76" s="6"/>
      <c r="CS76" s="6"/>
      <c r="CT76" s="6"/>
      <c r="CU76" s="6"/>
      <c r="CV76" s="6"/>
      <c r="CW76" s="6"/>
      <c r="CX76" s="6"/>
      <c r="CY76" s="6"/>
      <c r="CZ76" s="6"/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6"/>
      <c r="DZ76" s="6"/>
      <c r="EA76" s="6"/>
      <c r="EB76" s="6"/>
      <c r="EC76" s="6"/>
      <c r="ED76" s="6"/>
      <c r="EE76" s="6"/>
      <c r="EF76" s="6"/>
      <c r="EG76" s="6"/>
      <c r="EH76" s="6"/>
      <c r="EI76" s="6"/>
      <c r="EJ76" s="6"/>
      <c r="EK76" s="6"/>
      <c r="EL76" s="6"/>
      <c r="EM76" s="6"/>
      <c r="EN76" s="6"/>
      <c r="EO76" s="6"/>
      <c r="EP76" s="6"/>
      <c r="EQ76" s="6"/>
      <c r="ER76" s="6"/>
      <c r="ES76" s="6"/>
      <c r="ET76" s="6"/>
      <c r="EU76" s="6"/>
      <c r="EV76" s="6"/>
      <c r="EW76" s="6"/>
      <c r="EX76" s="6"/>
      <c r="EY76" s="6"/>
      <c r="EZ76" s="6"/>
      <c r="FA76" s="6"/>
      <c r="FB76" s="6"/>
      <c r="FC76" s="6"/>
      <c r="FD76" s="6"/>
      <c r="FE76" s="6"/>
      <c r="FF76" s="6"/>
      <c r="FG76" s="6"/>
      <c r="FH76" s="6"/>
      <c r="FI76" s="6"/>
      <c r="FJ76" s="6"/>
      <c r="FK76" s="6"/>
      <c r="FL76" s="6"/>
      <c r="FM76" s="6"/>
      <c r="FN76" s="6"/>
      <c r="FO76" s="6"/>
      <c r="FP76" s="6"/>
      <c r="FQ76" s="6"/>
      <c r="FR76" s="6"/>
      <c r="FS76" s="6"/>
      <c r="FT76" s="6"/>
      <c r="FU76" s="6"/>
      <c r="FV76" s="6"/>
      <c r="FW76" s="6"/>
      <c r="FX76" s="6"/>
      <c r="FY76" s="6"/>
      <c r="FZ76" s="6"/>
      <c r="GA76" s="6"/>
      <c r="GB76" s="6"/>
      <c r="GC76" s="6"/>
    </row>
    <row r="77" spans="2:185" x14ac:dyDescent="0.25">
      <c r="E77" s="1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  <c r="CR77" s="6"/>
      <c r="CS77" s="6"/>
      <c r="CT77" s="6"/>
      <c r="CU77" s="6"/>
      <c r="CV77" s="6"/>
      <c r="CW77" s="6"/>
      <c r="CX77" s="6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6"/>
      <c r="DO77" s="6"/>
      <c r="DP77" s="6"/>
      <c r="DQ77" s="6"/>
      <c r="DR77" s="6"/>
      <c r="DS77" s="6"/>
      <c r="DT77" s="6"/>
      <c r="DU77" s="6"/>
      <c r="DV77" s="6"/>
      <c r="DW77" s="6"/>
      <c r="DX77" s="6"/>
      <c r="DY77" s="6"/>
      <c r="DZ77" s="6"/>
      <c r="EA77" s="6"/>
      <c r="EB77" s="6"/>
      <c r="EC77" s="6"/>
      <c r="ED77" s="6"/>
      <c r="EE77" s="6"/>
      <c r="EF77" s="6"/>
      <c r="EG77" s="6"/>
      <c r="EH77" s="6"/>
      <c r="EI77" s="6"/>
      <c r="EJ77" s="6"/>
      <c r="EK77" s="6"/>
      <c r="EL77" s="6"/>
      <c r="EM77" s="6"/>
      <c r="EN77" s="6"/>
      <c r="EO77" s="6"/>
      <c r="EP77" s="6"/>
      <c r="EQ77" s="6"/>
      <c r="ER77" s="6"/>
      <c r="ES77" s="6"/>
      <c r="ET77" s="6"/>
      <c r="EU77" s="6"/>
      <c r="EV77" s="6"/>
      <c r="EW77" s="6"/>
      <c r="EX77" s="6"/>
      <c r="EY77" s="6"/>
      <c r="EZ77" s="6"/>
      <c r="FA77" s="6"/>
      <c r="FB77" s="6"/>
      <c r="FC77" s="6"/>
      <c r="FD77" s="6"/>
      <c r="FE77" s="6"/>
      <c r="FF77" s="6"/>
      <c r="FG77" s="6"/>
      <c r="FH77" s="6"/>
      <c r="FI77" s="6"/>
      <c r="FJ77" s="6"/>
      <c r="FK77" s="6"/>
      <c r="FL77" s="6"/>
      <c r="FM77" s="6"/>
      <c r="FN77" s="6"/>
      <c r="FO77" s="6"/>
      <c r="FP77" s="6"/>
      <c r="FQ77" s="6"/>
      <c r="FR77" s="6"/>
      <c r="FS77" s="6"/>
      <c r="FT77" s="6"/>
      <c r="FU77" s="6"/>
      <c r="FV77" s="6"/>
      <c r="FW77" s="6"/>
      <c r="FX77" s="6"/>
      <c r="FY77" s="6"/>
      <c r="FZ77" s="6"/>
      <c r="GA77" s="6"/>
      <c r="GB77" s="6"/>
      <c r="GC77" s="6"/>
    </row>
    <row r="78" spans="2:185" x14ac:dyDescent="0.25">
      <c r="E78" s="1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  <c r="CR78" s="6"/>
      <c r="CS78" s="6"/>
      <c r="CT78" s="6"/>
      <c r="CU78" s="6"/>
      <c r="CV78" s="6"/>
      <c r="CW78" s="6"/>
      <c r="CX78" s="6"/>
      <c r="CY78" s="6"/>
      <c r="CZ78" s="6"/>
      <c r="DA78" s="6"/>
      <c r="DB78" s="6"/>
      <c r="DC78" s="6"/>
      <c r="DD78" s="6"/>
      <c r="DE78" s="6"/>
      <c r="DF78" s="6"/>
      <c r="DG78" s="6"/>
      <c r="DH78" s="6"/>
      <c r="DI78" s="6"/>
      <c r="DJ78" s="6"/>
      <c r="DK78" s="6"/>
      <c r="DL78" s="6"/>
      <c r="DM78" s="6"/>
      <c r="DN78" s="6"/>
      <c r="DO78" s="6"/>
      <c r="DP78" s="6"/>
      <c r="DQ78" s="6"/>
      <c r="DR78" s="6"/>
      <c r="DS78" s="6"/>
      <c r="DT78" s="6"/>
      <c r="DU78" s="6"/>
      <c r="DV78" s="6"/>
      <c r="DW78" s="6"/>
      <c r="DX78" s="6"/>
      <c r="DY78" s="6"/>
      <c r="DZ78" s="6"/>
      <c r="EA78" s="6"/>
      <c r="EB78" s="6"/>
      <c r="EC78" s="6"/>
      <c r="ED78" s="6"/>
      <c r="EE78" s="6"/>
      <c r="EF78" s="6"/>
      <c r="EG78" s="6"/>
      <c r="EH78" s="6"/>
      <c r="EI78" s="6"/>
      <c r="EJ78" s="6"/>
      <c r="EK78" s="6"/>
      <c r="EL78" s="6"/>
      <c r="EM78" s="6"/>
      <c r="EN78" s="6"/>
      <c r="EO78" s="6"/>
      <c r="EP78" s="6"/>
      <c r="EQ78" s="6"/>
      <c r="ER78" s="6"/>
      <c r="ES78" s="6"/>
      <c r="ET78" s="6"/>
      <c r="EU78" s="6"/>
      <c r="EV78" s="6"/>
      <c r="EW78" s="6"/>
      <c r="EX78" s="6"/>
      <c r="EY78" s="6"/>
      <c r="EZ78" s="6"/>
      <c r="FA78" s="6"/>
      <c r="FB78" s="6"/>
      <c r="FC78" s="6"/>
      <c r="FD78" s="6"/>
      <c r="FE78" s="6"/>
      <c r="FF78" s="6"/>
      <c r="FG78" s="6"/>
      <c r="FH78" s="6"/>
      <c r="FI78" s="6"/>
      <c r="FJ78" s="6"/>
      <c r="FK78" s="6"/>
      <c r="FL78" s="6"/>
      <c r="FM78" s="6"/>
      <c r="FN78" s="6"/>
      <c r="FO78" s="6"/>
      <c r="FP78" s="6"/>
      <c r="FQ78" s="6"/>
      <c r="FR78" s="6"/>
      <c r="FS78" s="6"/>
      <c r="FT78" s="6"/>
      <c r="FU78" s="6"/>
      <c r="FV78" s="6"/>
      <c r="FW78" s="6"/>
      <c r="FX78" s="6"/>
      <c r="FY78" s="6"/>
      <c r="FZ78" s="6"/>
      <c r="GA78" s="6"/>
      <c r="GB78" s="6"/>
      <c r="GC78" s="6"/>
    </row>
    <row r="79" spans="2:185" x14ac:dyDescent="0.25">
      <c r="E79" s="1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  <c r="CN79" s="6"/>
      <c r="CO79" s="6"/>
      <c r="CP79" s="6"/>
      <c r="CQ79" s="6"/>
      <c r="CR79" s="6"/>
      <c r="CS79" s="6"/>
      <c r="CT79" s="6"/>
      <c r="CU79" s="6"/>
      <c r="CV79" s="6"/>
      <c r="CW79" s="6"/>
      <c r="CX79" s="6"/>
      <c r="CY79" s="6"/>
      <c r="CZ79" s="6"/>
      <c r="DA79" s="6"/>
      <c r="DB79" s="6"/>
      <c r="DC79" s="6"/>
      <c r="DD79" s="6"/>
      <c r="DE79" s="6"/>
      <c r="DF79" s="6"/>
      <c r="DG79" s="6"/>
      <c r="DH79" s="6"/>
      <c r="DI79" s="6"/>
      <c r="DJ79" s="6"/>
      <c r="DK79" s="6"/>
      <c r="DL79" s="6"/>
      <c r="DM79" s="6"/>
      <c r="DN79" s="6"/>
      <c r="DO79" s="6"/>
      <c r="DP79" s="6"/>
      <c r="DQ79" s="6"/>
      <c r="DR79" s="6"/>
      <c r="DS79" s="6"/>
      <c r="DT79" s="6"/>
      <c r="DU79" s="6"/>
      <c r="DV79" s="6"/>
      <c r="DW79" s="6"/>
      <c r="DX79" s="6"/>
      <c r="DY79" s="6"/>
      <c r="DZ79" s="6"/>
      <c r="EA79" s="6"/>
      <c r="EB79" s="6"/>
      <c r="EC79" s="6"/>
      <c r="ED79" s="6"/>
      <c r="EE79" s="6"/>
      <c r="EF79" s="6"/>
      <c r="EG79" s="6"/>
      <c r="EH79" s="6"/>
      <c r="EI79" s="6"/>
      <c r="EJ79" s="6"/>
      <c r="EK79" s="6"/>
      <c r="EL79" s="6"/>
      <c r="EM79" s="6"/>
      <c r="EN79" s="6"/>
      <c r="EO79" s="6"/>
      <c r="EP79" s="6"/>
      <c r="EQ79" s="6"/>
      <c r="ER79" s="6"/>
      <c r="ES79" s="6"/>
      <c r="ET79" s="6"/>
      <c r="EU79" s="6"/>
      <c r="EV79" s="6"/>
      <c r="EW79" s="6"/>
      <c r="EX79" s="6"/>
      <c r="EY79" s="6"/>
      <c r="EZ79" s="6"/>
      <c r="FA79" s="6"/>
      <c r="FB79" s="6"/>
      <c r="FC79" s="6"/>
      <c r="FD79" s="6"/>
      <c r="FE79" s="6"/>
      <c r="FF79" s="6"/>
      <c r="FG79" s="6"/>
      <c r="FH79" s="6"/>
      <c r="FI79" s="6"/>
      <c r="FJ79" s="6"/>
      <c r="FK79" s="6"/>
      <c r="FL79" s="6"/>
      <c r="FM79" s="6"/>
      <c r="FN79" s="6"/>
      <c r="FO79" s="6"/>
      <c r="FP79" s="6"/>
      <c r="FQ79" s="6"/>
      <c r="FR79" s="6"/>
      <c r="FS79" s="6"/>
      <c r="FT79" s="6"/>
      <c r="FU79" s="6"/>
      <c r="FV79" s="6"/>
      <c r="FW79" s="6"/>
      <c r="FX79" s="6"/>
      <c r="FY79" s="6"/>
      <c r="FZ79" s="6"/>
      <c r="GA79" s="6"/>
      <c r="GB79" s="6"/>
      <c r="GC79" s="6"/>
    </row>
    <row r="80" spans="2:185" x14ac:dyDescent="0.25">
      <c r="E80" s="1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6"/>
      <c r="CV80" s="6"/>
      <c r="CW80" s="6"/>
      <c r="CX80" s="6"/>
      <c r="CY80" s="6"/>
      <c r="CZ80" s="6"/>
      <c r="DA80" s="6"/>
      <c r="DB80" s="6"/>
      <c r="DC80" s="6"/>
      <c r="DD80" s="6"/>
      <c r="DE80" s="6"/>
      <c r="DF80" s="6"/>
      <c r="DG80" s="6"/>
      <c r="DH80" s="6"/>
      <c r="DI80" s="6"/>
      <c r="DJ80" s="6"/>
      <c r="DK80" s="6"/>
      <c r="DL80" s="6"/>
      <c r="DM80" s="6"/>
      <c r="DN80" s="6"/>
      <c r="DO80" s="6"/>
      <c r="DP80" s="6"/>
      <c r="DQ80" s="6"/>
      <c r="DR80" s="6"/>
      <c r="DS80" s="6"/>
      <c r="DT80" s="6"/>
      <c r="DU80" s="6"/>
      <c r="DV80" s="6"/>
      <c r="DW80" s="6"/>
      <c r="DX80" s="6"/>
      <c r="DY80" s="6"/>
      <c r="DZ80" s="6"/>
      <c r="EA80" s="6"/>
      <c r="EB80" s="6"/>
      <c r="EC80" s="6"/>
      <c r="ED80" s="6"/>
      <c r="EE80" s="6"/>
      <c r="EF80" s="6"/>
      <c r="EG80" s="6"/>
      <c r="EH80" s="6"/>
      <c r="EI80" s="6"/>
      <c r="EJ80" s="6"/>
      <c r="EK80" s="6"/>
      <c r="EL80" s="6"/>
      <c r="EM80" s="6"/>
      <c r="EN80" s="6"/>
      <c r="EO80" s="6"/>
      <c r="EP80" s="6"/>
      <c r="EQ80" s="6"/>
      <c r="ER80" s="6"/>
      <c r="ES80" s="6"/>
      <c r="ET80" s="6"/>
      <c r="EU80" s="6"/>
      <c r="EV80" s="6"/>
      <c r="EW80" s="6"/>
      <c r="EX80" s="6"/>
      <c r="EY80" s="6"/>
      <c r="EZ80" s="6"/>
      <c r="FA80" s="6"/>
      <c r="FB80" s="6"/>
      <c r="FC80" s="6"/>
      <c r="FD80" s="6"/>
      <c r="FE80" s="6"/>
      <c r="FF80" s="6"/>
      <c r="FG80" s="6"/>
      <c r="FH80" s="6"/>
      <c r="FI80" s="6"/>
      <c r="FJ80" s="6"/>
      <c r="FK80" s="6"/>
      <c r="FL80" s="6"/>
      <c r="FM80" s="6"/>
      <c r="FN80" s="6"/>
      <c r="FO80" s="6"/>
      <c r="FP80" s="6"/>
      <c r="FQ80" s="6"/>
      <c r="FR80" s="6"/>
      <c r="FS80" s="6"/>
      <c r="FT80" s="6"/>
      <c r="FU80" s="6"/>
      <c r="FV80" s="6"/>
      <c r="FW80" s="6"/>
      <c r="FX80" s="6"/>
      <c r="FY80" s="6"/>
      <c r="FZ80" s="6"/>
      <c r="GA80" s="6"/>
      <c r="GB80" s="6"/>
      <c r="GC80" s="6"/>
    </row>
    <row r="81" spans="5:185" x14ac:dyDescent="0.25">
      <c r="E81" s="1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  <c r="CY81" s="6"/>
      <c r="CZ81" s="6"/>
      <c r="DA81" s="6"/>
      <c r="DB81" s="6"/>
      <c r="DC81" s="6"/>
      <c r="DD81" s="6"/>
      <c r="DE81" s="6"/>
      <c r="DF81" s="6"/>
      <c r="DG81" s="6"/>
      <c r="DH81" s="6"/>
      <c r="DI81" s="6"/>
      <c r="DJ81" s="6"/>
      <c r="DK81" s="6"/>
      <c r="DL81" s="6"/>
      <c r="DM81" s="6"/>
      <c r="DN81" s="6"/>
      <c r="DO81" s="6"/>
      <c r="DP81" s="6"/>
      <c r="DQ81" s="6"/>
      <c r="DR81" s="6"/>
      <c r="DS81" s="6"/>
      <c r="DT81" s="6"/>
      <c r="DU81" s="6"/>
      <c r="DV81" s="6"/>
      <c r="DW81" s="6"/>
      <c r="DX81" s="6"/>
      <c r="DY81" s="6"/>
      <c r="DZ81" s="6"/>
      <c r="EA81" s="6"/>
      <c r="EB81" s="6"/>
      <c r="EC81" s="6"/>
      <c r="ED81" s="6"/>
      <c r="EE81" s="6"/>
      <c r="EF81" s="6"/>
      <c r="EG81" s="6"/>
      <c r="EH81" s="6"/>
      <c r="EI81" s="6"/>
      <c r="EJ81" s="6"/>
      <c r="EK81" s="6"/>
      <c r="EL81" s="6"/>
      <c r="EM81" s="6"/>
      <c r="EN81" s="6"/>
      <c r="EO81" s="6"/>
      <c r="EP81" s="6"/>
      <c r="EQ81" s="6"/>
      <c r="ER81" s="6"/>
      <c r="ES81" s="6"/>
      <c r="ET81" s="6"/>
      <c r="EU81" s="6"/>
      <c r="EV81" s="6"/>
      <c r="EW81" s="6"/>
      <c r="EX81" s="6"/>
      <c r="EY81" s="6"/>
      <c r="EZ81" s="6"/>
      <c r="FA81" s="6"/>
      <c r="FB81" s="6"/>
      <c r="FC81" s="6"/>
      <c r="FD81" s="6"/>
      <c r="FE81" s="6"/>
      <c r="FF81" s="6"/>
      <c r="FG81" s="6"/>
      <c r="FH81" s="6"/>
      <c r="FI81" s="6"/>
      <c r="FJ81" s="6"/>
      <c r="FK81" s="6"/>
      <c r="FL81" s="6"/>
      <c r="FM81" s="6"/>
      <c r="FN81" s="6"/>
      <c r="FO81" s="6"/>
      <c r="FP81" s="6"/>
      <c r="FQ81" s="6"/>
      <c r="FR81" s="6"/>
      <c r="FS81" s="6"/>
      <c r="FT81" s="6"/>
      <c r="FU81" s="6"/>
      <c r="FV81" s="6"/>
      <c r="FW81" s="6"/>
      <c r="FX81" s="6"/>
      <c r="FY81" s="6"/>
      <c r="FZ81" s="6"/>
      <c r="GA81" s="6"/>
      <c r="GB81" s="6"/>
      <c r="GC81" s="6"/>
    </row>
    <row r="82" spans="5:185" x14ac:dyDescent="0.25">
      <c r="E82" s="1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  <c r="EA82" s="6"/>
      <c r="EB82" s="6"/>
      <c r="EC82" s="6"/>
      <c r="ED82" s="6"/>
      <c r="EE82" s="6"/>
      <c r="EF82" s="6"/>
      <c r="EG82" s="6"/>
      <c r="EH82" s="6"/>
      <c r="EI82" s="6"/>
      <c r="EJ82" s="6"/>
      <c r="EK82" s="6"/>
      <c r="EL82" s="6"/>
      <c r="EM82" s="6"/>
      <c r="EN82" s="6"/>
      <c r="EO82" s="6"/>
      <c r="EP82" s="6"/>
      <c r="EQ82" s="6"/>
      <c r="ER82" s="6"/>
      <c r="ES82" s="6"/>
      <c r="ET82" s="6"/>
      <c r="EU82" s="6"/>
      <c r="EV82" s="6"/>
      <c r="EW82" s="6"/>
      <c r="EX82" s="6"/>
      <c r="EY82" s="6"/>
      <c r="EZ82" s="6"/>
      <c r="FA82" s="6"/>
      <c r="FB82" s="6"/>
      <c r="FC82" s="6"/>
      <c r="FD82" s="6"/>
      <c r="FE82" s="6"/>
      <c r="FF82" s="6"/>
      <c r="FG82" s="6"/>
      <c r="FH82" s="6"/>
      <c r="FI82" s="6"/>
      <c r="FJ82" s="6"/>
      <c r="FK82" s="6"/>
      <c r="FL82" s="6"/>
      <c r="FM82" s="6"/>
      <c r="FN82" s="6"/>
      <c r="FO82" s="6"/>
      <c r="FP82" s="6"/>
      <c r="FQ82" s="6"/>
      <c r="FR82" s="6"/>
      <c r="FS82" s="6"/>
      <c r="FT82" s="6"/>
      <c r="FU82" s="6"/>
      <c r="FV82" s="6"/>
      <c r="FW82" s="6"/>
      <c r="FX82" s="6"/>
      <c r="FY82" s="6"/>
      <c r="FZ82" s="6"/>
      <c r="GA82" s="6"/>
      <c r="GB82" s="6"/>
      <c r="GC82" s="6"/>
    </row>
    <row r="83" spans="5:185" x14ac:dyDescent="0.25">
      <c r="E83" s="1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  <c r="CN83" s="6"/>
      <c r="CO83" s="6"/>
      <c r="CP83" s="6"/>
      <c r="CQ83" s="6"/>
      <c r="CR83" s="6"/>
      <c r="CS83" s="6"/>
      <c r="CT83" s="6"/>
      <c r="CU83" s="6"/>
      <c r="CV83" s="6"/>
      <c r="CW83" s="6"/>
      <c r="CX83" s="6"/>
      <c r="CY83" s="6"/>
      <c r="CZ83" s="6"/>
      <c r="DA83" s="6"/>
      <c r="DB83" s="6"/>
      <c r="DC83" s="6"/>
      <c r="DD83" s="6"/>
      <c r="DE83" s="6"/>
      <c r="DF83" s="6"/>
      <c r="DG83" s="6"/>
      <c r="DH83" s="6"/>
      <c r="DI83" s="6"/>
      <c r="DJ83" s="6"/>
      <c r="DK83" s="6"/>
      <c r="DL83" s="6"/>
      <c r="DM83" s="6"/>
      <c r="DN83" s="6"/>
      <c r="DO83" s="6"/>
      <c r="DP83" s="6"/>
      <c r="DQ83" s="6"/>
      <c r="DR83" s="6"/>
      <c r="DS83" s="6"/>
      <c r="DT83" s="6"/>
      <c r="DU83" s="6"/>
      <c r="DV83" s="6"/>
      <c r="DW83" s="6"/>
      <c r="DX83" s="6"/>
      <c r="DY83" s="6"/>
      <c r="DZ83" s="6"/>
      <c r="EA83" s="6"/>
      <c r="EB83" s="6"/>
      <c r="EC83" s="6"/>
      <c r="ED83" s="6"/>
      <c r="EE83" s="6"/>
      <c r="EF83" s="6"/>
      <c r="EG83" s="6"/>
      <c r="EH83" s="6"/>
      <c r="EI83" s="6"/>
      <c r="EJ83" s="6"/>
      <c r="EK83" s="6"/>
      <c r="EL83" s="6"/>
      <c r="EM83" s="6"/>
      <c r="EN83" s="6"/>
      <c r="EO83" s="6"/>
      <c r="EP83" s="6"/>
      <c r="EQ83" s="6"/>
      <c r="ER83" s="6"/>
      <c r="ES83" s="6"/>
      <c r="ET83" s="6"/>
      <c r="EU83" s="6"/>
      <c r="EV83" s="6"/>
      <c r="EW83" s="6"/>
      <c r="EX83" s="6"/>
      <c r="EY83" s="6"/>
      <c r="EZ83" s="6"/>
      <c r="FA83" s="6"/>
      <c r="FB83" s="6"/>
      <c r="FC83" s="6"/>
      <c r="FD83" s="6"/>
      <c r="FE83" s="6"/>
      <c r="FF83" s="6"/>
      <c r="FG83" s="6"/>
      <c r="FH83" s="6"/>
      <c r="FI83" s="6"/>
      <c r="FJ83" s="6"/>
      <c r="FK83" s="6"/>
      <c r="FL83" s="6"/>
      <c r="FM83" s="6"/>
      <c r="FN83" s="6"/>
      <c r="FO83" s="6"/>
      <c r="FP83" s="6"/>
      <c r="FQ83" s="6"/>
      <c r="FR83" s="6"/>
      <c r="FS83" s="6"/>
      <c r="FT83" s="6"/>
      <c r="FU83" s="6"/>
      <c r="FV83" s="6"/>
      <c r="FW83" s="6"/>
      <c r="FX83" s="6"/>
      <c r="FY83" s="6"/>
      <c r="FZ83" s="6"/>
      <c r="GA83" s="6"/>
      <c r="GB83" s="6"/>
      <c r="GC83" s="6"/>
    </row>
    <row r="84" spans="5:185" x14ac:dyDescent="0.25">
      <c r="E84" s="1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  <c r="CN84" s="6"/>
      <c r="CO84" s="6"/>
      <c r="CP84" s="6"/>
      <c r="CQ84" s="6"/>
      <c r="CR84" s="6"/>
      <c r="CS84" s="6"/>
      <c r="CT84" s="6"/>
      <c r="CU84" s="6"/>
      <c r="CV84" s="6"/>
      <c r="CW84" s="6"/>
      <c r="CX84" s="6"/>
      <c r="CY84" s="6"/>
      <c r="CZ84" s="6"/>
      <c r="DA84" s="6"/>
      <c r="DB84" s="6"/>
      <c r="DC84" s="6"/>
      <c r="DD84" s="6"/>
      <c r="DE84" s="6"/>
      <c r="DF84" s="6"/>
      <c r="DG84" s="6"/>
      <c r="DH84" s="6"/>
      <c r="DI84" s="6"/>
      <c r="DJ84" s="6"/>
      <c r="DK84" s="6"/>
      <c r="DL84" s="6"/>
      <c r="DM84" s="6"/>
      <c r="DN84" s="6"/>
      <c r="DO84" s="6"/>
      <c r="DP84" s="6"/>
      <c r="DQ84" s="6"/>
      <c r="DR84" s="6"/>
      <c r="DS84" s="6"/>
      <c r="DT84" s="6"/>
      <c r="DU84" s="6"/>
      <c r="DV84" s="6"/>
      <c r="DW84" s="6"/>
      <c r="DX84" s="6"/>
      <c r="DY84" s="6"/>
      <c r="DZ84" s="6"/>
      <c r="EA84" s="6"/>
      <c r="EB84" s="6"/>
      <c r="EC84" s="6"/>
      <c r="ED84" s="6"/>
      <c r="EE84" s="6"/>
      <c r="EF84" s="6"/>
      <c r="EG84" s="6"/>
      <c r="EH84" s="6"/>
      <c r="EI84" s="6"/>
      <c r="EJ84" s="6"/>
      <c r="EK84" s="6"/>
      <c r="EL84" s="6"/>
      <c r="EM84" s="6"/>
      <c r="EN84" s="6"/>
      <c r="EO84" s="6"/>
      <c r="EP84" s="6"/>
      <c r="EQ84" s="6"/>
      <c r="ER84" s="6"/>
      <c r="ES84" s="6"/>
      <c r="ET84" s="6"/>
      <c r="EU84" s="6"/>
      <c r="EV84" s="6"/>
      <c r="EW84" s="6"/>
      <c r="EX84" s="6"/>
      <c r="EY84" s="6"/>
      <c r="EZ84" s="6"/>
      <c r="FA84" s="6"/>
      <c r="FB84" s="6"/>
      <c r="FC84" s="6"/>
      <c r="FD84" s="6"/>
      <c r="FE84" s="6"/>
      <c r="FF84" s="6"/>
      <c r="FG84" s="6"/>
      <c r="FH84" s="6"/>
      <c r="FI84" s="6"/>
      <c r="FJ84" s="6"/>
      <c r="FK84" s="6"/>
      <c r="FL84" s="6"/>
      <c r="FM84" s="6"/>
      <c r="FN84" s="6"/>
      <c r="FO84" s="6"/>
      <c r="FP84" s="6"/>
      <c r="FQ84" s="6"/>
      <c r="FR84" s="6"/>
      <c r="FS84" s="6"/>
      <c r="FT84" s="6"/>
      <c r="FU84" s="6"/>
      <c r="FV84" s="6"/>
      <c r="FW84" s="6"/>
      <c r="FX84" s="6"/>
      <c r="FY84" s="6"/>
      <c r="FZ84" s="6"/>
      <c r="GA84" s="6"/>
      <c r="GB84" s="6"/>
      <c r="GC84" s="6"/>
    </row>
    <row r="85" spans="5:185" x14ac:dyDescent="0.25">
      <c r="E85" s="1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  <c r="CN85" s="6"/>
      <c r="CO85" s="6"/>
      <c r="CP85" s="6"/>
      <c r="CQ85" s="6"/>
      <c r="CR85" s="6"/>
      <c r="CS85" s="6"/>
      <c r="CT85" s="6"/>
      <c r="CU85" s="6"/>
      <c r="CV85" s="6"/>
      <c r="CW85" s="6"/>
      <c r="CX85" s="6"/>
      <c r="CY85" s="6"/>
      <c r="CZ85" s="6"/>
      <c r="DA85" s="6"/>
      <c r="DB85" s="6"/>
      <c r="DC85" s="6"/>
      <c r="DD85" s="6"/>
      <c r="DE85" s="6"/>
      <c r="DF85" s="6"/>
      <c r="DG85" s="6"/>
      <c r="DH85" s="6"/>
      <c r="DI85" s="6"/>
      <c r="DJ85" s="6"/>
      <c r="DK85" s="6"/>
      <c r="DL85" s="6"/>
      <c r="DM85" s="6"/>
      <c r="DN85" s="6"/>
      <c r="DO85" s="6"/>
      <c r="DP85" s="6"/>
      <c r="DQ85" s="6"/>
      <c r="DR85" s="6"/>
      <c r="DS85" s="6"/>
      <c r="DT85" s="6"/>
      <c r="DU85" s="6"/>
      <c r="DV85" s="6"/>
      <c r="DW85" s="6"/>
      <c r="DX85" s="6"/>
      <c r="DY85" s="6"/>
      <c r="DZ85" s="6"/>
      <c r="EA85" s="6"/>
      <c r="EB85" s="6"/>
      <c r="EC85" s="6"/>
      <c r="ED85" s="6"/>
      <c r="EE85" s="6"/>
      <c r="EF85" s="6"/>
      <c r="EG85" s="6"/>
      <c r="EH85" s="6"/>
      <c r="EI85" s="6"/>
      <c r="EJ85" s="6"/>
      <c r="EK85" s="6"/>
      <c r="EL85" s="6"/>
      <c r="EM85" s="6"/>
      <c r="EN85" s="6"/>
      <c r="EO85" s="6"/>
      <c r="EP85" s="6"/>
      <c r="EQ85" s="6"/>
      <c r="ER85" s="6"/>
      <c r="ES85" s="6"/>
      <c r="ET85" s="6"/>
      <c r="EU85" s="6"/>
      <c r="EV85" s="6"/>
      <c r="EW85" s="6"/>
      <c r="EX85" s="6"/>
      <c r="EY85" s="6"/>
      <c r="EZ85" s="6"/>
      <c r="FA85" s="6"/>
      <c r="FB85" s="6"/>
      <c r="FC85" s="6"/>
      <c r="FD85" s="6"/>
      <c r="FE85" s="6"/>
      <c r="FF85" s="6"/>
      <c r="FG85" s="6"/>
      <c r="FH85" s="6"/>
      <c r="FI85" s="6"/>
      <c r="FJ85" s="6"/>
      <c r="FK85" s="6"/>
      <c r="FL85" s="6"/>
      <c r="FM85" s="6"/>
      <c r="FN85" s="6"/>
      <c r="FO85" s="6"/>
      <c r="FP85" s="6"/>
      <c r="FQ85" s="6"/>
      <c r="FR85" s="6"/>
      <c r="FS85" s="6"/>
      <c r="FT85" s="6"/>
      <c r="FU85" s="6"/>
      <c r="FV85" s="6"/>
      <c r="FW85" s="6"/>
      <c r="FX85" s="6"/>
      <c r="FY85" s="6"/>
      <c r="FZ85" s="6"/>
      <c r="GA85" s="6"/>
      <c r="GB85" s="6"/>
      <c r="GC85" s="6"/>
    </row>
    <row r="86" spans="5:185" x14ac:dyDescent="0.25">
      <c r="E86" s="1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  <c r="CY86" s="6"/>
      <c r="CZ86" s="6"/>
      <c r="DA86" s="6"/>
      <c r="DB86" s="6"/>
      <c r="DC86" s="6"/>
      <c r="DD86" s="6"/>
      <c r="DE86" s="6"/>
      <c r="DF86" s="6"/>
      <c r="DG86" s="6"/>
      <c r="DH86" s="6"/>
      <c r="DI86" s="6"/>
      <c r="DJ86" s="6"/>
      <c r="DK86" s="6"/>
      <c r="DL86" s="6"/>
      <c r="DM86" s="6"/>
      <c r="DN86" s="6"/>
      <c r="DO86" s="6"/>
      <c r="DP86" s="6"/>
      <c r="DQ86" s="6"/>
      <c r="DR86" s="6"/>
      <c r="DS86" s="6"/>
      <c r="DT86" s="6"/>
      <c r="DU86" s="6"/>
      <c r="DV86" s="6"/>
      <c r="DW86" s="6"/>
      <c r="DX86" s="6"/>
      <c r="DY86" s="6"/>
      <c r="DZ86" s="6"/>
      <c r="EA86" s="6"/>
      <c r="EB86" s="6"/>
      <c r="EC86" s="6"/>
      <c r="ED86" s="6"/>
      <c r="EE86" s="6"/>
      <c r="EF86" s="6"/>
      <c r="EG86" s="6"/>
      <c r="EH86" s="6"/>
      <c r="EI86" s="6"/>
      <c r="EJ86" s="6"/>
      <c r="EK86" s="6"/>
      <c r="EL86" s="6"/>
      <c r="EM86" s="6"/>
      <c r="EN86" s="6"/>
      <c r="EO86" s="6"/>
      <c r="EP86" s="6"/>
      <c r="EQ86" s="6"/>
      <c r="ER86" s="6"/>
      <c r="ES86" s="6"/>
      <c r="ET86" s="6"/>
      <c r="EU86" s="6"/>
      <c r="EV86" s="6"/>
      <c r="EW86" s="6"/>
      <c r="EX86" s="6"/>
      <c r="EY86" s="6"/>
      <c r="EZ86" s="6"/>
      <c r="FA86" s="6"/>
      <c r="FB86" s="6"/>
      <c r="FC86" s="6"/>
      <c r="FD86" s="6"/>
      <c r="FE86" s="6"/>
      <c r="FF86" s="6"/>
      <c r="FG86" s="6"/>
      <c r="FH86" s="6"/>
      <c r="FI86" s="6"/>
      <c r="FJ86" s="6"/>
      <c r="FK86" s="6"/>
      <c r="FL86" s="6"/>
      <c r="FM86" s="6"/>
      <c r="FN86" s="6"/>
      <c r="FO86" s="6"/>
      <c r="FP86" s="6"/>
      <c r="FQ86" s="6"/>
      <c r="FR86" s="6"/>
      <c r="FS86" s="6"/>
      <c r="FT86" s="6"/>
      <c r="FU86" s="6"/>
      <c r="FV86" s="6"/>
      <c r="FW86" s="6"/>
      <c r="FX86" s="6"/>
      <c r="FY86" s="6"/>
      <c r="FZ86" s="6"/>
      <c r="GA86" s="6"/>
      <c r="GB86" s="6"/>
      <c r="GC86" s="6"/>
    </row>
    <row r="87" spans="5:185" x14ac:dyDescent="0.25">
      <c r="E87" s="1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  <c r="CN87" s="6"/>
      <c r="CO87" s="6"/>
      <c r="CP87" s="6"/>
      <c r="CQ87" s="6"/>
      <c r="CR87" s="6"/>
      <c r="CS87" s="6"/>
      <c r="CT87" s="6"/>
      <c r="CU87" s="6"/>
      <c r="CV87" s="6"/>
      <c r="CW87" s="6"/>
      <c r="CX87" s="6"/>
      <c r="CY87" s="6"/>
      <c r="CZ87" s="6"/>
      <c r="DA87" s="6"/>
      <c r="DB87" s="6"/>
      <c r="DC87" s="6"/>
      <c r="DD87" s="6"/>
      <c r="DE87" s="6"/>
      <c r="DF87" s="6"/>
      <c r="DG87" s="6"/>
      <c r="DH87" s="6"/>
      <c r="DI87" s="6"/>
      <c r="DJ87" s="6"/>
      <c r="DK87" s="6"/>
      <c r="DL87" s="6"/>
      <c r="DM87" s="6"/>
      <c r="DN87" s="6"/>
      <c r="DO87" s="6"/>
      <c r="DP87" s="6"/>
      <c r="DQ87" s="6"/>
      <c r="DR87" s="6"/>
      <c r="DS87" s="6"/>
      <c r="DT87" s="6"/>
      <c r="DU87" s="6"/>
      <c r="DV87" s="6"/>
      <c r="DW87" s="6"/>
      <c r="DX87" s="6"/>
      <c r="DY87" s="6"/>
      <c r="DZ87" s="6"/>
      <c r="EA87" s="6"/>
      <c r="EB87" s="6"/>
      <c r="EC87" s="6"/>
      <c r="ED87" s="6"/>
      <c r="EE87" s="6"/>
      <c r="EF87" s="6"/>
      <c r="EG87" s="6"/>
      <c r="EH87" s="6"/>
      <c r="EI87" s="6"/>
      <c r="EJ87" s="6"/>
      <c r="EK87" s="6"/>
      <c r="EL87" s="6"/>
      <c r="EM87" s="6"/>
      <c r="EN87" s="6"/>
      <c r="EO87" s="6"/>
      <c r="EP87" s="6"/>
      <c r="EQ87" s="6"/>
      <c r="ER87" s="6"/>
      <c r="ES87" s="6"/>
      <c r="ET87" s="6"/>
      <c r="EU87" s="6"/>
      <c r="EV87" s="6"/>
      <c r="EW87" s="6"/>
      <c r="EX87" s="6"/>
      <c r="EY87" s="6"/>
      <c r="EZ87" s="6"/>
      <c r="FA87" s="6"/>
      <c r="FB87" s="6"/>
      <c r="FC87" s="6"/>
      <c r="FD87" s="6"/>
      <c r="FE87" s="6"/>
      <c r="FF87" s="6"/>
      <c r="FG87" s="6"/>
      <c r="FH87" s="6"/>
      <c r="FI87" s="6"/>
      <c r="FJ87" s="6"/>
      <c r="FK87" s="6"/>
      <c r="FL87" s="6"/>
      <c r="FM87" s="6"/>
      <c r="FN87" s="6"/>
      <c r="FO87" s="6"/>
      <c r="FP87" s="6"/>
      <c r="FQ87" s="6"/>
      <c r="FR87" s="6"/>
      <c r="FS87" s="6"/>
      <c r="FT87" s="6"/>
      <c r="FU87" s="6"/>
      <c r="FV87" s="6"/>
      <c r="FW87" s="6"/>
      <c r="FX87" s="6"/>
      <c r="FY87" s="6"/>
      <c r="FZ87" s="6"/>
      <c r="GA87" s="6"/>
      <c r="GB87" s="6"/>
      <c r="GC87" s="6"/>
    </row>
    <row r="88" spans="5:185" x14ac:dyDescent="0.25">
      <c r="E88" s="1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  <c r="CN88" s="6"/>
      <c r="CO88" s="6"/>
      <c r="CP88" s="6"/>
      <c r="CQ88" s="6"/>
      <c r="CR88" s="6"/>
      <c r="CS88" s="6"/>
      <c r="CT88" s="6"/>
      <c r="CU88" s="6"/>
      <c r="CV88" s="6"/>
      <c r="CW88" s="6"/>
      <c r="CX88" s="6"/>
      <c r="CY88" s="6"/>
      <c r="CZ88" s="6"/>
      <c r="DA88" s="6"/>
      <c r="DB88" s="6"/>
      <c r="DC88" s="6"/>
      <c r="DD88" s="6"/>
      <c r="DE88" s="6"/>
      <c r="DF88" s="6"/>
      <c r="DG88" s="6"/>
      <c r="DH88" s="6"/>
      <c r="DI88" s="6"/>
      <c r="DJ88" s="6"/>
      <c r="DK88" s="6"/>
      <c r="DL88" s="6"/>
      <c r="DM88" s="6"/>
      <c r="DN88" s="6"/>
      <c r="DO88" s="6"/>
      <c r="DP88" s="6"/>
      <c r="DQ88" s="6"/>
      <c r="DR88" s="6"/>
      <c r="DS88" s="6"/>
      <c r="DT88" s="6"/>
      <c r="DU88" s="6"/>
      <c r="DV88" s="6"/>
      <c r="DW88" s="6"/>
      <c r="DX88" s="6"/>
      <c r="DY88" s="6"/>
      <c r="DZ88" s="6"/>
      <c r="EA88" s="6"/>
      <c r="EB88" s="6"/>
      <c r="EC88" s="6"/>
      <c r="ED88" s="6"/>
      <c r="EE88" s="6"/>
      <c r="EF88" s="6"/>
      <c r="EG88" s="6"/>
      <c r="EH88" s="6"/>
      <c r="EI88" s="6"/>
      <c r="EJ88" s="6"/>
      <c r="EK88" s="6"/>
      <c r="EL88" s="6"/>
      <c r="EM88" s="6"/>
      <c r="EN88" s="6"/>
      <c r="EO88" s="6"/>
      <c r="EP88" s="6"/>
      <c r="EQ88" s="6"/>
      <c r="ER88" s="6"/>
      <c r="ES88" s="6"/>
      <c r="ET88" s="6"/>
      <c r="EU88" s="6"/>
      <c r="EV88" s="6"/>
      <c r="EW88" s="6"/>
      <c r="EX88" s="6"/>
      <c r="EY88" s="6"/>
      <c r="EZ88" s="6"/>
      <c r="FA88" s="6"/>
      <c r="FB88" s="6"/>
      <c r="FC88" s="6"/>
      <c r="FD88" s="6"/>
      <c r="FE88" s="6"/>
      <c r="FF88" s="6"/>
      <c r="FG88" s="6"/>
      <c r="FH88" s="6"/>
      <c r="FI88" s="6"/>
      <c r="FJ88" s="6"/>
      <c r="FK88" s="6"/>
      <c r="FL88" s="6"/>
      <c r="FM88" s="6"/>
      <c r="FN88" s="6"/>
      <c r="FO88" s="6"/>
      <c r="FP88" s="6"/>
      <c r="FQ88" s="6"/>
      <c r="FR88" s="6"/>
      <c r="FS88" s="6"/>
      <c r="FT88" s="6"/>
      <c r="FU88" s="6"/>
      <c r="FV88" s="6"/>
      <c r="FW88" s="6"/>
      <c r="FX88" s="6"/>
      <c r="FY88" s="6"/>
      <c r="FZ88" s="6"/>
      <c r="GA88" s="6"/>
      <c r="GB88" s="6"/>
      <c r="GC88" s="6"/>
    </row>
    <row r="89" spans="5:185" x14ac:dyDescent="0.25">
      <c r="E89" s="1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  <c r="CN89" s="6"/>
      <c r="CO89" s="6"/>
      <c r="CP89" s="6"/>
      <c r="CQ89" s="6"/>
      <c r="CR89" s="6"/>
      <c r="CS89" s="6"/>
      <c r="CT89" s="6"/>
      <c r="CU89" s="6"/>
      <c r="CV89" s="6"/>
      <c r="CW89" s="6"/>
      <c r="CX89" s="6"/>
      <c r="CY89" s="6"/>
      <c r="CZ89" s="6"/>
      <c r="DA89" s="6"/>
      <c r="DB89" s="6"/>
      <c r="DC89" s="6"/>
      <c r="DD89" s="6"/>
      <c r="DE89" s="6"/>
      <c r="DF89" s="6"/>
      <c r="DG89" s="6"/>
      <c r="DH89" s="6"/>
      <c r="DI89" s="6"/>
      <c r="DJ89" s="6"/>
      <c r="DK89" s="6"/>
      <c r="DL89" s="6"/>
      <c r="DM89" s="6"/>
      <c r="DN89" s="6"/>
      <c r="DO89" s="6"/>
      <c r="DP89" s="6"/>
      <c r="DQ89" s="6"/>
      <c r="DR89" s="6"/>
      <c r="DS89" s="6"/>
      <c r="DT89" s="6"/>
      <c r="DU89" s="6"/>
      <c r="DV89" s="6"/>
      <c r="DW89" s="6"/>
      <c r="DX89" s="6"/>
      <c r="DY89" s="6"/>
      <c r="DZ89" s="6"/>
      <c r="EA89" s="6"/>
      <c r="EB89" s="6"/>
      <c r="EC89" s="6"/>
      <c r="ED89" s="6"/>
      <c r="EE89" s="6"/>
      <c r="EF89" s="6"/>
      <c r="EG89" s="6"/>
      <c r="EH89" s="6"/>
      <c r="EI89" s="6"/>
      <c r="EJ89" s="6"/>
      <c r="EK89" s="6"/>
      <c r="EL89" s="6"/>
      <c r="EM89" s="6"/>
      <c r="EN89" s="6"/>
      <c r="EO89" s="6"/>
      <c r="EP89" s="6"/>
      <c r="EQ89" s="6"/>
      <c r="ER89" s="6"/>
      <c r="ES89" s="6"/>
      <c r="ET89" s="6"/>
      <c r="EU89" s="6"/>
      <c r="EV89" s="6"/>
      <c r="EW89" s="6"/>
      <c r="EX89" s="6"/>
      <c r="EY89" s="6"/>
      <c r="EZ89" s="6"/>
      <c r="FA89" s="6"/>
      <c r="FB89" s="6"/>
      <c r="FC89" s="6"/>
      <c r="FD89" s="6"/>
      <c r="FE89" s="6"/>
      <c r="FF89" s="6"/>
      <c r="FG89" s="6"/>
      <c r="FH89" s="6"/>
      <c r="FI89" s="6"/>
      <c r="FJ89" s="6"/>
      <c r="FK89" s="6"/>
      <c r="FL89" s="6"/>
      <c r="FM89" s="6"/>
      <c r="FN89" s="6"/>
      <c r="FO89" s="6"/>
      <c r="FP89" s="6"/>
      <c r="FQ89" s="6"/>
      <c r="FR89" s="6"/>
      <c r="FS89" s="6"/>
      <c r="FT89" s="6"/>
      <c r="FU89" s="6"/>
      <c r="FV89" s="6"/>
      <c r="FW89" s="6"/>
      <c r="FX89" s="6"/>
      <c r="FY89" s="6"/>
      <c r="FZ89" s="6"/>
      <c r="GA89" s="6"/>
      <c r="GB89" s="6"/>
      <c r="GC89" s="6"/>
    </row>
    <row r="90" spans="5:185" x14ac:dyDescent="0.25">
      <c r="E90" s="1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  <c r="CN90" s="6"/>
      <c r="CO90" s="6"/>
      <c r="CP90" s="6"/>
      <c r="CQ90" s="6"/>
      <c r="CR90" s="6"/>
      <c r="CS90" s="6"/>
      <c r="CT90" s="6"/>
      <c r="CU90" s="6"/>
      <c r="CV90" s="6"/>
      <c r="CW90" s="6"/>
      <c r="CX90" s="6"/>
      <c r="CY90" s="6"/>
      <c r="CZ90" s="6"/>
      <c r="DA90" s="6"/>
      <c r="DB90" s="6"/>
      <c r="DC90" s="6"/>
      <c r="DD90" s="6"/>
      <c r="DE90" s="6"/>
      <c r="DF90" s="6"/>
      <c r="DG90" s="6"/>
      <c r="DH90" s="6"/>
      <c r="DI90" s="6"/>
      <c r="DJ90" s="6"/>
      <c r="DK90" s="6"/>
      <c r="DL90" s="6"/>
      <c r="DM90" s="6"/>
      <c r="DN90" s="6"/>
      <c r="DO90" s="6"/>
      <c r="DP90" s="6"/>
      <c r="DQ90" s="6"/>
      <c r="DR90" s="6"/>
      <c r="DS90" s="6"/>
      <c r="DT90" s="6"/>
      <c r="DU90" s="6"/>
      <c r="DV90" s="6"/>
      <c r="DW90" s="6"/>
      <c r="DX90" s="6"/>
      <c r="DY90" s="6"/>
      <c r="DZ90" s="6"/>
      <c r="EA90" s="6"/>
      <c r="EB90" s="6"/>
      <c r="EC90" s="6"/>
      <c r="ED90" s="6"/>
      <c r="EE90" s="6"/>
      <c r="EF90" s="6"/>
      <c r="EG90" s="6"/>
      <c r="EH90" s="6"/>
      <c r="EI90" s="6"/>
      <c r="EJ90" s="6"/>
      <c r="EK90" s="6"/>
      <c r="EL90" s="6"/>
      <c r="EM90" s="6"/>
      <c r="EN90" s="6"/>
      <c r="EO90" s="6"/>
      <c r="EP90" s="6"/>
      <c r="EQ90" s="6"/>
      <c r="ER90" s="6"/>
      <c r="ES90" s="6"/>
      <c r="ET90" s="6"/>
      <c r="EU90" s="6"/>
      <c r="EV90" s="6"/>
      <c r="EW90" s="6"/>
      <c r="EX90" s="6"/>
      <c r="EY90" s="6"/>
      <c r="EZ90" s="6"/>
      <c r="FA90" s="6"/>
      <c r="FB90" s="6"/>
      <c r="FC90" s="6"/>
      <c r="FD90" s="6"/>
      <c r="FE90" s="6"/>
      <c r="FF90" s="6"/>
      <c r="FG90" s="6"/>
      <c r="FH90" s="6"/>
      <c r="FI90" s="6"/>
      <c r="FJ90" s="6"/>
      <c r="FK90" s="6"/>
      <c r="FL90" s="6"/>
      <c r="FM90" s="6"/>
      <c r="FN90" s="6"/>
      <c r="FO90" s="6"/>
      <c r="FP90" s="6"/>
      <c r="FQ90" s="6"/>
      <c r="FR90" s="6"/>
      <c r="FS90" s="6"/>
      <c r="FT90" s="6"/>
      <c r="FU90" s="6"/>
      <c r="FV90" s="6"/>
      <c r="FW90" s="6"/>
      <c r="FX90" s="6"/>
      <c r="FY90" s="6"/>
      <c r="FZ90" s="6"/>
      <c r="GA90" s="6"/>
      <c r="GB90" s="6"/>
      <c r="GC90" s="6"/>
    </row>
    <row r="91" spans="5:185" x14ac:dyDescent="0.25">
      <c r="E91" s="1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  <c r="CY91" s="6"/>
      <c r="CZ91" s="6"/>
      <c r="DA91" s="6"/>
      <c r="DB91" s="6"/>
      <c r="DC91" s="6"/>
      <c r="DD91" s="6"/>
      <c r="DE91" s="6"/>
      <c r="DF91" s="6"/>
      <c r="DG91" s="6"/>
      <c r="DH91" s="6"/>
      <c r="DI91" s="6"/>
      <c r="DJ91" s="6"/>
      <c r="DK91" s="6"/>
      <c r="DL91" s="6"/>
      <c r="DM91" s="6"/>
      <c r="DN91" s="6"/>
      <c r="DO91" s="6"/>
      <c r="DP91" s="6"/>
      <c r="DQ91" s="6"/>
      <c r="DR91" s="6"/>
      <c r="DS91" s="6"/>
      <c r="DT91" s="6"/>
      <c r="DU91" s="6"/>
      <c r="DV91" s="6"/>
      <c r="DW91" s="6"/>
      <c r="DX91" s="6"/>
      <c r="DY91" s="6"/>
      <c r="DZ91" s="6"/>
      <c r="EA91" s="6"/>
      <c r="EB91" s="6"/>
      <c r="EC91" s="6"/>
      <c r="ED91" s="6"/>
      <c r="EE91" s="6"/>
      <c r="EF91" s="6"/>
      <c r="EG91" s="6"/>
      <c r="EH91" s="6"/>
      <c r="EI91" s="6"/>
      <c r="EJ91" s="6"/>
      <c r="EK91" s="6"/>
      <c r="EL91" s="6"/>
      <c r="EM91" s="6"/>
      <c r="EN91" s="6"/>
      <c r="EO91" s="6"/>
      <c r="EP91" s="6"/>
      <c r="EQ91" s="6"/>
      <c r="ER91" s="6"/>
      <c r="ES91" s="6"/>
      <c r="ET91" s="6"/>
      <c r="EU91" s="6"/>
      <c r="EV91" s="6"/>
      <c r="EW91" s="6"/>
      <c r="EX91" s="6"/>
      <c r="EY91" s="6"/>
      <c r="EZ91" s="6"/>
      <c r="FA91" s="6"/>
      <c r="FB91" s="6"/>
      <c r="FC91" s="6"/>
      <c r="FD91" s="6"/>
      <c r="FE91" s="6"/>
      <c r="FF91" s="6"/>
      <c r="FG91" s="6"/>
      <c r="FH91" s="6"/>
      <c r="FI91" s="6"/>
      <c r="FJ91" s="6"/>
      <c r="FK91" s="6"/>
      <c r="FL91" s="6"/>
      <c r="FM91" s="6"/>
      <c r="FN91" s="6"/>
      <c r="FO91" s="6"/>
      <c r="FP91" s="6"/>
      <c r="FQ91" s="6"/>
      <c r="FR91" s="6"/>
      <c r="FS91" s="6"/>
      <c r="FT91" s="6"/>
      <c r="FU91" s="6"/>
      <c r="FV91" s="6"/>
      <c r="FW91" s="6"/>
      <c r="FX91" s="6"/>
      <c r="FY91" s="6"/>
      <c r="FZ91" s="6"/>
      <c r="GA91" s="6"/>
      <c r="GB91" s="6"/>
      <c r="GC91" s="6"/>
    </row>
    <row r="92" spans="5:185" x14ac:dyDescent="0.25">
      <c r="E92" s="1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  <c r="CN92" s="6"/>
      <c r="CO92" s="6"/>
      <c r="CP92" s="6"/>
      <c r="CQ92" s="6"/>
      <c r="CR92" s="6"/>
      <c r="CS92" s="6"/>
      <c r="CT92" s="6"/>
      <c r="CU92" s="6"/>
      <c r="CV92" s="6"/>
      <c r="CW92" s="6"/>
      <c r="CX92" s="6"/>
      <c r="CY92" s="6"/>
      <c r="CZ92" s="6"/>
      <c r="DA92" s="6"/>
      <c r="DB92" s="6"/>
      <c r="DC92" s="6"/>
      <c r="DD92" s="6"/>
      <c r="DE92" s="6"/>
      <c r="DF92" s="6"/>
      <c r="DG92" s="6"/>
      <c r="DH92" s="6"/>
      <c r="DI92" s="6"/>
      <c r="DJ92" s="6"/>
      <c r="DK92" s="6"/>
      <c r="DL92" s="6"/>
      <c r="DM92" s="6"/>
      <c r="DN92" s="6"/>
      <c r="DO92" s="6"/>
      <c r="DP92" s="6"/>
      <c r="DQ92" s="6"/>
      <c r="DR92" s="6"/>
      <c r="DS92" s="6"/>
      <c r="DT92" s="6"/>
      <c r="DU92" s="6"/>
      <c r="DV92" s="6"/>
      <c r="DW92" s="6"/>
      <c r="DX92" s="6"/>
      <c r="DY92" s="6"/>
      <c r="DZ92" s="6"/>
      <c r="EA92" s="6"/>
      <c r="EB92" s="6"/>
      <c r="EC92" s="6"/>
      <c r="ED92" s="6"/>
      <c r="EE92" s="6"/>
      <c r="EF92" s="6"/>
      <c r="EG92" s="6"/>
      <c r="EH92" s="6"/>
      <c r="EI92" s="6"/>
      <c r="EJ92" s="6"/>
      <c r="EK92" s="6"/>
      <c r="EL92" s="6"/>
      <c r="EM92" s="6"/>
      <c r="EN92" s="6"/>
      <c r="EO92" s="6"/>
      <c r="EP92" s="6"/>
      <c r="EQ92" s="6"/>
      <c r="ER92" s="6"/>
      <c r="ES92" s="6"/>
      <c r="ET92" s="6"/>
      <c r="EU92" s="6"/>
      <c r="EV92" s="6"/>
      <c r="EW92" s="6"/>
      <c r="EX92" s="6"/>
      <c r="EY92" s="6"/>
      <c r="EZ92" s="6"/>
      <c r="FA92" s="6"/>
      <c r="FB92" s="6"/>
      <c r="FC92" s="6"/>
      <c r="FD92" s="6"/>
      <c r="FE92" s="6"/>
      <c r="FF92" s="6"/>
      <c r="FG92" s="6"/>
      <c r="FH92" s="6"/>
      <c r="FI92" s="6"/>
      <c r="FJ92" s="6"/>
      <c r="FK92" s="6"/>
      <c r="FL92" s="6"/>
      <c r="FM92" s="6"/>
      <c r="FN92" s="6"/>
      <c r="FO92" s="6"/>
      <c r="FP92" s="6"/>
      <c r="FQ92" s="6"/>
      <c r="FR92" s="6"/>
      <c r="FS92" s="6"/>
      <c r="FT92" s="6"/>
      <c r="FU92" s="6"/>
      <c r="FV92" s="6"/>
      <c r="FW92" s="6"/>
      <c r="FX92" s="6"/>
      <c r="FY92" s="6"/>
      <c r="FZ92" s="6"/>
      <c r="GA92" s="6"/>
      <c r="GB92" s="6"/>
      <c r="GC92" s="6"/>
    </row>
    <row r="93" spans="5:185" x14ac:dyDescent="0.25">
      <c r="E93" s="1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  <c r="CN93" s="6"/>
      <c r="CO93" s="6"/>
      <c r="CP93" s="6"/>
      <c r="CQ93" s="6"/>
      <c r="CR93" s="6"/>
      <c r="CS93" s="6"/>
      <c r="CT93" s="6"/>
      <c r="CU93" s="6"/>
      <c r="CV93" s="6"/>
      <c r="CW93" s="6"/>
      <c r="CX93" s="6"/>
      <c r="CY93" s="6"/>
      <c r="CZ93" s="6"/>
      <c r="DA93" s="6"/>
      <c r="DB93" s="6"/>
      <c r="DC93" s="6"/>
      <c r="DD93" s="6"/>
      <c r="DE93" s="6"/>
      <c r="DF93" s="6"/>
      <c r="DG93" s="6"/>
      <c r="DH93" s="6"/>
      <c r="DI93" s="6"/>
      <c r="DJ93" s="6"/>
      <c r="DK93" s="6"/>
      <c r="DL93" s="6"/>
      <c r="DM93" s="6"/>
      <c r="DN93" s="6"/>
      <c r="DO93" s="6"/>
      <c r="DP93" s="6"/>
      <c r="DQ93" s="6"/>
      <c r="DR93" s="6"/>
      <c r="DS93" s="6"/>
      <c r="DT93" s="6"/>
      <c r="DU93" s="6"/>
      <c r="DV93" s="6"/>
      <c r="DW93" s="6"/>
      <c r="DX93" s="6"/>
      <c r="DY93" s="6"/>
      <c r="DZ93" s="6"/>
      <c r="EA93" s="6"/>
      <c r="EB93" s="6"/>
      <c r="EC93" s="6"/>
      <c r="ED93" s="6"/>
      <c r="EE93" s="6"/>
      <c r="EF93" s="6"/>
      <c r="EG93" s="6"/>
      <c r="EH93" s="6"/>
      <c r="EI93" s="6"/>
      <c r="EJ93" s="6"/>
      <c r="EK93" s="6"/>
      <c r="EL93" s="6"/>
      <c r="EM93" s="6"/>
      <c r="EN93" s="6"/>
      <c r="EO93" s="6"/>
      <c r="EP93" s="6"/>
      <c r="EQ93" s="6"/>
      <c r="ER93" s="6"/>
      <c r="ES93" s="6"/>
      <c r="ET93" s="6"/>
      <c r="EU93" s="6"/>
      <c r="EV93" s="6"/>
      <c r="EW93" s="6"/>
      <c r="EX93" s="6"/>
      <c r="EY93" s="6"/>
      <c r="EZ93" s="6"/>
      <c r="FA93" s="6"/>
      <c r="FB93" s="6"/>
      <c r="FC93" s="6"/>
      <c r="FD93" s="6"/>
      <c r="FE93" s="6"/>
      <c r="FF93" s="6"/>
      <c r="FG93" s="6"/>
      <c r="FH93" s="6"/>
      <c r="FI93" s="6"/>
      <c r="FJ93" s="6"/>
      <c r="FK93" s="6"/>
      <c r="FL93" s="6"/>
      <c r="FM93" s="6"/>
      <c r="FN93" s="6"/>
      <c r="FO93" s="6"/>
      <c r="FP93" s="6"/>
      <c r="FQ93" s="6"/>
      <c r="FR93" s="6"/>
      <c r="FS93" s="6"/>
      <c r="FT93" s="6"/>
      <c r="FU93" s="6"/>
      <c r="FV93" s="6"/>
      <c r="FW93" s="6"/>
      <c r="FX93" s="6"/>
      <c r="FY93" s="6"/>
      <c r="FZ93" s="6"/>
      <c r="GA93" s="6"/>
      <c r="GB93" s="6"/>
      <c r="GC93" s="6"/>
    </row>
    <row r="94" spans="5:185" x14ac:dyDescent="0.25">
      <c r="E94" s="1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  <c r="CN94" s="6"/>
      <c r="CO94" s="6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L94" s="6"/>
      <c r="DM94" s="6"/>
      <c r="DN94" s="6"/>
      <c r="DO94" s="6"/>
      <c r="DP94" s="6"/>
      <c r="DQ94" s="6"/>
      <c r="DR94" s="6"/>
      <c r="DS94" s="6"/>
      <c r="DT94" s="6"/>
      <c r="DU94" s="6"/>
      <c r="DV94" s="6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  <c r="EH94" s="6"/>
      <c r="EI94" s="6"/>
      <c r="EJ94" s="6"/>
      <c r="EK94" s="6"/>
      <c r="EL94" s="6"/>
      <c r="EM94" s="6"/>
      <c r="EN94" s="6"/>
      <c r="EO94" s="6"/>
      <c r="EP94" s="6"/>
      <c r="EQ94" s="6"/>
      <c r="ER94" s="6"/>
      <c r="ES94" s="6"/>
      <c r="ET94" s="6"/>
      <c r="EU94" s="6"/>
      <c r="EV94" s="6"/>
      <c r="EW94" s="6"/>
      <c r="EX94" s="6"/>
      <c r="EY94" s="6"/>
      <c r="EZ94" s="6"/>
      <c r="FA94" s="6"/>
      <c r="FB94" s="6"/>
      <c r="FC94" s="6"/>
      <c r="FD94" s="6"/>
      <c r="FE94" s="6"/>
      <c r="FF94" s="6"/>
      <c r="FG94" s="6"/>
      <c r="FH94" s="6"/>
      <c r="FI94" s="6"/>
      <c r="FJ94" s="6"/>
      <c r="FK94" s="6"/>
      <c r="FL94" s="6"/>
      <c r="FM94" s="6"/>
      <c r="FN94" s="6"/>
      <c r="FO94" s="6"/>
      <c r="FP94" s="6"/>
      <c r="FQ94" s="6"/>
      <c r="FR94" s="6"/>
      <c r="FS94" s="6"/>
      <c r="FT94" s="6"/>
      <c r="FU94" s="6"/>
      <c r="FV94" s="6"/>
      <c r="FW94" s="6"/>
      <c r="FX94" s="6"/>
      <c r="FY94" s="6"/>
      <c r="FZ94" s="6"/>
      <c r="GA94" s="6"/>
      <c r="GB94" s="6"/>
      <c r="GC94" s="6"/>
    </row>
    <row r="95" spans="5:185" x14ac:dyDescent="0.25">
      <c r="E95" s="1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6"/>
      <c r="DR95" s="6"/>
      <c r="DS95" s="6"/>
      <c r="DT95" s="6"/>
      <c r="DU95" s="6"/>
      <c r="DV95" s="6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  <c r="EP95" s="6"/>
      <c r="EQ95" s="6"/>
      <c r="ER95" s="6"/>
      <c r="ES95" s="6"/>
      <c r="ET95" s="6"/>
      <c r="EU95" s="6"/>
      <c r="EV95" s="6"/>
      <c r="EW95" s="6"/>
      <c r="EX95" s="6"/>
      <c r="EY95" s="6"/>
      <c r="EZ95" s="6"/>
      <c r="FA95" s="6"/>
      <c r="FB95" s="6"/>
      <c r="FC95" s="6"/>
      <c r="FD95" s="6"/>
      <c r="FE95" s="6"/>
      <c r="FF95" s="6"/>
      <c r="FG95" s="6"/>
      <c r="FH95" s="6"/>
      <c r="FI95" s="6"/>
      <c r="FJ95" s="6"/>
      <c r="FK95" s="6"/>
      <c r="FL95" s="6"/>
      <c r="FM95" s="6"/>
      <c r="FN95" s="6"/>
      <c r="FO95" s="6"/>
      <c r="FP95" s="6"/>
      <c r="FQ95" s="6"/>
      <c r="FR95" s="6"/>
      <c r="FS95" s="6"/>
      <c r="FT95" s="6"/>
      <c r="FU95" s="6"/>
      <c r="FV95" s="6"/>
      <c r="FW95" s="6"/>
      <c r="FX95" s="6"/>
      <c r="FY95" s="6"/>
      <c r="FZ95" s="6"/>
      <c r="GA95" s="6"/>
      <c r="GB95" s="6"/>
      <c r="GC95" s="6"/>
    </row>
    <row r="96" spans="5:185" x14ac:dyDescent="0.25">
      <c r="E96" s="12"/>
    </row>
    <row r="97" spans="1:8" x14ac:dyDescent="0.25">
      <c r="E97" s="12"/>
    </row>
    <row r="99" spans="1:8" x14ac:dyDescent="0.25">
      <c r="A99" s="11" t="s">
        <v>11</v>
      </c>
      <c r="B99" s="11" t="s">
        <v>9</v>
      </c>
      <c r="C99" s="11" t="s">
        <v>10</v>
      </c>
      <c r="D99" s="11" t="s">
        <v>8</v>
      </c>
      <c r="E99" s="11" t="s">
        <v>12</v>
      </c>
      <c r="F99" s="11" t="s">
        <v>13</v>
      </c>
      <c r="G99" s="11" t="s">
        <v>19</v>
      </c>
      <c r="H99" s="11" t="s">
        <v>17</v>
      </c>
    </row>
    <row r="100" spans="1:8" x14ac:dyDescent="0.25">
      <c r="A100" t="s">
        <v>42</v>
      </c>
      <c r="B100">
        <f>COUNTA(A1:AM1)</f>
        <v>3</v>
      </c>
      <c r="C100">
        <f>COUNTA(A1:A95)</f>
        <v>31</v>
      </c>
      <c r="D100">
        <f>SUM(E100,H100)</f>
        <v>5000</v>
      </c>
      <c r="E100">
        <f>SUM(B3:B95)</f>
        <v>5000</v>
      </c>
      <c r="F100">
        <f>SUM(C3:C95)</f>
        <v>3120</v>
      </c>
      <c r="G100">
        <v>3120</v>
      </c>
      <c r="H100">
        <f>F100-G100</f>
        <v>0</v>
      </c>
    </row>
    <row r="101" spans="1:8" x14ac:dyDescent="0.25">
      <c r="A101" t="s">
        <v>43</v>
      </c>
      <c r="C101">
        <f>COUNTA(E1:E95)</f>
        <v>24</v>
      </c>
      <c r="D101">
        <f t="shared" ref="D101:D148" si="0">SUM(E101,H101)</f>
        <v>30000</v>
      </c>
      <c r="E101">
        <f>SUM(F3:F95)</f>
        <v>30000</v>
      </c>
      <c r="F101">
        <f>SUM(G3:G95)</f>
        <v>17400</v>
      </c>
      <c r="G101">
        <v>17400</v>
      </c>
      <c r="H101">
        <f t="shared" ref="H101:H148" si="1">F101-G101</f>
        <v>0</v>
      </c>
    </row>
    <row r="102" spans="1:8" x14ac:dyDescent="0.25">
      <c r="A102" t="s">
        <v>44</v>
      </c>
      <c r="C102">
        <f>COUNTA(I1:I95)</f>
        <v>18</v>
      </c>
      <c r="D102">
        <f t="shared" si="0"/>
        <v>17000</v>
      </c>
      <c r="E102">
        <f>SUM(J3:J95)</f>
        <v>17000</v>
      </c>
      <c r="F102">
        <f>SUM(K3:K95)</f>
        <v>3810</v>
      </c>
      <c r="G102">
        <v>3810</v>
      </c>
      <c r="H102">
        <f t="shared" si="1"/>
        <v>0</v>
      </c>
    </row>
    <row r="103" spans="1:8" x14ac:dyDescent="0.25">
      <c r="C103">
        <f>COUNTA(M1:M95)</f>
        <v>0</v>
      </c>
      <c r="D103">
        <f t="shared" si="0"/>
        <v>0</v>
      </c>
      <c r="E103">
        <f>SUM(N3:N95)</f>
        <v>0</v>
      </c>
      <c r="F103">
        <f>SUM(O3:O95)</f>
        <v>0</v>
      </c>
      <c r="H103">
        <f t="shared" si="1"/>
        <v>0</v>
      </c>
    </row>
    <row r="104" spans="1:8" x14ac:dyDescent="0.25">
      <c r="C104">
        <f>COUNTA(Q1:Q95)</f>
        <v>0</v>
      </c>
      <c r="D104">
        <f t="shared" si="0"/>
        <v>0</v>
      </c>
      <c r="E104">
        <f>SUM(R3:R95)</f>
        <v>0</v>
      </c>
      <c r="F104">
        <f>SUM(S3:S95)</f>
        <v>0</v>
      </c>
      <c r="H104">
        <f t="shared" si="1"/>
        <v>0</v>
      </c>
    </row>
    <row r="105" spans="1:8" x14ac:dyDescent="0.25">
      <c r="C105">
        <f>COUNTA(U1:U95)</f>
        <v>0</v>
      </c>
      <c r="D105">
        <f t="shared" si="0"/>
        <v>0</v>
      </c>
      <c r="E105">
        <f>SUM(V3:V95)</f>
        <v>0</v>
      </c>
      <c r="F105">
        <f>SUM(W3:W95)</f>
        <v>0</v>
      </c>
      <c r="H105">
        <f t="shared" si="1"/>
        <v>0</v>
      </c>
    </row>
    <row r="106" spans="1:8" x14ac:dyDescent="0.25">
      <c r="C106">
        <f>COUNTA(Y1:Y95)</f>
        <v>0</v>
      </c>
      <c r="D106">
        <f t="shared" si="0"/>
        <v>0</v>
      </c>
      <c r="E106">
        <f>SUM(Z3:Z95)</f>
        <v>0</v>
      </c>
      <c r="F106">
        <f>SUM(AA3:AA95)</f>
        <v>0</v>
      </c>
      <c r="H106">
        <f t="shared" si="1"/>
        <v>0</v>
      </c>
    </row>
    <row r="107" spans="1:8" x14ac:dyDescent="0.25">
      <c r="C107">
        <f>COUNTA(AC1:AC95)</f>
        <v>0</v>
      </c>
      <c r="D107">
        <f t="shared" si="0"/>
        <v>0</v>
      </c>
      <c r="E107">
        <f>SUM(AD3:AD95)</f>
        <v>0</v>
      </c>
      <c r="F107">
        <f>SUM(AE3:AE95)</f>
        <v>0</v>
      </c>
      <c r="H107">
        <f t="shared" si="1"/>
        <v>0</v>
      </c>
    </row>
    <row r="108" spans="1:8" x14ac:dyDescent="0.25">
      <c r="C108">
        <f>COUNTA(AG1:AG95)</f>
        <v>0</v>
      </c>
      <c r="D108">
        <f t="shared" si="0"/>
        <v>0</v>
      </c>
      <c r="E108">
        <f>SUM(AH3:AH95)</f>
        <v>0</v>
      </c>
      <c r="F108">
        <f>SUM(AI3:AI95)</f>
        <v>0</v>
      </c>
      <c r="H108">
        <f t="shared" si="1"/>
        <v>0</v>
      </c>
    </row>
    <row r="109" spans="1:8" x14ac:dyDescent="0.25">
      <c r="C109">
        <f>COUNTA(AK1:AK95)</f>
        <v>0</v>
      </c>
      <c r="D109">
        <f t="shared" si="0"/>
        <v>0</v>
      </c>
      <c r="E109">
        <f>SUM(AL3:AL95)</f>
        <v>0</v>
      </c>
      <c r="F109">
        <f>SUM(AM3:AM95)</f>
        <v>0</v>
      </c>
      <c r="H109">
        <f t="shared" si="1"/>
        <v>0</v>
      </c>
    </row>
    <row r="110" spans="1:8" x14ac:dyDescent="0.25">
      <c r="C110">
        <f>COUNTA(AO1:AO95)</f>
        <v>0</v>
      </c>
      <c r="D110">
        <f t="shared" si="0"/>
        <v>0</v>
      </c>
      <c r="E110">
        <f>SUM(AP3:AP95)</f>
        <v>0</v>
      </c>
      <c r="F110">
        <f>SUM(AQ3:AQ95)</f>
        <v>0</v>
      </c>
      <c r="H110">
        <f t="shared" si="1"/>
        <v>0</v>
      </c>
    </row>
    <row r="111" spans="1:8" x14ac:dyDescent="0.25">
      <c r="C111">
        <f>COUNTA(AS1:AS95)</f>
        <v>0</v>
      </c>
      <c r="D111">
        <f t="shared" si="0"/>
        <v>0</v>
      </c>
      <c r="E111">
        <f>SUM(AT3:AT95)</f>
        <v>0</v>
      </c>
      <c r="F111">
        <f>SUM(AU3:AU95)</f>
        <v>0</v>
      </c>
      <c r="H111">
        <f t="shared" si="1"/>
        <v>0</v>
      </c>
    </row>
    <row r="112" spans="1:8" x14ac:dyDescent="0.25">
      <c r="C112">
        <f>COUNTA(AW1:AW95)</f>
        <v>0</v>
      </c>
      <c r="D112">
        <f t="shared" si="0"/>
        <v>0</v>
      </c>
      <c r="E112">
        <f>SUM(AX3:AX95)</f>
        <v>0</v>
      </c>
      <c r="F112">
        <f>SUM(AY3:AY95)</f>
        <v>0</v>
      </c>
      <c r="H112">
        <f t="shared" si="1"/>
        <v>0</v>
      </c>
    </row>
    <row r="113" spans="3:8" x14ac:dyDescent="0.25">
      <c r="C113">
        <f>COUNTA(BA1:BA95)</f>
        <v>0</v>
      </c>
      <c r="D113">
        <f t="shared" si="0"/>
        <v>0</v>
      </c>
      <c r="E113">
        <f>SUM(BB3:BB95)</f>
        <v>0</v>
      </c>
      <c r="F113">
        <f>SUM(BC3:BC95)</f>
        <v>0</v>
      </c>
      <c r="H113">
        <f t="shared" si="1"/>
        <v>0</v>
      </c>
    </row>
    <row r="114" spans="3:8" x14ac:dyDescent="0.25">
      <c r="C114">
        <f>COUNTA(BE1:BE95)</f>
        <v>0</v>
      </c>
      <c r="D114">
        <f t="shared" si="0"/>
        <v>0</v>
      </c>
      <c r="E114">
        <f>SUM(BF3:BF95)</f>
        <v>0</v>
      </c>
      <c r="F114">
        <f>SUM(BG3:BG95)</f>
        <v>0</v>
      </c>
      <c r="H114">
        <f t="shared" si="1"/>
        <v>0</v>
      </c>
    </row>
    <row r="115" spans="3:8" x14ac:dyDescent="0.25">
      <c r="C115">
        <f>COUNTA(BI1:BI95)</f>
        <v>0</v>
      </c>
      <c r="D115">
        <f t="shared" si="0"/>
        <v>0</v>
      </c>
      <c r="E115">
        <f>SUM(BJ3:BJ95)</f>
        <v>0</v>
      </c>
      <c r="F115">
        <f>SUM(BK3:BK95)</f>
        <v>0</v>
      </c>
      <c r="H115">
        <f t="shared" si="1"/>
        <v>0</v>
      </c>
    </row>
    <row r="116" spans="3:8" x14ac:dyDescent="0.25">
      <c r="C116">
        <f>COUNTA(BM1:BM95)</f>
        <v>0</v>
      </c>
      <c r="D116">
        <f t="shared" si="0"/>
        <v>0</v>
      </c>
      <c r="E116">
        <f>SUM(BN3:BN95)</f>
        <v>0</v>
      </c>
      <c r="F116">
        <f>SUM(BO3:BO95)</f>
        <v>0</v>
      </c>
      <c r="H116">
        <f t="shared" si="1"/>
        <v>0</v>
      </c>
    </row>
    <row r="117" spans="3:8" x14ac:dyDescent="0.25">
      <c r="C117">
        <f>COUNTA(BQ1:BQ95)</f>
        <v>0</v>
      </c>
      <c r="D117">
        <f t="shared" si="0"/>
        <v>0</v>
      </c>
      <c r="E117">
        <f>SUM(BR3:BR95)</f>
        <v>0</v>
      </c>
      <c r="F117">
        <f>SUM(BS3:BS95)</f>
        <v>0</v>
      </c>
      <c r="H117">
        <f t="shared" si="1"/>
        <v>0</v>
      </c>
    </row>
    <row r="118" spans="3:8" x14ac:dyDescent="0.25">
      <c r="C118">
        <f>COUNTA(BU1:BU95)</f>
        <v>0</v>
      </c>
      <c r="D118">
        <f t="shared" si="0"/>
        <v>0</v>
      </c>
      <c r="E118">
        <f>SUM(BV3:BV95)</f>
        <v>0</v>
      </c>
      <c r="F118">
        <f>SUM(BW3:BW95)</f>
        <v>0</v>
      </c>
      <c r="H118">
        <f t="shared" si="1"/>
        <v>0</v>
      </c>
    </row>
    <row r="119" spans="3:8" x14ac:dyDescent="0.25">
      <c r="C119">
        <f>COUNTA(BY1:BY95)</f>
        <v>0</v>
      </c>
      <c r="D119">
        <f t="shared" si="0"/>
        <v>0</v>
      </c>
      <c r="E119">
        <f>SUM(BZ3:BZ95)</f>
        <v>0</v>
      </c>
      <c r="F119">
        <f>SUM(CA3:CA95)</f>
        <v>0</v>
      </c>
      <c r="H119">
        <f t="shared" si="1"/>
        <v>0</v>
      </c>
    </row>
    <row r="120" spans="3:8" x14ac:dyDescent="0.25">
      <c r="C120">
        <f>COUNTA(CC1:CC95)</f>
        <v>0</v>
      </c>
      <c r="D120">
        <f t="shared" si="0"/>
        <v>0</v>
      </c>
      <c r="E120">
        <f>SUM(CD3:CD95)</f>
        <v>0</v>
      </c>
      <c r="F120">
        <f>SUM(CE3:CE95)</f>
        <v>0</v>
      </c>
      <c r="H120">
        <f t="shared" si="1"/>
        <v>0</v>
      </c>
    </row>
    <row r="121" spans="3:8" x14ac:dyDescent="0.25">
      <c r="C121">
        <f>COUNTA(CG1:CG95)</f>
        <v>0</v>
      </c>
      <c r="D121">
        <f t="shared" si="0"/>
        <v>0</v>
      </c>
      <c r="E121">
        <f>SUM(CH3:CH95)</f>
        <v>0</v>
      </c>
      <c r="F121">
        <f>SUM(CI3:CI95)</f>
        <v>0</v>
      </c>
      <c r="H121">
        <f t="shared" si="1"/>
        <v>0</v>
      </c>
    </row>
    <row r="122" spans="3:8" x14ac:dyDescent="0.25">
      <c r="C122">
        <f>COUNTA(CK1:CK95)</f>
        <v>0</v>
      </c>
      <c r="D122">
        <f t="shared" si="0"/>
        <v>0</v>
      </c>
      <c r="E122">
        <f>SUM(CL3:CL95)</f>
        <v>0</v>
      </c>
      <c r="F122">
        <f>SUM(CM3:CM95)</f>
        <v>0</v>
      </c>
      <c r="H122">
        <f t="shared" si="1"/>
        <v>0</v>
      </c>
    </row>
    <row r="123" spans="3:8" x14ac:dyDescent="0.25">
      <c r="C123">
        <f>COUNTA(CO1:CO95)</f>
        <v>0</v>
      </c>
      <c r="D123">
        <f t="shared" si="0"/>
        <v>0</v>
      </c>
      <c r="E123">
        <f>SUM(CP3:CP95)</f>
        <v>0</v>
      </c>
      <c r="F123">
        <f>SUM(CQ3:CQ95)</f>
        <v>0</v>
      </c>
      <c r="H123">
        <f t="shared" si="1"/>
        <v>0</v>
      </c>
    </row>
    <row r="124" spans="3:8" x14ac:dyDescent="0.25">
      <c r="C124">
        <f>COUNTA(CS1:CS95)</f>
        <v>0</v>
      </c>
      <c r="D124">
        <f t="shared" si="0"/>
        <v>0</v>
      </c>
      <c r="E124">
        <f>SUM(CT3:CT95)</f>
        <v>0</v>
      </c>
      <c r="F124">
        <f>SUM(CU3:CU95)</f>
        <v>0</v>
      </c>
      <c r="H124">
        <f t="shared" si="1"/>
        <v>0</v>
      </c>
    </row>
    <row r="125" spans="3:8" x14ac:dyDescent="0.25">
      <c r="C125">
        <f>COUNTA(CW1:CW95)</f>
        <v>0</v>
      </c>
      <c r="D125">
        <f t="shared" si="0"/>
        <v>0</v>
      </c>
      <c r="E125">
        <f>SUM(CX3:CX95)</f>
        <v>0</v>
      </c>
      <c r="F125">
        <f>SUM(CY3:CY95)</f>
        <v>0</v>
      </c>
      <c r="H125">
        <f t="shared" si="1"/>
        <v>0</v>
      </c>
    </row>
    <row r="126" spans="3:8" x14ac:dyDescent="0.25">
      <c r="C126">
        <f>COUNTA(DA1:DA95)</f>
        <v>0</v>
      </c>
      <c r="D126">
        <f t="shared" si="0"/>
        <v>0</v>
      </c>
      <c r="E126">
        <f>SUM(DB3:DB95)</f>
        <v>0</v>
      </c>
      <c r="F126">
        <f>SUM(DC3:DC95)</f>
        <v>0</v>
      </c>
      <c r="H126">
        <f t="shared" si="1"/>
        <v>0</v>
      </c>
    </row>
    <row r="127" spans="3:8" x14ac:dyDescent="0.25">
      <c r="C127">
        <f>COUNTA(DE1:DE95)</f>
        <v>0</v>
      </c>
      <c r="D127">
        <f t="shared" si="0"/>
        <v>0</v>
      </c>
      <c r="E127">
        <f>SUM(DF3:DF95)</f>
        <v>0</v>
      </c>
      <c r="F127">
        <f>SUM(DG3:DG95)</f>
        <v>0</v>
      </c>
      <c r="H127">
        <f t="shared" si="1"/>
        <v>0</v>
      </c>
    </row>
    <row r="128" spans="3:8" x14ac:dyDescent="0.25">
      <c r="C128">
        <f>COUNTA(DI1:DI95)</f>
        <v>0</v>
      </c>
      <c r="D128">
        <f t="shared" si="0"/>
        <v>0</v>
      </c>
      <c r="E128">
        <f>SUM(DJ3:DJ95)</f>
        <v>0</v>
      </c>
      <c r="F128">
        <f>SUM(DK3:DK95)</f>
        <v>0</v>
      </c>
      <c r="H128">
        <f t="shared" si="1"/>
        <v>0</v>
      </c>
    </row>
    <row r="129" spans="3:8" x14ac:dyDescent="0.25">
      <c r="C129">
        <f>COUNTA(DM1:DM95)</f>
        <v>0</v>
      </c>
      <c r="D129">
        <f t="shared" si="0"/>
        <v>0</v>
      </c>
      <c r="E129">
        <f>SUM(DN3:DN95)</f>
        <v>0</v>
      </c>
      <c r="F129">
        <f>SUM(DO3:DO95)</f>
        <v>0</v>
      </c>
      <c r="H129">
        <f t="shared" si="1"/>
        <v>0</v>
      </c>
    </row>
    <row r="130" spans="3:8" x14ac:dyDescent="0.25">
      <c r="C130">
        <f>COUNTA(DQ1:DQ95)</f>
        <v>0</v>
      </c>
      <c r="D130">
        <f t="shared" si="0"/>
        <v>0</v>
      </c>
      <c r="E130">
        <f>SUM(DR3:DR95)</f>
        <v>0</v>
      </c>
      <c r="F130">
        <f>SUM(DS3:DS95)</f>
        <v>0</v>
      </c>
      <c r="H130">
        <f t="shared" si="1"/>
        <v>0</v>
      </c>
    </row>
    <row r="131" spans="3:8" x14ac:dyDescent="0.25">
      <c r="C131">
        <f>COUNTA(DU1:DU95)</f>
        <v>0</v>
      </c>
      <c r="D131">
        <f t="shared" si="0"/>
        <v>0</v>
      </c>
      <c r="E131">
        <f>SUM(DV3:DV95)</f>
        <v>0</v>
      </c>
      <c r="F131">
        <f>SUM(DW3:DW95)</f>
        <v>0</v>
      </c>
      <c r="H131">
        <f t="shared" si="1"/>
        <v>0</v>
      </c>
    </row>
    <row r="132" spans="3:8" x14ac:dyDescent="0.25">
      <c r="C132">
        <f>COUNTA(DY1:DY95)</f>
        <v>0</v>
      </c>
      <c r="D132">
        <f t="shared" si="0"/>
        <v>0</v>
      </c>
      <c r="E132">
        <f>SUM(DX3:DX95)</f>
        <v>0</v>
      </c>
      <c r="F132">
        <f>SUM(DY3:DY95)</f>
        <v>0</v>
      </c>
      <c r="H132">
        <f t="shared" si="1"/>
        <v>0</v>
      </c>
    </row>
    <row r="133" spans="3:8" x14ac:dyDescent="0.25">
      <c r="C133">
        <f>COUNTA(EC1:EC95)</f>
        <v>0</v>
      </c>
      <c r="D133">
        <f t="shared" si="0"/>
        <v>0</v>
      </c>
      <c r="E133">
        <f>SUM(ED3:ED95)</f>
        <v>0</v>
      </c>
      <c r="F133">
        <f>SUM(EE3:EE95)</f>
        <v>0</v>
      </c>
      <c r="H133">
        <f t="shared" si="1"/>
        <v>0</v>
      </c>
    </row>
    <row r="134" spans="3:8" x14ac:dyDescent="0.25">
      <c r="C134">
        <f>COUNTA(EG1:EG96)</f>
        <v>0</v>
      </c>
      <c r="D134">
        <f t="shared" si="0"/>
        <v>0</v>
      </c>
      <c r="E134">
        <f>SUM(EH3:EH95)</f>
        <v>0</v>
      </c>
      <c r="F134">
        <f>SUM(EI3:EI95)</f>
        <v>0</v>
      </c>
      <c r="H134">
        <f t="shared" si="1"/>
        <v>0</v>
      </c>
    </row>
    <row r="135" spans="3:8" x14ac:dyDescent="0.25">
      <c r="C135">
        <f>COUNTA(EK1:EK95)</f>
        <v>0</v>
      </c>
      <c r="D135">
        <f t="shared" si="0"/>
        <v>0</v>
      </c>
      <c r="E135">
        <f>SUM(EL3:EL95)</f>
        <v>0</v>
      </c>
      <c r="F135">
        <f>SUM(EM3:EM95)</f>
        <v>0</v>
      </c>
      <c r="H135">
        <f t="shared" si="1"/>
        <v>0</v>
      </c>
    </row>
    <row r="136" spans="3:8" x14ac:dyDescent="0.25">
      <c r="C136">
        <f>COUNTA(EO1:EO95)</f>
        <v>0</v>
      </c>
      <c r="D136">
        <f t="shared" si="0"/>
        <v>0</v>
      </c>
      <c r="E136">
        <f>SUM(EP3:EP95)</f>
        <v>0</v>
      </c>
      <c r="F136">
        <f>SUM(EQ3:EQ95)</f>
        <v>0</v>
      </c>
      <c r="H136">
        <f t="shared" si="1"/>
        <v>0</v>
      </c>
    </row>
    <row r="137" spans="3:8" x14ac:dyDescent="0.25">
      <c r="C137">
        <f>COUNTA(ES1:ES95)</f>
        <v>0</v>
      </c>
      <c r="D137">
        <f t="shared" si="0"/>
        <v>0</v>
      </c>
      <c r="E137">
        <f>SUM(ET3:ET95)</f>
        <v>0</v>
      </c>
      <c r="F137">
        <f>SUM(EU3:EU95)</f>
        <v>0</v>
      </c>
      <c r="H137">
        <f t="shared" si="1"/>
        <v>0</v>
      </c>
    </row>
    <row r="138" spans="3:8" x14ac:dyDescent="0.25">
      <c r="C138">
        <f>COUNTA(EW1:EW95)</f>
        <v>0</v>
      </c>
      <c r="D138">
        <f t="shared" si="0"/>
        <v>0</v>
      </c>
      <c r="E138">
        <f>SUM(EX3:EX95)</f>
        <v>0</v>
      </c>
      <c r="F138">
        <f>SUM(EY3:EY95)</f>
        <v>0</v>
      </c>
      <c r="H138">
        <f t="shared" si="1"/>
        <v>0</v>
      </c>
    </row>
    <row r="139" spans="3:8" x14ac:dyDescent="0.25">
      <c r="C139">
        <f>COUNTA(FA1:FA95)</f>
        <v>0</v>
      </c>
      <c r="D139">
        <f t="shared" si="0"/>
        <v>0</v>
      </c>
      <c r="E139">
        <f>SUM(FB3:FB95)</f>
        <v>0</v>
      </c>
      <c r="F139">
        <f>SUM(FC3:FC95)</f>
        <v>0</v>
      </c>
      <c r="H139">
        <f t="shared" si="1"/>
        <v>0</v>
      </c>
    </row>
    <row r="140" spans="3:8" x14ac:dyDescent="0.25">
      <c r="C140">
        <f>COUNTA(FE1:FE95)</f>
        <v>0</v>
      </c>
      <c r="D140">
        <f t="shared" si="0"/>
        <v>0</v>
      </c>
      <c r="E140">
        <f>SUM(FF3:FF95)</f>
        <v>0</v>
      </c>
      <c r="F140">
        <f>SUM(FG3:FG95)</f>
        <v>0</v>
      </c>
      <c r="H140">
        <f t="shared" si="1"/>
        <v>0</v>
      </c>
    </row>
    <row r="141" spans="3:8" x14ac:dyDescent="0.25">
      <c r="C141">
        <f>COUNTA(FI1:FI95)</f>
        <v>0</v>
      </c>
      <c r="D141">
        <f t="shared" si="0"/>
        <v>0</v>
      </c>
      <c r="E141">
        <f>SUM(FJ3:FJ95)</f>
        <v>0</v>
      </c>
      <c r="F141">
        <f>SUM(FK3:FK95)</f>
        <v>0</v>
      </c>
      <c r="H141">
        <f t="shared" si="1"/>
        <v>0</v>
      </c>
    </row>
    <row r="142" spans="3:8" x14ac:dyDescent="0.25">
      <c r="C142">
        <f>COUNTA(FM1:FM95)</f>
        <v>0</v>
      </c>
      <c r="D142">
        <f t="shared" si="0"/>
        <v>0</v>
      </c>
      <c r="E142">
        <f>SUM(FN3:FN95)</f>
        <v>0</v>
      </c>
      <c r="F142">
        <f>SUM(FO3:FO95)</f>
        <v>0</v>
      </c>
      <c r="H142">
        <f t="shared" si="1"/>
        <v>0</v>
      </c>
    </row>
    <row r="143" spans="3:8" x14ac:dyDescent="0.25">
      <c r="C143">
        <f>COUNTA(FQ1:FQ95)</f>
        <v>0</v>
      </c>
      <c r="D143">
        <f t="shared" si="0"/>
        <v>0</v>
      </c>
      <c r="E143">
        <f>SUM(FR3:FR95)</f>
        <v>0</v>
      </c>
      <c r="F143">
        <f>SUM(FS3:FS95)</f>
        <v>0</v>
      </c>
      <c r="H143">
        <f t="shared" si="1"/>
        <v>0</v>
      </c>
    </row>
    <row r="144" spans="3:8" x14ac:dyDescent="0.25">
      <c r="C144">
        <f>COUNTA(FU1:FU95)</f>
        <v>0</v>
      </c>
      <c r="D144">
        <f t="shared" si="0"/>
        <v>0</v>
      </c>
      <c r="E144">
        <f>SUM(FV3:FV95)</f>
        <v>0</v>
      </c>
      <c r="F144">
        <f>SUM(FW3:FW95)</f>
        <v>0</v>
      </c>
      <c r="H144">
        <f t="shared" si="1"/>
        <v>0</v>
      </c>
    </row>
    <row r="145" spans="3:8" x14ac:dyDescent="0.25">
      <c r="C145">
        <f>COUNTA(FY1:FY95)</f>
        <v>0</v>
      </c>
      <c r="D145">
        <f t="shared" si="0"/>
        <v>0</v>
      </c>
      <c r="E145">
        <f>SUM(FZ3:FZ95)</f>
        <v>0</v>
      </c>
      <c r="F145">
        <f>SUM(GA3:GA95)</f>
        <v>0</v>
      </c>
      <c r="H145">
        <f t="shared" si="1"/>
        <v>0</v>
      </c>
    </row>
    <row r="146" spans="3:8" x14ac:dyDescent="0.25">
      <c r="C146">
        <f>COUNTA(GC1:GC95)</f>
        <v>0</v>
      </c>
      <c r="D146">
        <f t="shared" si="0"/>
        <v>0</v>
      </c>
      <c r="E146">
        <f>SUM(GD3:GD95)</f>
        <v>0</v>
      </c>
      <c r="F146">
        <f>SUM(GE3:GE95)</f>
        <v>0</v>
      </c>
      <c r="H146">
        <f t="shared" si="1"/>
        <v>0</v>
      </c>
    </row>
    <row r="147" spans="3:8" x14ac:dyDescent="0.25">
      <c r="C147">
        <f>COUNTA(GG1:GG95)</f>
        <v>0</v>
      </c>
      <c r="D147">
        <f t="shared" si="0"/>
        <v>0</v>
      </c>
      <c r="E147">
        <f>SUM(GH3:GH95)</f>
        <v>0</v>
      </c>
      <c r="F147">
        <f>SUM(GI3:GI95)</f>
        <v>0</v>
      </c>
      <c r="H147">
        <f t="shared" si="1"/>
        <v>0</v>
      </c>
    </row>
    <row r="148" spans="3:8" x14ac:dyDescent="0.25">
      <c r="C148">
        <f>COUNTA(GK1:GK95)</f>
        <v>0</v>
      </c>
      <c r="D148">
        <f t="shared" si="0"/>
        <v>0</v>
      </c>
      <c r="E148">
        <f>SUM(GL3:GL95)</f>
        <v>0</v>
      </c>
      <c r="F148">
        <f>SUM(GM3:GM95)</f>
        <v>0</v>
      </c>
      <c r="H148">
        <f t="shared" si="1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Z102"/>
  <sheetViews>
    <sheetView topLeftCell="A7" workbookViewId="0">
      <selection activeCell="Y3" sqref="Y3"/>
    </sheetView>
  </sheetViews>
  <sheetFormatPr defaultRowHeight="15" x14ac:dyDescent="0.25"/>
  <sheetData>
    <row r="2" spans="2:26" x14ac:dyDescent="0.25">
      <c r="B2" t="s">
        <v>22</v>
      </c>
      <c r="C2" t="s">
        <v>23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  <c r="I2" t="s">
        <v>29</v>
      </c>
      <c r="J2" t="s">
        <v>30</v>
      </c>
      <c r="K2" t="s">
        <v>21</v>
      </c>
      <c r="L2" t="s">
        <v>31</v>
      </c>
      <c r="M2" t="s">
        <v>32</v>
      </c>
      <c r="N2" t="s">
        <v>33</v>
      </c>
      <c r="O2" t="s">
        <v>34</v>
      </c>
      <c r="P2" t="s">
        <v>35</v>
      </c>
      <c r="Q2" t="s">
        <v>36</v>
      </c>
      <c r="R2" t="s">
        <v>37</v>
      </c>
      <c r="S2" t="s">
        <v>38</v>
      </c>
      <c r="T2" t="s">
        <v>7</v>
      </c>
      <c r="U2" t="s">
        <v>0</v>
      </c>
      <c r="V2" t="s">
        <v>39</v>
      </c>
      <c r="W2" t="s">
        <v>40</v>
      </c>
      <c r="X2" t="s">
        <v>41</v>
      </c>
      <c r="Y2" t="s">
        <v>45</v>
      </c>
      <c r="Z2" t="s">
        <v>46</v>
      </c>
    </row>
    <row r="3" spans="2:26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2:26" x14ac:dyDescent="0.25"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7</v>
      </c>
    </row>
    <row r="102" spans="1:3" x14ac:dyDescent="0.25">
      <c r="A102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16" workbookViewId="0">
      <selection activeCell="D10" sqref="D1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Savings</vt:lpstr>
      <vt:lpstr>data</vt:lpstr>
      <vt:lpstr>Borrowers</vt:lpstr>
      <vt:lpstr>Revenues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2025-02-15T20:08:48Z</dcterms:modified>
</cp:coreProperties>
</file>