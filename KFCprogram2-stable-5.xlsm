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ampifs03\Assy_Maintenance\FOLMaint\General\Ryan\FYI and Instructions\"/>
    </mc:Choice>
  </mc:AlternateContent>
  <xr:revisionPtr revIDLastSave="0" documentId="13_ncr:1_{B452F454-25DC-465B-8237-90DDEBB1276D}" xr6:coauthVersionLast="47" xr6:coauthVersionMax="47" xr10:uidLastSave="{00000000-0000-0000-0000-000000000000}"/>
  <bookViews>
    <workbookView xWindow="-120" yWindow="-120" windowWidth="24240" windowHeight="13020" tabRatio="593" activeTab="2" xr2:uid="{00000000-000D-0000-FFFF-FFFF00000000}"/>
  </bookViews>
  <sheets>
    <sheet name="Home" sheetId="1" r:id="rId1"/>
    <sheet name="Overview" sheetId="8" r:id="rId2"/>
    <sheet name="Savings" sheetId="2" r:id="rId3"/>
    <sheet name="Borrowers" sheetId="4" r:id="rId4"/>
    <sheet name="Revenues" sheetId="5" r:id="rId5"/>
    <sheet name="data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1" i="2" l="1"/>
  <c r="B72" i="2"/>
  <c r="B70" i="2"/>
  <c r="B69" i="2"/>
  <c r="B100" i="4"/>
  <c r="L7" i="7"/>
  <c r="L6" i="7"/>
  <c r="L5" i="7"/>
  <c r="H126" i="4"/>
  <c r="H127" i="4"/>
  <c r="H128" i="4"/>
  <c r="H129" i="4"/>
  <c r="H130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03" i="4"/>
  <c r="H102" i="4"/>
  <c r="H101" i="4"/>
  <c r="F102" i="4"/>
  <c r="E102" i="4"/>
  <c r="C102" i="4"/>
  <c r="K3" i="7"/>
  <c r="F103" i="4"/>
  <c r="E103" i="4"/>
  <c r="C103" i="4"/>
  <c r="F105" i="4"/>
  <c r="E105" i="4"/>
  <c r="C105" i="4"/>
  <c r="F101" i="4"/>
  <c r="E101" i="4"/>
  <c r="C101" i="4"/>
  <c r="L10" i="7" l="1"/>
  <c r="L9" i="7"/>
  <c r="L8" i="7"/>
  <c r="F104" i="4"/>
  <c r="E104" i="4"/>
  <c r="C104" i="4"/>
  <c r="F106" i="4"/>
  <c r="E106" i="4"/>
  <c r="C106" i="4"/>
  <c r="F107" i="4"/>
  <c r="E107" i="4"/>
  <c r="C107" i="4"/>
  <c r="L3" i="7"/>
  <c r="L4" i="7"/>
  <c r="F108" i="4"/>
  <c r="E108" i="4"/>
  <c r="C108" i="4"/>
  <c r="S4" i="7" l="1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3" i="7"/>
  <c r="D104" i="4"/>
  <c r="C100" i="4"/>
  <c r="M3" i="7"/>
  <c r="O51" i="7"/>
  <c r="Q51" i="7" s="1"/>
  <c r="N51" i="7"/>
  <c r="M51" i="7" s="1"/>
  <c r="O50" i="7"/>
  <c r="Q50" i="7" s="1"/>
  <c r="N50" i="7"/>
  <c r="M50" i="7" s="1"/>
  <c r="O49" i="7"/>
  <c r="Q49" i="7" s="1"/>
  <c r="N49" i="7"/>
  <c r="M49" i="7" s="1"/>
  <c r="O48" i="7"/>
  <c r="Q48" i="7" s="1"/>
  <c r="N48" i="7"/>
  <c r="M48" i="7" s="1"/>
  <c r="O47" i="7"/>
  <c r="Q47" i="7" s="1"/>
  <c r="N47" i="7"/>
  <c r="M47" i="7" s="1"/>
  <c r="O46" i="7"/>
  <c r="Q46" i="7" s="1"/>
  <c r="N46" i="7"/>
  <c r="M46" i="7" s="1"/>
  <c r="O45" i="7"/>
  <c r="Q45" i="7" s="1"/>
  <c r="N45" i="7"/>
  <c r="M45" i="7" s="1"/>
  <c r="O44" i="7"/>
  <c r="Q44" i="7" s="1"/>
  <c r="N44" i="7"/>
  <c r="M44" i="7"/>
  <c r="O43" i="7"/>
  <c r="Q43" i="7" s="1"/>
  <c r="N43" i="7"/>
  <c r="M43" i="7" s="1"/>
  <c r="O42" i="7"/>
  <c r="Q42" i="7" s="1"/>
  <c r="N42" i="7"/>
  <c r="M42" i="7" s="1"/>
  <c r="O41" i="7"/>
  <c r="Q41" i="7" s="1"/>
  <c r="N41" i="7"/>
  <c r="M41" i="7" s="1"/>
  <c r="O40" i="7"/>
  <c r="Q40" i="7" s="1"/>
  <c r="N40" i="7"/>
  <c r="M40" i="7" s="1"/>
  <c r="O39" i="7"/>
  <c r="Q39" i="7" s="1"/>
  <c r="N39" i="7"/>
  <c r="M39" i="7" s="1"/>
  <c r="O38" i="7"/>
  <c r="Q38" i="7" s="1"/>
  <c r="N38" i="7"/>
  <c r="M38" i="7" s="1"/>
  <c r="O37" i="7"/>
  <c r="Q37" i="7" s="1"/>
  <c r="N37" i="7"/>
  <c r="M37" i="7" s="1"/>
  <c r="O36" i="7"/>
  <c r="Q36" i="7" s="1"/>
  <c r="N36" i="7"/>
  <c r="M36" i="7" s="1"/>
  <c r="O35" i="7"/>
  <c r="Q35" i="7" s="1"/>
  <c r="N35" i="7"/>
  <c r="M35" i="7" s="1"/>
  <c r="O34" i="7"/>
  <c r="Q34" i="7" s="1"/>
  <c r="N34" i="7"/>
  <c r="M34" i="7" s="1"/>
  <c r="O33" i="7"/>
  <c r="Q33" i="7" s="1"/>
  <c r="N33" i="7"/>
  <c r="M33" i="7" s="1"/>
  <c r="O32" i="7"/>
  <c r="Q32" i="7" s="1"/>
  <c r="N32" i="7"/>
  <c r="M32" i="7"/>
  <c r="O31" i="7"/>
  <c r="Q31" i="7" s="1"/>
  <c r="N31" i="7"/>
  <c r="M31" i="7" s="1"/>
  <c r="O30" i="7"/>
  <c r="Q30" i="7" s="1"/>
  <c r="N30" i="7"/>
  <c r="M30" i="7" s="1"/>
  <c r="O29" i="7"/>
  <c r="Q29" i="7" s="1"/>
  <c r="N29" i="7"/>
  <c r="M29" i="7" s="1"/>
  <c r="O28" i="7"/>
  <c r="Q28" i="7" s="1"/>
  <c r="N28" i="7"/>
  <c r="M28" i="7" s="1"/>
  <c r="O27" i="7"/>
  <c r="Q27" i="7" s="1"/>
  <c r="N27" i="7"/>
  <c r="M27" i="7" s="1"/>
  <c r="O26" i="7"/>
  <c r="Q26" i="7" s="1"/>
  <c r="N26" i="7"/>
  <c r="M26" i="7" s="1"/>
  <c r="O25" i="7"/>
  <c r="Q25" i="7" s="1"/>
  <c r="N25" i="7"/>
  <c r="M25" i="7" s="1"/>
  <c r="O24" i="7"/>
  <c r="Q24" i="7" s="1"/>
  <c r="N24" i="7"/>
  <c r="M24" i="7" s="1"/>
  <c r="O23" i="7"/>
  <c r="Q23" i="7" s="1"/>
  <c r="N23" i="7"/>
  <c r="M23" i="7" s="1"/>
  <c r="O22" i="7"/>
  <c r="Q22" i="7" s="1"/>
  <c r="N22" i="7"/>
  <c r="M22" i="7" s="1"/>
  <c r="O21" i="7"/>
  <c r="Q21" i="7" s="1"/>
  <c r="N21" i="7"/>
  <c r="M21" i="7" s="1"/>
  <c r="O20" i="7"/>
  <c r="Q20" i="7" s="1"/>
  <c r="N20" i="7"/>
  <c r="M20" i="7"/>
  <c r="O19" i="7"/>
  <c r="Q19" i="7" s="1"/>
  <c r="N19" i="7"/>
  <c r="M19" i="7" s="1"/>
  <c r="O18" i="7"/>
  <c r="Q18" i="7" s="1"/>
  <c r="N18" i="7"/>
  <c r="M18" i="7" s="1"/>
  <c r="O17" i="7"/>
  <c r="Q17" i="7" s="1"/>
  <c r="N17" i="7"/>
  <c r="M17" i="7" s="1"/>
  <c r="O16" i="7"/>
  <c r="Q16" i="7" s="1"/>
  <c r="N16" i="7"/>
  <c r="M16" i="7" s="1"/>
  <c r="O15" i="7"/>
  <c r="Q15" i="7" s="1"/>
  <c r="N15" i="7"/>
  <c r="M15" i="7" s="1"/>
  <c r="O14" i="7"/>
  <c r="Q14" i="7" s="1"/>
  <c r="N14" i="7"/>
  <c r="M14" i="7" s="1"/>
  <c r="O13" i="7"/>
  <c r="Q13" i="7" s="1"/>
  <c r="N13" i="7"/>
  <c r="M13" i="7" s="1"/>
  <c r="O12" i="7"/>
  <c r="Q12" i="7" s="1"/>
  <c r="N12" i="7"/>
  <c r="M12" i="7" s="1"/>
  <c r="O11" i="7"/>
  <c r="Q11" i="7" s="1"/>
  <c r="N11" i="7"/>
  <c r="M11" i="7" s="1"/>
  <c r="O10" i="7"/>
  <c r="Q10" i="7" s="1"/>
  <c r="N10" i="7"/>
  <c r="M10" i="7" s="1"/>
  <c r="O9" i="7"/>
  <c r="Q9" i="7" s="1"/>
  <c r="N9" i="7"/>
  <c r="M9" i="7" s="1"/>
  <c r="O8" i="7"/>
  <c r="Q8" i="7" s="1"/>
  <c r="N8" i="7"/>
  <c r="M8" i="7" s="1"/>
  <c r="O7" i="7"/>
  <c r="Q7" i="7" s="1"/>
  <c r="N7" i="7"/>
  <c r="M7" i="7" s="1"/>
  <c r="O6" i="7"/>
  <c r="Q6" i="7" s="1"/>
  <c r="N6" i="7"/>
  <c r="M6" i="7" s="1"/>
  <c r="O5" i="7"/>
  <c r="Q5" i="7" s="1"/>
  <c r="N5" i="7"/>
  <c r="M5" i="7" s="1"/>
  <c r="O4" i="7"/>
  <c r="Q4" i="7" s="1"/>
  <c r="N4" i="7"/>
  <c r="M4" i="7" s="1"/>
  <c r="O3" i="7"/>
  <c r="Q3" i="7" s="1"/>
  <c r="N3" i="7"/>
  <c r="U10" i="1" l="1"/>
  <c r="N51" i="2"/>
  <c r="O51" i="2"/>
  <c r="G3" i="7"/>
  <c r="H3" i="7" s="1"/>
  <c r="E3" i="7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Z33" i="2"/>
  <c r="Z51" i="2" s="1"/>
  <c r="X33" i="2"/>
  <c r="V33" i="2"/>
  <c r="V51" i="2" s="1"/>
  <c r="T33" i="2"/>
  <c r="R33" i="2"/>
  <c r="R51" i="2" s="1"/>
  <c r="P33" i="2"/>
  <c r="O33" i="2"/>
  <c r="N33" i="2"/>
  <c r="L33" i="2"/>
  <c r="L51" i="2" s="1"/>
  <c r="J33" i="2"/>
  <c r="H33" i="2"/>
  <c r="H51" i="2" s="1"/>
  <c r="F33" i="2"/>
  <c r="F51" i="2" s="1"/>
  <c r="D33" i="2"/>
  <c r="D51" i="2" s="1"/>
  <c r="B33" i="2"/>
  <c r="B15" i="2"/>
  <c r="C15" i="2"/>
  <c r="C33" i="2" s="1"/>
  <c r="D15" i="2"/>
  <c r="E15" i="2"/>
  <c r="E33" i="2" s="1"/>
  <c r="F15" i="2"/>
  <c r="G15" i="2"/>
  <c r="G33" i="2" s="1"/>
  <c r="H15" i="2"/>
  <c r="I15" i="2"/>
  <c r="I33" i="2" s="1"/>
  <c r="J15" i="2"/>
  <c r="K15" i="2"/>
  <c r="K33" i="2" s="1"/>
  <c r="L15" i="2"/>
  <c r="M15" i="2"/>
  <c r="M33" i="2" s="1"/>
  <c r="N15" i="2"/>
  <c r="O15" i="2"/>
  <c r="P15" i="2"/>
  <c r="Q15" i="2"/>
  <c r="Q33" i="2" s="1"/>
  <c r="R15" i="2"/>
  <c r="S15" i="2"/>
  <c r="S33" i="2" s="1"/>
  <c r="T15" i="2"/>
  <c r="U15" i="2"/>
  <c r="U33" i="2" s="1"/>
  <c r="V15" i="2"/>
  <c r="W15" i="2"/>
  <c r="W33" i="2" s="1"/>
  <c r="X15" i="2"/>
  <c r="Y15" i="2"/>
  <c r="Y33" i="2" s="1"/>
  <c r="Z15" i="2"/>
  <c r="AA15" i="2"/>
  <c r="AA33" i="2" s="1"/>
  <c r="U4" i="1"/>
  <c r="F4" i="1" s="1"/>
  <c r="AA51" i="2" l="1"/>
  <c r="W51" i="2"/>
  <c r="S51" i="2"/>
  <c r="K51" i="2"/>
  <c r="G51" i="2"/>
  <c r="B34" i="2"/>
  <c r="P34" i="2" s="1"/>
  <c r="P35" i="2" s="1"/>
  <c r="C51" i="2"/>
  <c r="Y51" i="2"/>
  <c r="U51" i="2"/>
  <c r="Q51" i="2"/>
  <c r="M51" i="2"/>
  <c r="I51" i="2"/>
  <c r="E51" i="2"/>
  <c r="B52" i="2" s="1"/>
  <c r="AA52" i="2" s="1"/>
  <c r="AA53" i="2" s="1"/>
  <c r="O34" i="2"/>
  <c r="O35" i="2" s="1"/>
  <c r="B16" i="2"/>
  <c r="X16" i="2" s="1"/>
  <c r="J51" i="2"/>
  <c r="T51" i="2"/>
  <c r="X51" i="2"/>
  <c r="P51" i="2"/>
  <c r="H34" i="2"/>
  <c r="H35" i="2" s="1"/>
  <c r="AA16" i="2"/>
  <c r="D16" i="2"/>
  <c r="I16" i="2"/>
  <c r="Y16" i="2"/>
  <c r="N16" i="2"/>
  <c r="G16" i="2"/>
  <c r="W16" i="2"/>
  <c r="F100" i="4"/>
  <c r="H100" i="4" s="1"/>
  <c r="E100" i="4"/>
  <c r="D101" i="4"/>
  <c r="X17" i="2" l="1"/>
  <c r="C25" i="8" s="1"/>
  <c r="E25" i="8" s="1"/>
  <c r="B25" i="8"/>
  <c r="W17" i="2"/>
  <c r="C24" i="8" s="1"/>
  <c r="E24" i="8" s="1"/>
  <c r="B24" i="8"/>
  <c r="Y17" i="2"/>
  <c r="C26" i="8" s="1"/>
  <c r="E26" i="8" s="1"/>
  <c r="B26" i="8"/>
  <c r="AA17" i="2"/>
  <c r="C28" i="8" s="1"/>
  <c r="E28" i="8" s="1"/>
  <c r="B28" i="8"/>
  <c r="W34" i="2"/>
  <c r="W35" i="2" s="1"/>
  <c r="S16" i="2"/>
  <c r="C16" i="2"/>
  <c r="J16" i="2"/>
  <c r="U16" i="2"/>
  <c r="E16" i="2"/>
  <c r="T16" i="2"/>
  <c r="D34" i="2"/>
  <c r="Z34" i="2"/>
  <c r="Z35" i="2" s="1"/>
  <c r="I34" i="2"/>
  <c r="I35" i="2" s="1"/>
  <c r="Q34" i="2"/>
  <c r="Q35" i="2" s="1"/>
  <c r="Y34" i="2"/>
  <c r="Y35" i="2" s="1"/>
  <c r="N34" i="2"/>
  <c r="N35" i="2" s="1"/>
  <c r="G34" i="2"/>
  <c r="G35" i="2" s="1"/>
  <c r="G17" i="2"/>
  <c r="C8" i="8" s="1"/>
  <c r="E8" i="8" s="1"/>
  <c r="B8" i="8"/>
  <c r="D17" i="2"/>
  <c r="C5" i="8" s="1"/>
  <c r="E5" i="8" s="1"/>
  <c r="B5" i="8"/>
  <c r="F16" i="2"/>
  <c r="H16" i="2"/>
  <c r="V34" i="2"/>
  <c r="V35" i="2" s="1"/>
  <c r="X34" i="2"/>
  <c r="X35" i="2" s="1"/>
  <c r="C34" i="2"/>
  <c r="C35" i="2" s="1"/>
  <c r="S34" i="2"/>
  <c r="S35" i="2" s="1"/>
  <c r="AA34" i="2"/>
  <c r="AA35" i="2" s="1"/>
  <c r="N17" i="2"/>
  <c r="C15" i="8" s="1"/>
  <c r="E15" i="8" s="1"/>
  <c r="B15" i="8"/>
  <c r="I17" i="2"/>
  <c r="C10" i="8" s="1"/>
  <c r="E10" i="8" s="1"/>
  <c r="B10" i="8"/>
  <c r="T34" i="2"/>
  <c r="T35" i="2" s="1"/>
  <c r="O16" i="2"/>
  <c r="V16" i="2"/>
  <c r="Q16" i="2"/>
  <c r="P16" i="2"/>
  <c r="K16" i="2"/>
  <c r="R16" i="2"/>
  <c r="Z16" i="2"/>
  <c r="M16" i="2"/>
  <c r="L16" i="2"/>
  <c r="R34" i="2"/>
  <c r="R35" i="2" s="1"/>
  <c r="L34" i="2"/>
  <c r="L35" i="2" s="1"/>
  <c r="F34" i="2"/>
  <c r="F35" i="2" s="1"/>
  <c r="E34" i="2"/>
  <c r="E35" i="2" s="1"/>
  <c r="M34" i="2"/>
  <c r="M35" i="2" s="1"/>
  <c r="U34" i="2"/>
  <c r="U35" i="2" s="1"/>
  <c r="J34" i="2"/>
  <c r="J35" i="2" s="1"/>
  <c r="K34" i="2"/>
  <c r="K35" i="2" s="1"/>
  <c r="K52" i="2"/>
  <c r="K53" i="2" s="1"/>
  <c r="Y52" i="2"/>
  <c r="Y53" i="2" s="1"/>
  <c r="P52" i="2"/>
  <c r="P53" i="2" s="1"/>
  <c r="Q52" i="2"/>
  <c r="Q53" i="2" s="1"/>
  <c r="O52" i="2"/>
  <c r="O53" i="2" s="1"/>
  <c r="R52" i="2"/>
  <c r="R53" i="2" s="1"/>
  <c r="W52" i="2"/>
  <c r="W53" i="2" s="1"/>
  <c r="U52" i="2"/>
  <c r="U53" i="2" s="1"/>
  <c r="L52" i="2"/>
  <c r="L53" i="2" s="1"/>
  <c r="G52" i="2"/>
  <c r="G53" i="2" s="1"/>
  <c r="E52" i="2"/>
  <c r="E53" i="2" s="1"/>
  <c r="Z52" i="2"/>
  <c r="Z53" i="2" s="1"/>
  <c r="N52" i="2"/>
  <c r="N53" i="2" s="1"/>
  <c r="S52" i="2"/>
  <c r="S53" i="2" s="1"/>
  <c r="C52" i="2"/>
  <c r="C53" i="2" s="1"/>
  <c r="M52" i="2"/>
  <c r="M53" i="2" s="1"/>
  <c r="X52" i="2"/>
  <c r="X53" i="2" s="1"/>
  <c r="H52" i="2"/>
  <c r="H53" i="2" s="1"/>
  <c r="J52" i="2"/>
  <c r="J53" i="2" s="1"/>
  <c r="I52" i="2"/>
  <c r="I53" i="2" s="1"/>
  <c r="T52" i="2"/>
  <c r="T53" i="2" s="1"/>
  <c r="D52" i="2"/>
  <c r="D53" i="2" s="1"/>
  <c r="F52" i="2"/>
  <c r="F53" i="2" s="1"/>
  <c r="V52" i="2"/>
  <c r="V53" i="2" s="1"/>
  <c r="D100" i="4"/>
  <c r="D102" i="4"/>
  <c r="B71" i="2" l="1"/>
  <c r="V17" i="2"/>
  <c r="C23" i="8" s="1"/>
  <c r="E23" i="8" s="1"/>
  <c r="B23" i="8"/>
  <c r="H17" i="2"/>
  <c r="C9" i="8" s="1"/>
  <c r="E9" i="8" s="1"/>
  <c r="B9" i="8"/>
  <c r="B36" i="2"/>
  <c r="D35" i="2"/>
  <c r="B35" i="2" s="1"/>
  <c r="J17" i="2"/>
  <c r="C11" i="8" s="1"/>
  <c r="E11" i="8" s="1"/>
  <c r="B11" i="8"/>
  <c r="L17" i="2"/>
  <c r="C13" i="8" s="1"/>
  <c r="E13" i="8" s="1"/>
  <c r="B13" i="8"/>
  <c r="K17" i="2"/>
  <c r="C12" i="8" s="1"/>
  <c r="E12" i="8" s="1"/>
  <c r="B12" i="8"/>
  <c r="O17" i="2"/>
  <c r="C16" i="8" s="1"/>
  <c r="E16" i="8" s="1"/>
  <c r="B16" i="8"/>
  <c r="F17" i="2"/>
  <c r="C7" i="8" s="1"/>
  <c r="E7" i="8" s="1"/>
  <c r="B7" i="8"/>
  <c r="T17" i="2"/>
  <c r="C21" i="8" s="1"/>
  <c r="E21" i="8" s="1"/>
  <c r="B21" i="8"/>
  <c r="C17" i="2"/>
  <c r="B4" i="8"/>
  <c r="B18" i="2"/>
  <c r="P17" i="2"/>
  <c r="C17" i="8" s="1"/>
  <c r="E17" i="8" s="1"/>
  <c r="B17" i="8"/>
  <c r="E17" i="2"/>
  <c r="C6" i="8" s="1"/>
  <c r="E6" i="8" s="1"/>
  <c r="B6" i="8"/>
  <c r="S17" i="2"/>
  <c r="C20" i="8" s="1"/>
  <c r="E20" i="8" s="1"/>
  <c r="B20" i="8"/>
  <c r="R17" i="2"/>
  <c r="C19" i="8" s="1"/>
  <c r="E19" i="8" s="1"/>
  <c r="B19" i="8"/>
  <c r="M17" i="2"/>
  <c r="C14" i="8" s="1"/>
  <c r="E14" i="8" s="1"/>
  <c r="B14" i="8"/>
  <c r="Z17" i="2"/>
  <c r="C27" i="8" s="1"/>
  <c r="E27" i="8" s="1"/>
  <c r="B27" i="8"/>
  <c r="Q17" i="2"/>
  <c r="C18" i="8" s="1"/>
  <c r="E18" i="8" s="1"/>
  <c r="B18" i="8"/>
  <c r="U17" i="2"/>
  <c r="C22" i="8" s="1"/>
  <c r="E22" i="8" s="1"/>
  <c r="B22" i="8"/>
  <c r="B54" i="2"/>
  <c r="B53" i="2"/>
  <c r="D103" i="4"/>
  <c r="H14" i="8" l="1"/>
  <c r="C4" i="8"/>
  <c r="B17" i="2"/>
  <c r="C99" i="5"/>
  <c r="H16" i="8" l="1"/>
  <c r="E4" i="8"/>
  <c r="F148" i="4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D108" i="4" l="1"/>
  <c r="D107" i="4"/>
  <c r="D106" i="4"/>
  <c r="D105" i="4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<sst xmlns="http://schemas.openxmlformats.org/spreadsheetml/2006/main" count="250" uniqueCount="87">
  <si>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</si>
  <si>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</si>
  <si>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</si>
  <si>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</si>
  <si>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</si>
  <si>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</si>
  <si>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</si>
  <si>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</si>
  <si>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</si>
  <si>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</si>
  <si>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</si>
  <si>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</si>
  <si>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</si>
  <si>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</si>
  <si>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</si>
  <si>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</si>
  <si>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</si>
  <si>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</si>
  <si>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</si>
  <si>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</si>
  <si>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</si>
  <si>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</si>
  <si>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</si>
  <si>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</si>
  <si>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</si>
  <si>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</si>
  <si>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</si>
  <si>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</si>
  <si>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</si>
  <si>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</si>
  <si>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</si>
  <si>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</si>
  <si>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</si>
  <si>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</si>
  <si>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</si>
  <si>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</si>
  <si>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</si>
  <si>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</si>
  <si>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</si>
  <si>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</si>
  <si>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</si>
  <si>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</si>
  <si>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</si>
  <si>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</si>
  <si>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</si>
  <si>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</si>
  <si>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</si>
  <si>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</si>
  <si>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</si>
  <si>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</si>
  <si>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</si>
  <si>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</si>
  <si>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</si>
  <si>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</si>
  <si>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</si>
  <si>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</si>
  <si>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</si>
  <si>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</si>
  <si>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</si>
  <si>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</si>
  <si>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</si>
  <si>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</si>
  <si>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</si>
  <si>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</si>
  <si>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</si>
  <si>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</si>
  <si>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</si>
  <si>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</si>
  <si>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</si>
  <si>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</si>
  <si>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LENT MONEY</t>
  </si>
  <si>
    <t>2/28/205</t>
  </si>
  <si>
    <t>Total Percent Share</t>
  </si>
  <si>
    <t>Total Profit</t>
  </si>
  <si>
    <t>sroww</t>
  </si>
  <si>
    <t>Year(addy)</t>
  </si>
  <si>
    <t>Members(addcsav)</t>
  </si>
  <si>
    <t>copy date here</t>
  </si>
  <si>
    <t>TOTAL MONEY IN OTHER INVESTMENT</t>
  </si>
  <si>
    <t>CURRENT CUT-OFF DATE</t>
  </si>
  <si>
    <t>KFC TOTAL ASSETS</t>
  </si>
  <si>
    <t>KFC MONEY IN POSSESSION</t>
  </si>
  <si>
    <t>SAVINGS DATA</t>
  </si>
  <si>
    <t>aa</t>
  </si>
  <si>
    <t>bb</t>
  </si>
  <si>
    <t>cc</t>
  </si>
  <si>
    <t>PROFIT----------&gt;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</si>
</sst>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20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sz val="11"/>
      <color theme="7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3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2" fillId="21" borderId="28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10" fontId="17" fillId="24" borderId="0" xfId="0" applyNumberFormat="1" applyFont="1" applyFill="1" applyAlignment="1">
      <alignment horizontal="center"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0" fillId="13" borderId="0" xfId="0" applyFill="1" applyBorder="1"/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/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40" xfId="0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0" fontId="0" fillId="0" borderId="1" xfId="0" applyFill="1" applyBorder="1"/>
    <xf numFmtId="0" fontId="0" fillId="5" borderId="1" xfId="0" applyFill="1" applyBorder="1"/>
    <xf numFmtId="0" fontId="0" fillId="0" borderId="18" xfId="0" applyFill="1" applyBorder="1"/>
    <xf numFmtId="0" fontId="0" fillId="0" borderId="18" xfId="0" applyBorder="1"/>
    <xf numFmtId="0" fontId="8" fillId="4" borderId="0" xfId="0" applyFont="1" applyFill="1" applyBorder="1" applyAlignment="1">
      <alignment horizontal="center" vertical="center"/>
    </xf>
    <xf numFmtId="4" fontId="6" fillId="23" borderId="35" xfId="0" applyNumberFormat="1" applyFont="1" applyFill="1" applyBorder="1" applyAlignment="1">
      <alignment horizontal="center" vertical="center"/>
    </xf>
    <xf numFmtId="4" fontId="6" fillId="23" borderId="36" xfId="0" applyNumberFormat="1" applyFont="1" applyFill="1" applyBorder="1" applyAlignment="1">
      <alignment horizontal="center" vertical="center"/>
    </xf>
    <xf numFmtId="4" fontId="6" fillId="23" borderId="37" xfId="0" applyNumberFormat="1" applyFont="1" applyFill="1" applyBorder="1" applyAlignment="1">
      <alignment horizontal="center" vertical="center"/>
    </xf>
    <xf numFmtId="4" fontId="6" fillId="23" borderId="38" xfId="0" applyNumberFormat="1" applyFont="1" applyFill="1" applyBorder="1" applyAlignment="1">
      <alignment horizontal="center" vertical="center"/>
    </xf>
    <xf numFmtId="4" fontId="6" fillId="23" borderId="39" xfId="0" applyNumberFormat="1" applyFont="1" applyFill="1" applyBorder="1" applyAlignment="1">
      <alignment horizontal="center" vertical="center"/>
    </xf>
    <xf numFmtId="4" fontId="6" fillId="23" borderId="30" xfId="0" applyNumberFormat="1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center"/>
    </xf>
    <xf numFmtId="0" fontId="0" fillId="13" borderId="15" xfId="0" quotePrefix="1" applyFill="1" applyBorder="1" applyAlignment="1">
      <alignment horizontal="center"/>
    </xf>
    <xf numFmtId="0" fontId="8" fillId="13" borderId="0" xfId="0" applyFont="1" applyFill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33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 wrapText="1"/>
    </xf>
    <xf numFmtId="0" fontId="7" fillId="12" borderId="34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4" fontId="5" fillId="4" borderId="33" xfId="0" applyNumberFormat="1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4" fontId="5" fillId="4" borderId="34" xfId="0" applyNumberFormat="1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8" fillId="20" borderId="9" xfId="0" applyFont="1" applyFill="1" applyBorder="1" applyAlignment="1">
      <alignment horizontal="center" vertical="center"/>
    </xf>
    <xf numFmtId="0" fontId="18" fillId="20" borderId="10" xfId="0" applyFont="1" applyFill="1" applyBorder="1" applyAlignment="1">
      <alignment horizontal="center" vertical="center"/>
    </xf>
    <xf numFmtId="0" fontId="18" fillId="20" borderId="11" xfId="0" applyFont="1" applyFill="1" applyBorder="1" applyAlignment="1">
      <alignment horizontal="center" vertical="center"/>
    </xf>
    <xf numFmtId="0" fontId="18" fillId="20" borderId="33" xfId="0" applyFont="1" applyFill="1" applyBorder="1" applyAlignment="1">
      <alignment horizontal="center" vertical="center"/>
    </xf>
    <xf numFmtId="0" fontId="18" fillId="20" borderId="0" xfId="0" applyFont="1" applyFill="1" applyBorder="1" applyAlignment="1">
      <alignment horizontal="center" vertical="center"/>
    </xf>
    <xf numFmtId="0" fontId="18" fillId="20" borderId="12" xfId="0" applyFont="1" applyFill="1" applyBorder="1" applyAlignment="1">
      <alignment horizontal="center" vertical="center"/>
    </xf>
    <xf numFmtId="0" fontId="18" fillId="20" borderId="13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19" fillId="23" borderId="9" xfId="0" applyFont="1" applyFill="1" applyBorder="1" applyAlignment="1">
      <alignment horizontal="center" vertical="center"/>
    </xf>
    <xf numFmtId="0" fontId="19" fillId="23" borderId="10" xfId="0" applyFont="1" applyFill="1" applyBorder="1" applyAlignment="1">
      <alignment horizontal="center" vertical="center"/>
    </xf>
    <xf numFmtId="0" fontId="19" fillId="23" borderId="11" xfId="0" applyFont="1" applyFill="1" applyBorder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0" fillId="27" borderId="0" xfId="0" applyFill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4" fontId="0" fillId="0" borderId="0" xfId="0" applyNumberFormat="1" applyFill="1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FF33CC"/>
      <color rgb="FF66FFFF"/>
      <color rgb="FFFF5B5B"/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198676</xdr:colOff>
      <xdr:row>1</xdr:row>
      <xdr:rowOff>98506</xdr:rowOff>
    </xdr:from>
    <xdr:to>
      <xdr:col>4</xdr:col>
      <xdr:colOff>323850</xdr:colOff>
      <xdr:row>19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76" y="289006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14</xdr:row>
          <xdr:rowOff>180975</xdr:rowOff>
        </xdr:from>
        <xdr:to>
          <xdr:col>9</xdr:col>
          <xdr:colOff>219075</xdr:colOff>
          <xdr:row>16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17</xdr:row>
          <xdr:rowOff>47625</xdr:rowOff>
        </xdr:from>
        <xdr:to>
          <xdr:col>9</xdr:col>
          <xdr:colOff>219075</xdr:colOff>
          <xdr:row>19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371476</xdr:colOff>
      <xdr:row>6</xdr:row>
      <xdr:rowOff>28574</xdr:rowOff>
    </xdr:from>
    <xdr:to>
      <xdr:col>10</xdr:col>
      <xdr:colOff>247861</xdr:colOff>
      <xdr:row>14</xdr:row>
      <xdr:rowOff>85724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1" y="1200149"/>
          <a:ext cx="3276810" cy="164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1"/>
  <sheetViews>
    <sheetView topLeftCell="A4" workbookViewId="0">
      <selection activeCell="N19" sqref="N19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</row>
    <row r="2" spans="1:39" ht="15" customHeight="1" x14ac:dyDescent="0.25">
      <c r="A2" s="30"/>
      <c r="B2" s="14"/>
      <c r="C2" s="14"/>
      <c r="D2" s="14"/>
      <c r="E2" s="14"/>
      <c r="F2" s="103" t="s">
        <v>80</v>
      </c>
      <c r="G2" s="103"/>
      <c r="H2" s="103"/>
      <c r="I2" s="103"/>
      <c r="J2" s="103"/>
      <c r="K2" s="14"/>
      <c r="L2" s="14"/>
      <c r="M2" s="30"/>
      <c r="O2" s="30"/>
      <c r="P2" s="32"/>
      <c r="Q2" s="32"/>
      <c r="R2" s="136" t="s">
        <v>81</v>
      </c>
      <c r="S2" s="136"/>
      <c r="T2" s="136"/>
      <c r="U2" s="136"/>
      <c r="V2" s="136"/>
      <c r="W2" s="136"/>
      <c r="X2" s="32"/>
      <c r="Y2" s="32"/>
      <c r="Z2" s="30"/>
      <c r="AB2" s="74"/>
      <c r="AC2" s="32"/>
      <c r="AD2" s="32"/>
      <c r="AE2" s="136" t="s">
        <v>70</v>
      </c>
      <c r="AF2" s="136"/>
      <c r="AG2" s="136"/>
      <c r="AH2" s="136"/>
      <c r="AI2" s="136"/>
      <c r="AJ2" s="136"/>
      <c r="AK2" s="32"/>
      <c r="AL2" s="32"/>
      <c r="AM2" s="74"/>
    </row>
    <row r="3" spans="1:39" ht="15.75" customHeight="1" thickBot="1" x14ac:dyDescent="0.3">
      <c r="A3" s="30"/>
      <c r="B3" s="14"/>
      <c r="C3" s="14"/>
      <c r="D3" s="14"/>
      <c r="E3" s="14"/>
      <c r="F3" s="103"/>
      <c r="G3" s="103"/>
      <c r="H3" s="103"/>
      <c r="I3" s="103"/>
      <c r="J3" s="103"/>
      <c r="K3" s="14"/>
      <c r="L3" s="14"/>
      <c r="M3" s="30"/>
      <c r="O3" s="30"/>
      <c r="P3" s="32"/>
      <c r="Q3" s="32"/>
      <c r="R3" s="138"/>
      <c r="S3" s="138"/>
      <c r="T3" s="138"/>
      <c r="U3" s="138"/>
      <c r="V3" s="138"/>
      <c r="W3" s="138"/>
      <c r="X3" s="32"/>
      <c r="Y3" s="32"/>
      <c r="Z3" s="30"/>
      <c r="AB3" s="74"/>
      <c r="AC3" s="32"/>
      <c r="AD3" s="32"/>
      <c r="AE3" s="137"/>
      <c r="AF3" s="137"/>
      <c r="AG3" s="137"/>
      <c r="AH3" s="137"/>
      <c r="AI3" s="137"/>
      <c r="AJ3" s="137"/>
      <c r="AK3" s="32"/>
      <c r="AL3" s="32"/>
      <c r="AM3" s="74"/>
    </row>
    <row r="4" spans="1:39" ht="15" customHeight="1" x14ac:dyDescent="0.25">
      <c r="A4" s="30"/>
      <c r="B4" s="14"/>
      <c r="C4" s="14"/>
      <c r="D4" s="14"/>
      <c r="E4" s="14"/>
      <c r="F4" s="104">
        <f>U4+AH6+AH10</f>
        <v>2223000</v>
      </c>
      <c r="G4" s="105"/>
      <c r="H4" s="105"/>
      <c r="I4" s="105"/>
      <c r="J4" s="106"/>
      <c r="L4" s="14"/>
      <c r="M4" s="30"/>
      <c r="O4" s="30"/>
      <c r="P4" s="32"/>
      <c r="Q4" s="116" t="s">
        <v>59</v>
      </c>
      <c r="R4" s="117"/>
      <c r="S4" s="117"/>
      <c r="T4" s="118"/>
      <c r="U4" s="122">
        <f>U7 +U10</f>
        <v>1143000</v>
      </c>
      <c r="V4" s="123"/>
      <c r="W4" s="123"/>
      <c r="X4" s="124"/>
      <c r="Y4" s="32"/>
      <c r="Z4" s="30"/>
      <c r="AB4" s="74"/>
      <c r="AC4" s="32"/>
      <c r="AD4" s="32"/>
      <c r="AE4" s="85"/>
      <c r="AF4" s="85"/>
      <c r="AG4" s="85"/>
      <c r="AH4" s="85"/>
      <c r="AI4" s="85"/>
      <c r="AJ4" s="85"/>
      <c r="AK4" s="32"/>
      <c r="AL4" s="32"/>
      <c r="AM4" s="74"/>
    </row>
    <row r="5" spans="1:39" ht="15.75" customHeight="1" thickBot="1" x14ac:dyDescent="0.3">
      <c r="A5" s="30"/>
      <c r="B5" s="14"/>
      <c r="C5" s="14"/>
      <c r="D5" s="14"/>
      <c r="E5" s="14"/>
      <c r="F5" s="107"/>
      <c r="G5" s="108"/>
      <c r="H5" s="108"/>
      <c r="I5" s="108"/>
      <c r="J5" s="109"/>
      <c r="K5" s="14"/>
      <c r="L5" s="14"/>
      <c r="M5" s="30"/>
      <c r="O5" s="30"/>
      <c r="P5" s="32"/>
      <c r="Q5" s="119"/>
      <c r="R5" s="120"/>
      <c r="S5" s="120"/>
      <c r="T5" s="121"/>
      <c r="U5" s="125"/>
      <c r="V5" s="126"/>
      <c r="W5" s="126"/>
      <c r="X5" s="127"/>
      <c r="Y5" s="32"/>
      <c r="Z5" s="30"/>
      <c r="AB5" s="74"/>
      <c r="AC5" s="32"/>
      <c r="AD5" s="32"/>
      <c r="AE5" s="85"/>
      <c r="AF5" s="85"/>
      <c r="AG5" s="85"/>
      <c r="AH5" s="85"/>
      <c r="AI5" s="85"/>
      <c r="AJ5" s="85"/>
      <c r="AK5" s="32"/>
      <c r="AL5" s="32"/>
      <c r="AM5" s="74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135"/>
      <c r="W6" s="134"/>
      <c r="X6" s="32"/>
      <c r="Y6" s="32"/>
      <c r="Z6" s="30"/>
      <c r="AB6" s="74"/>
      <c r="AC6" s="32"/>
      <c r="AD6" s="116" t="s">
        <v>69</v>
      </c>
      <c r="AE6" s="117"/>
      <c r="AF6" s="117"/>
      <c r="AG6" s="118"/>
      <c r="AH6" s="122">
        <v>980000</v>
      </c>
      <c r="AI6" s="123"/>
      <c r="AJ6" s="123"/>
      <c r="AK6" s="124"/>
      <c r="AL6" s="32"/>
      <c r="AM6" s="74"/>
    </row>
    <row r="7" spans="1:39" ht="15.75" thickBot="1" x14ac:dyDescent="0.3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128" t="s">
        <v>54</v>
      </c>
      <c r="R7" s="129"/>
      <c r="S7" s="129"/>
      <c r="T7" s="130"/>
      <c r="U7" s="122">
        <v>243000</v>
      </c>
      <c r="V7" s="123"/>
      <c r="W7" s="123"/>
      <c r="X7" s="124"/>
      <c r="Y7" s="32"/>
      <c r="Z7" s="30"/>
      <c r="AB7" s="74"/>
      <c r="AC7" s="32"/>
      <c r="AD7" s="119"/>
      <c r="AE7" s="120"/>
      <c r="AF7" s="120"/>
      <c r="AG7" s="121"/>
      <c r="AH7" s="125"/>
      <c r="AI7" s="126"/>
      <c r="AJ7" s="126"/>
      <c r="AK7" s="127"/>
      <c r="AL7" s="32"/>
      <c r="AM7" s="74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131"/>
      <c r="R8" s="132"/>
      <c r="S8" s="132"/>
      <c r="T8" s="133"/>
      <c r="U8" s="125"/>
      <c r="V8" s="126"/>
      <c r="W8" s="126"/>
      <c r="X8" s="127"/>
      <c r="Y8" s="32"/>
      <c r="Z8" s="30"/>
      <c r="AB8" s="74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4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134"/>
      <c r="W9" s="134"/>
      <c r="X9" s="32"/>
      <c r="Y9" s="32"/>
      <c r="Z9" s="30"/>
      <c r="AB9" s="74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4"/>
    </row>
    <row r="10" spans="1:39" ht="15" customHeight="1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128" t="s">
        <v>55</v>
      </c>
      <c r="R10" s="129"/>
      <c r="S10" s="129"/>
      <c r="T10" s="130"/>
      <c r="U10" s="122">
        <f>SUM(U13,U15,U17)</f>
        <v>900000</v>
      </c>
      <c r="V10" s="123"/>
      <c r="W10" s="123"/>
      <c r="X10" s="124"/>
      <c r="Y10" s="32"/>
      <c r="Z10" s="30"/>
      <c r="AB10" s="74"/>
      <c r="AC10" s="32"/>
      <c r="AD10" s="139" t="s">
        <v>78</v>
      </c>
      <c r="AE10" s="140"/>
      <c r="AF10" s="140"/>
      <c r="AG10" s="141"/>
      <c r="AH10" s="122">
        <v>100000</v>
      </c>
      <c r="AI10" s="123"/>
      <c r="AJ10" s="123"/>
      <c r="AK10" s="124"/>
      <c r="AL10" s="32"/>
      <c r="AM10" s="74"/>
    </row>
    <row r="11" spans="1:39" ht="15.75" customHeight="1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131"/>
      <c r="R11" s="132"/>
      <c r="S11" s="132"/>
      <c r="T11" s="133"/>
      <c r="U11" s="125"/>
      <c r="V11" s="126"/>
      <c r="W11" s="126"/>
      <c r="X11" s="127"/>
      <c r="Y11" s="32"/>
      <c r="Z11" s="30"/>
      <c r="AB11" s="74"/>
      <c r="AC11" s="32"/>
      <c r="AD11" s="142"/>
      <c r="AE11" s="143"/>
      <c r="AF11" s="143"/>
      <c r="AG11" s="144"/>
      <c r="AH11" s="148"/>
      <c r="AI11" s="149"/>
      <c r="AJ11" s="149"/>
      <c r="AK11" s="150"/>
      <c r="AL11" s="32"/>
      <c r="AM11" s="74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4"/>
      <c r="AC12" s="32"/>
      <c r="AD12" s="145"/>
      <c r="AE12" s="146"/>
      <c r="AF12" s="146"/>
      <c r="AG12" s="147"/>
      <c r="AH12" s="125"/>
      <c r="AI12" s="126"/>
      <c r="AJ12" s="126"/>
      <c r="AK12" s="127"/>
      <c r="AL12" s="32"/>
      <c r="AM12" s="74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110" t="s">
        <v>58</v>
      </c>
      <c r="S13" s="111"/>
      <c r="T13" s="112"/>
      <c r="U13" s="113">
        <v>300000</v>
      </c>
      <c r="V13" s="114"/>
      <c r="W13" s="115"/>
      <c r="X13" s="32"/>
      <c r="Y13" s="32"/>
      <c r="Z13" s="30"/>
      <c r="AB13" s="74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4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4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4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110" t="s">
        <v>56</v>
      </c>
      <c r="S15" s="111"/>
      <c r="T15" s="112"/>
      <c r="U15" s="113">
        <v>300000</v>
      </c>
      <c r="V15" s="114"/>
      <c r="W15" s="115"/>
      <c r="X15" s="32"/>
      <c r="Y15" s="32"/>
      <c r="Z15" s="30"/>
      <c r="AB15" s="74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4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4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4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110" t="s">
        <v>57</v>
      </c>
      <c r="S17" s="111"/>
      <c r="T17" s="112"/>
      <c r="U17" s="113">
        <v>300000</v>
      </c>
      <c r="V17" s="114"/>
      <c r="W17" s="115"/>
      <c r="X17" s="32"/>
      <c r="Y17" s="32"/>
      <c r="Z17" s="30"/>
      <c r="AB17" s="74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4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4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4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4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4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4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4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</row>
  </sheetData>
  <mergeCells count="22">
    <mergeCell ref="AE2:AJ3"/>
    <mergeCell ref="AD6:AG7"/>
    <mergeCell ref="AH6:AK7"/>
    <mergeCell ref="R2:W3"/>
    <mergeCell ref="R13:T13"/>
    <mergeCell ref="U13:W13"/>
    <mergeCell ref="AD10:AG12"/>
    <mergeCell ref="AH10:AK12"/>
    <mergeCell ref="F2:J3"/>
    <mergeCell ref="F4:J5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V9:W9"/>
    <mergeCell ref="V6:W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371475</xdr:colOff>
                <xdr:row>17</xdr:row>
                <xdr:rowOff>47625</xdr:rowOff>
              </from>
              <to>
                <xdr:col>9</xdr:col>
                <xdr:colOff>219075</xdr:colOff>
                <xdr:row>19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371475</xdr:colOff>
                <xdr:row>14</xdr:row>
                <xdr:rowOff>180975</xdr:rowOff>
              </from>
              <to>
                <xdr:col>9</xdr:col>
                <xdr:colOff>219075</xdr:colOff>
                <xdr:row>16</xdr:row>
                <xdr:rowOff>180975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/>
  <dimension ref="A1:I29"/>
  <sheetViews>
    <sheetView workbookViewId="0">
      <selection activeCell="A14" sqref="A14"/>
    </sheetView>
  </sheetViews>
  <sheetFormatPr defaultRowHeight="15" x14ac:dyDescent="0.25"/>
  <cols>
    <col min="1" max="1" width="20.140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159" t="s">
        <v>64</v>
      </c>
      <c r="B1" s="160"/>
      <c r="C1" s="160"/>
      <c r="D1" s="160"/>
      <c r="E1" s="160"/>
      <c r="F1" s="160"/>
      <c r="G1" s="160"/>
      <c r="H1" s="160"/>
      <c r="I1" s="161"/>
    </row>
    <row r="2" spans="1:9" ht="15.75" thickBot="1" x14ac:dyDescent="0.3">
      <c r="A2" s="162"/>
      <c r="B2" s="163"/>
      <c r="C2" s="163"/>
      <c r="D2" s="163"/>
      <c r="E2" s="163"/>
      <c r="F2" s="164"/>
      <c r="G2" s="164"/>
      <c r="H2" s="164"/>
      <c r="I2" s="165"/>
    </row>
    <row r="3" spans="1:9" x14ac:dyDescent="0.25">
      <c r="A3" s="73" t="s">
        <v>65</v>
      </c>
      <c r="B3" s="73" t="s">
        <v>61</v>
      </c>
      <c r="C3" s="73" t="s">
        <v>66</v>
      </c>
      <c r="D3" s="73" t="s">
        <v>67</v>
      </c>
      <c r="E3" s="75" t="s">
        <v>68</v>
      </c>
      <c r="F3" s="166" t="s">
        <v>79</v>
      </c>
      <c r="G3" s="167"/>
      <c r="H3" s="167"/>
      <c r="I3" s="168"/>
    </row>
    <row r="4" spans="1:9" ht="15.75" thickBot="1" x14ac:dyDescent="0.3">
      <c r="A4" s="44" t="str">
        <f>Savings!C2</f>
        <v>ken</v>
      </c>
      <c r="B4" s="71">
        <f>Savings!C16</f>
        <v>0.16427671426858256</v>
      </c>
      <c r="C4" s="72">
        <f>Savings!C17</f>
        <v>138096.75569916991</v>
      </c>
      <c r="D4" s="44">
        <v>200</v>
      </c>
      <c r="E4" s="76">
        <f>C4-D4</f>
        <v>137896.75569916991</v>
      </c>
      <c r="F4" s="169"/>
      <c r="G4" s="170"/>
      <c r="H4" s="170"/>
      <c r="I4" s="171"/>
    </row>
    <row r="5" spans="1:9" x14ac:dyDescent="0.25">
      <c r="A5" s="44" t="str">
        <f>Savings!D2</f>
        <v>gian</v>
      </c>
      <c r="B5" s="71">
        <f>Savings!D16</f>
        <v>1.112153355598304E-2</v>
      </c>
      <c r="C5" s="72">
        <f>Savings!D17</f>
        <v>9349.1503608338026</v>
      </c>
      <c r="D5" s="44">
        <v>200</v>
      </c>
      <c r="E5" s="76">
        <f t="shared" ref="E5:E28" si="0">C5-D5</f>
        <v>9149.1503608338026</v>
      </c>
      <c r="F5" s="172" t="s">
        <v>71</v>
      </c>
      <c r="G5" s="173"/>
      <c r="H5" s="173"/>
      <c r="I5" s="174"/>
    </row>
    <row r="6" spans="1:9" ht="15.75" thickBot="1" x14ac:dyDescent="0.3">
      <c r="A6" s="44" t="str">
        <f>Savings!E2</f>
        <v>donque</v>
      </c>
      <c r="B6" s="71">
        <f>Savings!E16</f>
        <v>3.1343997082445556E-2</v>
      </c>
      <c r="C6" s="72">
        <f>Savings!E17</f>
        <v>26348.860987401618</v>
      </c>
      <c r="D6" s="44">
        <v>200</v>
      </c>
      <c r="E6" s="76">
        <f t="shared" si="0"/>
        <v>26148.860987401618</v>
      </c>
      <c r="F6" s="175"/>
      <c r="G6" s="176"/>
      <c r="H6" s="176"/>
      <c r="I6" s="177"/>
    </row>
    <row r="7" spans="1:9" x14ac:dyDescent="0.25">
      <c r="A7" s="44" t="str">
        <f>Savings!F2</f>
        <v>bernard</v>
      </c>
      <c r="B7" s="71">
        <f>Savings!F16</f>
        <v>5.5166858596627837E-2</v>
      </c>
      <c r="C7" s="72">
        <f>Savings!F17</f>
        <v>46375.192176376244</v>
      </c>
      <c r="D7" s="44">
        <v>100</v>
      </c>
      <c r="E7" s="72">
        <f t="shared" si="0"/>
        <v>46275.192176376244</v>
      </c>
      <c r="F7" s="77"/>
      <c r="G7" s="77"/>
      <c r="H7" s="77"/>
      <c r="I7" s="77"/>
    </row>
    <row r="8" spans="1:9" x14ac:dyDescent="0.25">
      <c r="A8" s="44" t="str">
        <f>Savings!G2</f>
        <v>gina</v>
      </c>
      <c r="B8" s="71">
        <f>Savings!G16</f>
        <v>6.1183767051238458E-2</v>
      </c>
      <c r="C8" s="72">
        <f>Savings!G17</f>
        <v>51433.21601511784</v>
      </c>
      <c r="D8" s="44">
        <v>200</v>
      </c>
      <c r="E8" s="72">
        <f t="shared" si="0"/>
        <v>51233.21601511784</v>
      </c>
      <c r="F8" s="77"/>
      <c r="G8" s="77"/>
      <c r="H8" s="77"/>
      <c r="I8" s="77"/>
    </row>
    <row r="9" spans="1:9" x14ac:dyDescent="0.25">
      <c r="A9" s="44" t="str">
        <f>Savings!H2</f>
        <v>rowel</v>
      </c>
      <c r="B9" s="71">
        <f>Savings!H16</f>
        <v>3.7053708081373926E-2</v>
      </c>
      <c r="C9" s="72">
        <f>Savings!H17</f>
        <v>31148.643892985769</v>
      </c>
      <c r="D9" s="44">
        <v>200</v>
      </c>
      <c r="E9" s="72">
        <f t="shared" si="0"/>
        <v>30948.643892985769</v>
      </c>
      <c r="F9" s="77"/>
      <c r="G9" s="77"/>
      <c r="H9" s="77"/>
      <c r="I9" s="77"/>
    </row>
    <row r="10" spans="1:9" x14ac:dyDescent="0.25">
      <c r="A10" s="44" t="str">
        <f>Savings!I2</f>
        <v>leo j.</v>
      </c>
      <c r="B10" s="71">
        <f>Savings!I16</f>
        <v>0.10416567416151797</v>
      </c>
      <c r="C10" s="72">
        <f>Savings!I17</f>
        <v>87565.311498767653</v>
      </c>
      <c r="D10" s="44">
        <v>100</v>
      </c>
      <c r="E10" s="72">
        <f t="shared" si="0"/>
        <v>87465.311498767653</v>
      </c>
      <c r="F10" s="77"/>
      <c r="G10" s="77"/>
      <c r="H10" s="77"/>
      <c r="I10" s="77"/>
    </row>
    <row r="11" spans="1:9" x14ac:dyDescent="0.25">
      <c r="A11" s="44" t="str">
        <f>Savings!J2</f>
        <v>emman r.</v>
      </c>
      <c r="B11" s="71">
        <f>Savings!J16</f>
        <v>2.6470454559144271E-3</v>
      </c>
      <c r="C11" s="72">
        <f>Savings!J17</f>
        <v>2225.1990568326246</v>
      </c>
      <c r="D11" s="44">
        <v>200</v>
      </c>
      <c r="E11" s="72">
        <f t="shared" si="0"/>
        <v>2025.1990568326246</v>
      </c>
      <c r="F11" s="77"/>
      <c r="G11" s="77"/>
      <c r="H11" s="77"/>
      <c r="I11" s="77"/>
    </row>
    <row r="12" spans="1:9" x14ac:dyDescent="0.25">
      <c r="A12" s="44" t="str">
        <f>Savings!K2</f>
        <v>jeff</v>
      </c>
      <c r="B12" s="71">
        <f>Savings!K16</f>
        <v>9.161438560235069E-2</v>
      </c>
      <c r="C12" s="72">
        <f>Savings!K17</f>
        <v>77014.259040832068</v>
      </c>
      <c r="D12" s="44">
        <v>100</v>
      </c>
      <c r="E12" s="72">
        <f t="shared" si="0"/>
        <v>76914.259040832068</v>
      </c>
      <c r="F12" s="77"/>
      <c r="G12" s="77"/>
      <c r="H12" s="77"/>
      <c r="I12" s="77"/>
    </row>
    <row r="13" spans="1:9" ht="15.75" thickBot="1" x14ac:dyDescent="0.3">
      <c r="A13" s="44" t="str">
        <f>Savings!L2</f>
        <v>rubin</v>
      </c>
      <c r="B13" s="71">
        <f>Savings!L16</f>
        <v>2.714125114240765E-2</v>
      </c>
      <c r="C13" s="72">
        <f>Savings!L17</f>
        <v>22815.885654097856</v>
      </c>
      <c r="D13" s="44">
        <v>200</v>
      </c>
      <c r="E13" s="72">
        <f t="shared" si="0"/>
        <v>22615.885654097856</v>
      </c>
      <c r="F13" s="77"/>
      <c r="G13" s="77"/>
      <c r="H13" s="77"/>
      <c r="I13" s="77"/>
    </row>
    <row r="14" spans="1:9" x14ac:dyDescent="0.25">
      <c r="A14" s="44" t="str">
        <f>Savings!M2</f>
        <v>rommel c.</v>
      </c>
      <c r="B14" s="71">
        <f>Savings!M16</f>
        <v>2.7379452378097094E-2</v>
      </c>
      <c r="C14" s="72">
        <f>Savings!M17</f>
        <v>23016.125949861649</v>
      </c>
      <c r="D14" s="44">
        <v>200</v>
      </c>
      <c r="E14" s="76">
        <f t="shared" si="0"/>
        <v>22816.125949861649</v>
      </c>
      <c r="F14" s="151" t="s">
        <v>72</v>
      </c>
      <c r="G14" s="152"/>
      <c r="H14" s="178">
        <f>SUM(B4:B28)</f>
        <v>1.0000000000000002</v>
      </c>
      <c r="I14" s="179"/>
    </row>
    <row r="15" spans="1:9" ht="15.75" thickBot="1" x14ac:dyDescent="0.3">
      <c r="A15" s="44" t="str">
        <f>Savings!N2</f>
        <v>guilly</v>
      </c>
      <c r="B15" s="71">
        <f>Savings!N16</f>
        <v>1.4879089600353085E-2</v>
      </c>
      <c r="C15" s="72">
        <f>Savings!N17</f>
        <v>12507.883486192815</v>
      </c>
      <c r="D15" s="44">
        <v>200</v>
      </c>
      <c r="E15" s="76">
        <f t="shared" si="0"/>
        <v>12307.883486192815</v>
      </c>
      <c r="F15" s="153"/>
      <c r="G15" s="154"/>
      <c r="H15" s="180"/>
      <c r="I15" s="181"/>
    </row>
    <row r="16" spans="1:9" x14ac:dyDescent="0.25">
      <c r="A16" s="44" t="str">
        <f>Savings!O2</f>
        <v>edward</v>
      </c>
      <c r="B16" s="71">
        <f>Savings!O16</f>
        <v>3.2855342853716513E-3</v>
      </c>
      <c r="C16" s="72">
        <f>Savings!O17</f>
        <v>2761.935113983398</v>
      </c>
      <c r="D16" s="44">
        <v>200</v>
      </c>
      <c r="E16" s="76">
        <f t="shared" si="0"/>
        <v>2561.935113983398</v>
      </c>
      <c r="F16" s="151" t="s">
        <v>73</v>
      </c>
      <c r="G16" s="152"/>
      <c r="H16" s="155">
        <f>SUM(C4:C28)</f>
        <v>840635</v>
      </c>
      <c r="I16" s="156"/>
    </row>
    <row r="17" spans="1:9" ht="15.75" thickBot="1" x14ac:dyDescent="0.3">
      <c r="A17" s="44" t="str">
        <f>Savings!P2</f>
        <v>kc</v>
      </c>
      <c r="B17" s="71">
        <f>Savings!P16</f>
        <v>7.7045778991965226E-3</v>
      </c>
      <c r="C17" s="72">
        <f>Savings!P17</f>
        <v>6476.7378422910688</v>
      </c>
      <c r="D17" s="44">
        <v>200</v>
      </c>
      <c r="E17" s="76">
        <f t="shared" si="0"/>
        <v>6276.7378422910688</v>
      </c>
      <c r="F17" s="153"/>
      <c r="G17" s="154"/>
      <c r="H17" s="157"/>
      <c r="I17" s="158"/>
    </row>
    <row r="18" spans="1:9" x14ac:dyDescent="0.25">
      <c r="A18" s="44" t="str">
        <f>Savings!Q2</f>
        <v>paulo</v>
      </c>
      <c r="B18" s="71">
        <f>Savings!Q16</f>
        <v>0.11424295540380038</v>
      </c>
      <c r="C18" s="72">
        <f>Savings!Q17</f>
        <v>96036.626815873722</v>
      </c>
      <c r="D18" s="44">
        <v>200</v>
      </c>
      <c r="E18" s="72">
        <f t="shared" si="0"/>
        <v>95836.626815873722</v>
      </c>
      <c r="F18" s="41"/>
      <c r="G18" s="41"/>
      <c r="H18" s="41"/>
      <c r="I18" s="41"/>
    </row>
    <row r="19" spans="1:9" x14ac:dyDescent="0.25">
      <c r="A19" s="44" t="str">
        <f>Savings!R2</f>
        <v>karen</v>
      </c>
      <c r="B19" s="71">
        <f>Savings!R16</f>
        <v>5.7496849994003903E-3</v>
      </c>
      <c r="C19" s="72">
        <f>Savings!R17</f>
        <v>4833.3864494709469</v>
      </c>
      <c r="D19" s="44">
        <v>200</v>
      </c>
      <c r="E19" s="72">
        <f t="shared" si="0"/>
        <v>4633.3864494709469</v>
      </c>
      <c r="F19" s="41"/>
      <c r="G19" s="41"/>
      <c r="H19" s="41"/>
      <c r="I19" s="41"/>
    </row>
    <row r="20" spans="1:9" x14ac:dyDescent="0.25">
      <c r="A20" s="44" t="str">
        <f>Savings!S2</f>
        <v>roldan</v>
      </c>
      <c r="B20" s="71">
        <f>Savings!S16</f>
        <v>9.912840251299565E-2</v>
      </c>
      <c r="C20" s="72">
        <f>Savings!S17</f>
        <v>83330.804646512101</v>
      </c>
      <c r="D20" s="44">
        <v>200</v>
      </c>
      <c r="E20" s="72">
        <f t="shared" si="0"/>
        <v>83130.804646512101</v>
      </c>
      <c r="F20" s="41"/>
      <c r="G20" s="41"/>
      <c r="H20" s="41"/>
      <c r="I20" s="41"/>
    </row>
    <row r="21" spans="1:9" x14ac:dyDescent="0.25">
      <c r="A21" s="44" t="str">
        <f>Savings!T2</f>
        <v>mark c.</v>
      </c>
      <c r="B21" s="71">
        <f>Savings!T16</f>
        <v>4.8277640789251043E-2</v>
      </c>
      <c r="C21" s="72">
        <f>Savings!T17</f>
        <v>40583.874564872051</v>
      </c>
      <c r="D21" s="44">
        <v>200</v>
      </c>
      <c r="E21" s="72">
        <f t="shared" si="0"/>
        <v>40383.874564872051</v>
      </c>
      <c r="F21" s="41"/>
      <c r="G21" s="41"/>
      <c r="H21" s="41"/>
      <c r="I21" s="41"/>
    </row>
    <row r="22" spans="1:9" x14ac:dyDescent="0.25">
      <c r="A22" s="44" t="str">
        <f>Savings!U2</f>
        <v>vince</v>
      </c>
      <c r="B22" s="71">
        <f>Savings!U16</f>
        <v>1.4784904284172432E-2</v>
      </c>
      <c r="C22" s="72">
        <f>Savings!U17</f>
        <v>12428.708012925292</v>
      </c>
      <c r="D22" s="44">
        <v>200</v>
      </c>
      <c r="E22" s="72">
        <f t="shared" si="0"/>
        <v>12228.708012925292</v>
      </c>
      <c r="F22" s="41"/>
      <c r="G22" s="41"/>
      <c r="H22" s="41"/>
      <c r="I22" s="41"/>
    </row>
    <row r="23" spans="1:9" x14ac:dyDescent="0.25">
      <c r="A23" s="44" t="str">
        <f>Savings!V2</f>
        <v>ryan</v>
      </c>
      <c r="B23" s="71">
        <f>Savings!V16</f>
        <v>1.2594548093924664E-2</v>
      </c>
      <c r="C23" s="72">
        <f>Savings!V17</f>
        <v>10587.417936936359</v>
      </c>
      <c r="D23" s="44">
        <v>200</v>
      </c>
      <c r="E23" s="72">
        <f t="shared" si="0"/>
        <v>10387.417936936359</v>
      </c>
      <c r="F23" s="41"/>
      <c r="G23" s="41"/>
      <c r="H23" s="41"/>
      <c r="I23" s="41"/>
    </row>
    <row r="24" spans="1:9" x14ac:dyDescent="0.25">
      <c r="A24" s="44" t="str">
        <f>Savings!W2</f>
        <v>hazel</v>
      </c>
      <c r="B24" s="71">
        <f>Savings!W16</f>
        <v>1.6427671426858258E-2</v>
      </c>
      <c r="C24" s="72">
        <f>Savings!W17</f>
        <v>13809.675569916992</v>
      </c>
      <c r="D24" s="44">
        <v>200</v>
      </c>
      <c r="E24" s="72">
        <f t="shared" si="0"/>
        <v>13609.675569916992</v>
      </c>
      <c r="F24" s="41"/>
      <c r="G24" s="41"/>
      <c r="H24" s="41"/>
      <c r="I24" s="41"/>
    </row>
    <row r="25" spans="1:9" x14ac:dyDescent="0.25">
      <c r="A25" s="72" t="str">
        <f>Savings!X2</f>
        <v>kero</v>
      </c>
      <c r="B25" s="71">
        <f>Savings!X16</f>
        <v>2.0808383807353791E-2</v>
      </c>
      <c r="C25" s="72">
        <f>Savings!X17</f>
        <v>17492.255721894853</v>
      </c>
      <c r="D25" s="44">
        <v>200</v>
      </c>
      <c r="E25" s="72">
        <f t="shared" si="0"/>
        <v>17292.255721894853</v>
      </c>
    </row>
    <row r="26" spans="1:9" x14ac:dyDescent="0.25">
      <c r="A26" s="44" t="str">
        <f>Savings!Y2</f>
        <v>gef</v>
      </c>
      <c r="B26" s="71">
        <f>Savings!Y16</f>
        <v>2.0808383807353791E-2</v>
      </c>
      <c r="C26" s="72">
        <f>Savings!Y17</f>
        <v>17492.255721894853</v>
      </c>
      <c r="D26" s="44">
        <v>200</v>
      </c>
      <c r="E26" s="72">
        <f t="shared" si="0"/>
        <v>17292.255721894853</v>
      </c>
    </row>
    <row r="27" spans="1:9" x14ac:dyDescent="0.25">
      <c r="A27" s="44" t="str">
        <f>Savings!Z2</f>
        <v>alvin</v>
      </c>
      <c r="B27" s="71">
        <f>Savings!Z16</f>
        <v>8.2138357134291292E-3</v>
      </c>
      <c r="C27" s="72">
        <f>Savings!Z17</f>
        <v>6904.8377849584958</v>
      </c>
      <c r="D27" s="44">
        <v>200</v>
      </c>
      <c r="E27" s="72">
        <f t="shared" si="0"/>
        <v>6704.8377849584958</v>
      </c>
    </row>
    <row r="28" spans="1:9" x14ac:dyDescent="0.25">
      <c r="A28" s="44" t="str">
        <f>Savings!AA2</f>
        <v>gugu</v>
      </c>
      <c r="B28" s="71">
        <f>Savings!AA16</f>
        <v>0</v>
      </c>
      <c r="C28" s="72">
        <f>Savings!AA17</f>
        <v>0</v>
      </c>
      <c r="D28" s="44">
        <v>200</v>
      </c>
      <c r="E28" s="72">
        <f t="shared" si="0"/>
        <v>-200</v>
      </c>
    </row>
    <row r="29" spans="1:9" x14ac:dyDescent="0.25">
      <c r="A29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29"/>
  <sheetViews>
    <sheetView tabSelected="1" topLeftCell="A45" zoomScale="85" zoomScaleNormal="85" workbookViewId="0">
      <selection activeCell="D64" sqref="D64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7" ht="15.75" thickBot="1" x14ac:dyDescent="0.3">
      <c r="A1" s="38" t="s">
        <v>49</v>
      </c>
    </row>
    <row r="2" spans="1:27" ht="15.75" thickBot="1" x14ac:dyDescent="0.3">
      <c r="A2" s="46" t="s">
        <v>4</v>
      </c>
      <c r="B2" s="65" t="s">
        <v>46</v>
      </c>
      <c r="C2" s="60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59" t="s">
        <v>45</v>
      </c>
    </row>
    <row r="3" spans="1:27" x14ac:dyDescent="0.25">
      <c r="A3" s="47">
        <v>41820</v>
      </c>
      <c r="B3" s="66">
        <v>35435</v>
      </c>
      <c r="C3" s="61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7" x14ac:dyDescent="0.25">
      <c r="A4" s="47">
        <v>41835</v>
      </c>
      <c r="B4" s="67">
        <v>148000</v>
      </c>
      <c r="C4" s="62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7" x14ac:dyDescent="0.25">
      <c r="A5" s="47">
        <v>41850</v>
      </c>
      <c r="B5" s="67">
        <v>54300</v>
      </c>
      <c r="C5" s="62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7" x14ac:dyDescent="0.25">
      <c r="A6" s="47">
        <v>41866</v>
      </c>
      <c r="B6" s="67">
        <v>76000</v>
      </c>
      <c r="C6" s="62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7" x14ac:dyDescent="0.25">
      <c r="A7" s="47">
        <v>41881</v>
      </c>
      <c r="B7" s="67">
        <v>56500</v>
      </c>
      <c r="C7" s="62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7" x14ac:dyDescent="0.25">
      <c r="A8" s="47">
        <v>41897</v>
      </c>
      <c r="B8" s="67">
        <v>60000</v>
      </c>
      <c r="C8" s="62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7" x14ac:dyDescent="0.25">
      <c r="A9" s="47">
        <v>41912</v>
      </c>
      <c r="B9" s="67">
        <v>125000</v>
      </c>
      <c r="C9" s="62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7" x14ac:dyDescent="0.25">
      <c r="A10" s="47">
        <v>41927</v>
      </c>
      <c r="B10" s="67">
        <v>99000</v>
      </c>
      <c r="C10" s="62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7" x14ac:dyDescent="0.25">
      <c r="A11" s="47">
        <v>41942</v>
      </c>
      <c r="B11" s="67">
        <v>32000</v>
      </c>
      <c r="C11" s="62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7" x14ac:dyDescent="0.25">
      <c r="A12" s="47">
        <v>41958</v>
      </c>
      <c r="B12" s="67">
        <v>76000</v>
      </c>
      <c r="C12" s="62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7" x14ac:dyDescent="0.25">
      <c r="A13" s="47">
        <v>41973</v>
      </c>
      <c r="B13" s="67">
        <v>33400</v>
      </c>
      <c r="C13" s="62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7" x14ac:dyDescent="0.25">
      <c r="A14" s="47">
        <v>41623</v>
      </c>
      <c r="B14" s="68">
        <v>45000</v>
      </c>
      <c r="C14" s="62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7" x14ac:dyDescent="0.25">
      <c r="A15" s="48" t="s">
        <v>5</v>
      </c>
      <c r="B15" s="67">
        <f>SUM(B3:B14)</f>
        <v>840635</v>
      </c>
      <c r="C15" s="81">
        <f t="shared" ref="C15:Z15" si="0">SUM(C3:C14)</f>
        <v>300000</v>
      </c>
      <c r="D15" s="82">
        <f t="shared" si="0"/>
        <v>20310</v>
      </c>
      <c r="E15" s="82">
        <f t="shared" si="0"/>
        <v>57240</v>
      </c>
      <c r="F15" s="82">
        <f t="shared" si="0"/>
        <v>100745</v>
      </c>
      <c r="G15" s="82">
        <f t="shared" si="0"/>
        <v>111733</v>
      </c>
      <c r="H15" s="82">
        <f t="shared" si="0"/>
        <v>67667</v>
      </c>
      <c r="I15" s="82">
        <f t="shared" si="0"/>
        <v>190226</v>
      </c>
      <c r="J15" s="82">
        <f t="shared" si="0"/>
        <v>4834</v>
      </c>
      <c r="K15" s="82">
        <f t="shared" si="0"/>
        <v>167305</v>
      </c>
      <c r="L15" s="82">
        <f t="shared" si="0"/>
        <v>49565</v>
      </c>
      <c r="M15" s="82">
        <f t="shared" si="0"/>
        <v>50000</v>
      </c>
      <c r="N15" s="82">
        <f t="shared" si="0"/>
        <v>27172</v>
      </c>
      <c r="O15" s="82">
        <f t="shared" si="0"/>
        <v>6000</v>
      </c>
      <c r="P15" s="82">
        <f t="shared" si="0"/>
        <v>14070</v>
      </c>
      <c r="Q15" s="82">
        <f t="shared" si="0"/>
        <v>208629</v>
      </c>
      <c r="R15" s="82">
        <f t="shared" si="0"/>
        <v>10500</v>
      </c>
      <c r="S15" s="82">
        <f t="shared" si="0"/>
        <v>181027</v>
      </c>
      <c r="T15" s="82">
        <f t="shared" si="0"/>
        <v>88164</v>
      </c>
      <c r="U15" s="82">
        <f t="shared" si="0"/>
        <v>27000</v>
      </c>
      <c r="V15" s="82">
        <f t="shared" si="0"/>
        <v>23000</v>
      </c>
      <c r="W15" s="82">
        <f t="shared" si="0"/>
        <v>30000</v>
      </c>
      <c r="X15" s="82">
        <f t="shared" si="0"/>
        <v>38000</v>
      </c>
      <c r="Y15" s="82">
        <f t="shared" si="0"/>
        <v>38000</v>
      </c>
      <c r="Z15" s="82">
        <f t="shared" si="0"/>
        <v>15000</v>
      </c>
      <c r="AA15" s="83">
        <f>SUM(AB3:AB14)</f>
        <v>0</v>
      </c>
    </row>
    <row r="16" spans="1:27" x14ac:dyDescent="0.25">
      <c r="A16" s="49" t="s">
        <v>61</v>
      </c>
      <c r="B16" s="69">
        <f>SUM(C15:AA15)</f>
        <v>1826187</v>
      </c>
      <c r="C16" s="63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70">
        <f>SUM(C17:AA17)</f>
        <v>840635</v>
      </c>
      <c r="C17" s="64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80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9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9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9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9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9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9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9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9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9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9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9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9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8">
        <f>SUM(B21:B32)</f>
        <v>24524350</v>
      </c>
      <c r="C33" s="84">
        <f t="shared" ref="C33:M33" si="1">SUM(C21:C32) + C15</f>
        <v>300000</v>
      </c>
      <c r="D33" s="84">
        <f t="shared" si="1"/>
        <v>21210</v>
      </c>
      <c r="E33" s="84">
        <f t="shared" si="1"/>
        <v>62740</v>
      </c>
      <c r="F33" s="84">
        <f t="shared" si="1"/>
        <v>136745</v>
      </c>
      <c r="G33" s="84">
        <f t="shared" si="1"/>
        <v>144733</v>
      </c>
      <c r="H33" s="84">
        <f t="shared" si="1"/>
        <v>69667</v>
      </c>
      <c r="I33" s="84">
        <f t="shared" si="1"/>
        <v>244087</v>
      </c>
      <c r="J33" s="84">
        <f t="shared" si="1"/>
        <v>6834</v>
      </c>
      <c r="K33" s="84">
        <f t="shared" si="1"/>
        <v>249967</v>
      </c>
      <c r="L33" s="84">
        <f t="shared" si="1"/>
        <v>53565</v>
      </c>
      <c r="M33" s="84">
        <f t="shared" si="1"/>
        <v>68000</v>
      </c>
      <c r="N33" s="84">
        <f>SUM(N21:N32) + N14</f>
        <v>0</v>
      </c>
      <c r="O33" s="84">
        <f>SUM(O21:O32) + O14</f>
        <v>10419</v>
      </c>
      <c r="P33" s="84">
        <f t="shared" ref="P33:AA33" si="2">SUM(P21:P32) + P15</f>
        <v>14070</v>
      </c>
      <c r="Q33" s="84">
        <f t="shared" si="2"/>
        <v>237537</v>
      </c>
      <c r="R33" s="84">
        <f t="shared" si="2"/>
        <v>14521</v>
      </c>
      <c r="S33" s="84">
        <f t="shared" si="2"/>
        <v>245151</v>
      </c>
      <c r="T33" s="84">
        <f t="shared" si="2"/>
        <v>136164</v>
      </c>
      <c r="U33" s="84">
        <f t="shared" si="2"/>
        <v>58235</v>
      </c>
      <c r="V33" s="84">
        <f t="shared" si="2"/>
        <v>36543</v>
      </c>
      <c r="W33" s="84">
        <f t="shared" si="2"/>
        <v>44662</v>
      </c>
      <c r="X33" s="84">
        <f t="shared" si="2"/>
        <v>86367</v>
      </c>
      <c r="Y33" s="84">
        <f t="shared" si="2"/>
        <v>86618</v>
      </c>
      <c r="Z33" s="84">
        <f t="shared" si="2"/>
        <v>15000</v>
      </c>
      <c r="AA33" s="84">
        <f t="shared" si="2"/>
        <v>0</v>
      </c>
    </row>
    <row r="34" spans="1:27" x14ac:dyDescent="0.25">
      <c r="A34" s="35" t="s">
        <v>61</v>
      </c>
      <c r="B34" s="69">
        <f>SUM(C33:AA33)</f>
        <v>2342835</v>
      </c>
      <c r="C34" s="63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70">
        <f>SUM(C35:AA35)</f>
        <v>24524349.999999996</v>
      </c>
      <c r="C35" s="64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80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4">
        <f t="shared" ref="C51:M51" si="3">SUM(C39:C50) + C33</f>
        <v>300000</v>
      </c>
      <c r="D51" s="84">
        <f t="shared" si="3"/>
        <v>39210</v>
      </c>
      <c r="E51" s="84">
        <f t="shared" si="3"/>
        <v>81740</v>
      </c>
      <c r="F51" s="84">
        <f t="shared" si="3"/>
        <v>154745</v>
      </c>
      <c r="G51" s="84">
        <f t="shared" si="3"/>
        <v>163733</v>
      </c>
      <c r="H51" s="84">
        <f t="shared" si="3"/>
        <v>81667</v>
      </c>
      <c r="I51" s="84">
        <f t="shared" si="3"/>
        <v>255087</v>
      </c>
      <c r="J51" s="84">
        <f t="shared" si="3"/>
        <v>17834</v>
      </c>
      <c r="K51" s="84">
        <f t="shared" si="3"/>
        <v>261967</v>
      </c>
      <c r="L51" s="84">
        <f t="shared" si="3"/>
        <v>61565</v>
      </c>
      <c r="M51" s="84">
        <f t="shared" si="3"/>
        <v>89000</v>
      </c>
      <c r="N51" s="84">
        <f>SUM(N39:N50) + N32</f>
        <v>18000</v>
      </c>
      <c r="O51" s="84">
        <f>SUM(O39:O50) + O32</f>
        <v>6000</v>
      </c>
      <c r="P51" s="84">
        <f t="shared" ref="P51:AA51" si="4">SUM(P39:P50) + P33</f>
        <v>35070</v>
      </c>
      <c r="Q51" s="84">
        <f t="shared" si="4"/>
        <v>251537</v>
      </c>
      <c r="R51" s="84">
        <f t="shared" si="4"/>
        <v>18521</v>
      </c>
      <c r="S51" s="84">
        <f t="shared" si="4"/>
        <v>260151</v>
      </c>
      <c r="T51" s="84">
        <f t="shared" si="4"/>
        <v>153164</v>
      </c>
      <c r="U51" s="84">
        <f t="shared" si="4"/>
        <v>75235</v>
      </c>
      <c r="V51" s="84">
        <f t="shared" si="4"/>
        <v>49543</v>
      </c>
      <c r="W51" s="84">
        <f t="shared" si="4"/>
        <v>54662</v>
      </c>
      <c r="X51" s="84">
        <f t="shared" si="4"/>
        <v>96367</v>
      </c>
      <c r="Y51" s="84">
        <f t="shared" si="4"/>
        <v>105618</v>
      </c>
      <c r="Z51" s="84">
        <f t="shared" si="4"/>
        <v>23000</v>
      </c>
      <c r="AA51" s="84">
        <f t="shared" si="4"/>
        <v>15000</v>
      </c>
    </row>
    <row r="52" spans="1:27" x14ac:dyDescent="0.25">
      <c r="A52" s="35" t="s">
        <v>61</v>
      </c>
      <c r="B52" s="69">
        <f>SUM(C51:AA51)</f>
        <v>2668416</v>
      </c>
      <c r="C52" s="63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70">
        <f>SUM(C53:AA53)</f>
        <v>1100927.0000000002</v>
      </c>
      <c r="C53" s="64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80">
        <f>SUM(C52:AA52)</f>
        <v>1</v>
      </c>
    </row>
    <row r="55" spans="1:27" x14ac:dyDescent="0.25">
      <c r="A55" s="185">
        <v>2015</v>
      </c>
      <c r="B55" s="190" t="s">
        <v>46</v>
      </c>
      <c r="C55" s="190"/>
      <c r="D55" s="190"/>
    </row>
    <row r="56" spans="1:27" x14ac:dyDescent="0.25">
      <c r="A56" s="186" t="s">
        <v>77</v>
      </c>
      <c r="B56" s="190"/>
      <c r="C56" s="190"/>
      <c r="D56" s="190"/>
    </row>
    <row r="57" spans="1:27" x14ac:dyDescent="0.25">
      <c r="A57" s="187" t="s">
        <v>77</v>
      </c>
      <c r="B57" s="190"/>
      <c r="C57" s="190"/>
      <c r="D57" s="190"/>
    </row>
    <row r="58" spans="1:27" x14ac:dyDescent="0.25">
      <c r="A58" s="187" t="s">
        <v>77</v>
      </c>
      <c r="B58" s="190"/>
      <c r="C58" s="190"/>
      <c r="D58" s="190"/>
    </row>
    <row r="59" spans="1:27" x14ac:dyDescent="0.25">
      <c r="A59" s="187" t="s">
        <v>77</v>
      </c>
      <c r="B59" s="190"/>
      <c r="C59" s="190"/>
      <c r="D59" s="190"/>
    </row>
    <row r="60" spans="1:27" x14ac:dyDescent="0.25">
      <c r="A60" s="187" t="s">
        <v>77</v>
      </c>
      <c r="B60" s="190"/>
      <c r="C60" s="190"/>
      <c r="D60" s="190"/>
    </row>
    <row r="61" spans="1:27" x14ac:dyDescent="0.25">
      <c r="A61" s="187" t="s">
        <v>77</v>
      </c>
      <c r="B61" s="190"/>
      <c r="C61" s="190"/>
      <c r="D61" s="190"/>
    </row>
    <row r="62" spans="1:27" x14ac:dyDescent="0.25">
      <c r="A62" s="187" t="s">
        <v>77</v>
      </c>
      <c r="B62" s="190"/>
      <c r="C62" s="190"/>
      <c r="D62" s="190"/>
    </row>
    <row r="63" spans="1:27" x14ac:dyDescent="0.25">
      <c r="A63" s="187" t="s">
        <v>77</v>
      </c>
      <c r="B63" s="190"/>
      <c r="C63" s="190"/>
      <c r="D63" s="190"/>
    </row>
    <row r="64" spans="1:27" x14ac:dyDescent="0.25">
      <c r="A64" s="187" t="s">
        <v>77</v>
      </c>
      <c r="B64" s="190"/>
      <c r="C64" s="190"/>
      <c r="D64" s="190"/>
    </row>
    <row r="65" spans="1:32" x14ac:dyDescent="0.25">
      <c r="A65" s="187" t="s">
        <v>77</v>
      </c>
      <c r="B65" s="190"/>
      <c r="C65" s="190"/>
      <c r="D65" s="190"/>
    </row>
    <row r="66" spans="1:32" x14ac:dyDescent="0.25">
      <c r="A66" s="187" t="s">
        <v>77</v>
      </c>
      <c r="B66" s="190"/>
      <c r="C66" s="190"/>
      <c r="D66" s="190"/>
    </row>
    <row r="67" spans="1:32" x14ac:dyDescent="0.25">
      <c r="A67" s="187" t="s">
        <v>77</v>
      </c>
      <c r="B67" s="190"/>
      <c r="C67" s="190"/>
      <c r="D67" s="190"/>
      <c r="AF67" s="1"/>
    </row>
    <row r="68" spans="1:32" x14ac:dyDescent="0.25">
      <c r="A68" s="187" t="s">
        <v>77</v>
      </c>
      <c r="B68" s="190"/>
      <c r="C68" s="190"/>
      <c r="D68" s="190"/>
      <c r="AF68" s="1"/>
    </row>
    <row r="69" spans="1:32" x14ac:dyDescent="0.25">
      <c r="A69" s="188" t="s">
        <v>5</v>
      </c>
      <c r="B69" s="190">
        <f>SUM(B39:B50)</f>
        <v>1100927</v>
      </c>
      <c r="C69" s="190"/>
      <c r="D69" s="190"/>
      <c r="AF69" s="1"/>
    </row>
    <row r="70" spans="1:32" x14ac:dyDescent="0.25">
      <c r="A70" s="189" t="s">
        <v>61</v>
      </c>
      <c r="B70" s="191">
        <f>SUM(C51:AA51)</f>
        <v>2668416</v>
      </c>
      <c r="C70" s="190"/>
      <c r="D70" s="190"/>
      <c r="AF70" s="1"/>
    </row>
    <row r="71" spans="1:32" x14ac:dyDescent="0.25">
      <c r="A71" s="190" t="s">
        <v>86</v>
      </c>
      <c r="B71" s="191">
        <f>SUM(C53:AA53)</f>
        <v>1100927.0000000002</v>
      </c>
      <c r="C71" s="190"/>
      <c r="D71" s="190"/>
      <c r="AF71" s="1"/>
    </row>
    <row r="72" spans="1:32" x14ac:dyDescent="0.25">
      <c r="A72" s="190"/>
      <c r="B72" s="192">
        <f>SUM(C52:AA52)</f>
        <v>1</v>
      </c>
      <c r="C72" s="190"/>
      <c r="D72" s="190"/>
    </row>
    <row r="73" spans="1:32" x14ac:dyDescent="0.25">
      <c r="A73" s="190"/>
      <c r="B73" s="190"/>
      <c r="C73" s="190"/>
      <c r="D73" s="190"/>
      <c r="AF73" s="1"/>
    </row>
    <row r="74" spans="1:32" x14ac:dyDescent="0.25">
      <c r="A74" s="41"/>
      <c r="B74" s="41"/>
      <c r="C74" s="41"/>
      <c r="D74" s="41"/>
      <c r="AF74" s="1"/>
    </row>
    <row r="75" spans="1:32" x14ac:dyDescent="0.25">
      <c r="A75" s="41"/>
      <c r="B75" s="41"/>
      <c r="C75" s="41"/>
      <c r="D75" s="41"/>
      <c r="AF75" s="1"/>
    </row>
    <row r="76" spans="1:32" x14ac:dyDescent="0.25">
      <c r="A76" s="41"/>
      <c r="B76" s="41"/>
      <c r="C76" s="41"/>
      <c r="D76" s="41"/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AF124" s="2"/>
    </row>
    <row r="125" spans="1:32" x14ac:dyDescent="0.25">
      <c r="A125"/>
      <c r="AF125" s="2"/>
    </row>
    <row r="126" spans="1:32" x14ac:dyDescent="0.25">
      <c r="A126"/>
      <c r="AF126" s="2"/>
    </row>
    <row r="127" spans="1:32" x14ac:dyDescent="0.25">
      <c r="AF127" s="2"/>
    </row>
    <row r="128" spans="1:32" x14ac:dyDescent="0.25">
      <c r="AF128" s="2"/>
    </row>
    <row r="129" spans="32:32" x14ac:dyDescent="0.25">
      <c r="AF129" s="2"/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E148"/>
  <sheetViews>
    <sheetView workbookViewId="0">
      <pane ySplit="2" topLeftCell="A83" activePane="bottomLeft" state="frozen"/>
      <selection pane="bottomLeft" activeCell="A108" sqref="A108"/>
    </sheetView>
  </sheetViews>
  <sheetFormatPr defaultRowHeight="15" x14ac:dyDescent="0.25"/>
  <cols>
    <col min="1" max="1" width="16.28515625" customWidth="1"/>
    <col min="2" max="2" width="9.28515625" bestFit="1" customWidth="1"/>
    <col min="3" max="3" width="16.5703125" customWidth="1"/>
    <col min="4" max="4" width="14.28515625" customWidth="1"/>
    <col min="5" max="5" width="18.28515625" customWidth="1"/>
    <col min="6" max="6" width="16.7109375" customWidth="1"/>
    <col min="7" max="7" width="15.5703125" customWidth="1"/>
    <col min="8" max="8" width="13.5703125" customWidth="1"/>
    <col min="9" max="9" width="17.425781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165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3" t="s">
        <v>83</v>
      </c>
      <c r="J1" s="4"/>
      <c r="K1" s="4"/>
      <c r="L1" s="4"/>
      <c r="M1" s="13" t="s">
        <v>84</v>
      </c>
      <c r="N1" s="4"/>
      <c r="O1" s="4"/>
      <c r="P1" s="4"/>
      <c r="Q1" s="13" t="s">
        <v>85</v>
      </c>
      <c r="R1" s="4"/>
      <c r="S1" s="4"/>
      <c r="T1" s="4"/>
    </row>
    <row r="2" spans="1:165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s="4" t="s">
        <v>13</v>
      </c>
      <c r="J2" s="4" t="s">
        <v>14</v>
      </c>
      <c r="K2" s="4" t="s">
        <v>15</v>
      </c>
      <c r="L2" s="4" t="s">
        <v>7</v>
      </c>
      <c r="M2" s="4" t="s">
        <v>13</v>
      </c>
      <c r="N2" s="4" t="s">
        <v>14</v>
      </c>
      <c r="O2" s="4" t="s">
        <v>15</v>
      </c>
      <c r="P2" s="4" t="s">
        <v>7</v>
      </c>
      <c r="Q2" s="4" t="s">
        <v>13</v>
      </c>
      <c r="R2" s="4" t="s">
        <v>14</v>
      </c>
      <c r="S2" s="4" t="s">
        <v>15</v>
      </c>
      <c r="T2" s="4" t="s">
        <v>7</v>
      </c>
    </row>
    <row r="3" spans="1:165" x14ac:dyDescent="0.25">
      <c r="A3" s="16">
        <v>43586.259375000001</v>
      </c>
      <c r="B3" s="4">
        <v>10000</v>
      </c>
      <c r="C3" s="17"/>
      <c r="D3" s="4">
        <v>10000</v>
      </c>
      <c r="E3" s="16">
        <v>43587.187615740739</v>
      </c>
      <c r="F3" s="4">
        <v>20000</v>
      </c>
      <c r="G3" s="17"/>
      <c r="H3" s="4">
        <v>20000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165" x14ac:dyDescent="0.25">
      <c r="A4" s="16">
        <v>43586.259398148148</v>
      </c>
      <c r="B4" s="4">
        <v>0</v>
      </c>
      <c r="C4" s="18">
        <v>300</v>
      </c>
      <c r="D4" s="4">
        <v>10300</v>
      </c>
      <c r="E4" s="16">
        <v>43587.195613425924</v>
      </c>
      <c r="F4" s="4"/>
      <c r="G4" s="18">
        <v>600</v>
      </c>
      <c r="H4" s="4">
        <v>21200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101"/>
      <c r="V4" s="99"/>
      <c r="W4" s="99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</row>
    <row r="5" spans="1:165" ht="15.75" customHeight="1" x14ac:dyDescent="0.25">
      <c r="A5" s="16">
        <v>43586.259699074071</v>
      </c>
      <c r="B5" s="4">
        <v>0</v>
      </c>
      <c r="C5" s="4"/>
      <c r="D5" s="4">
        <v>10000</v>
      </c>
      <c r="E5" s="16">
        <v>43587.206620370373</v>
      </c>
      <c r="F5" s="4"/>
      <c r="G5" s="4"/>
      <c r="H5" s="4">
        <v>20000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101"/>
      <c r="V5" s="99"/>
      <c r="W5" s="99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</row>
    <row r="6" spans="1:165" x14ac:dyDescent="0.25">
      <c r="A6" s="16">
        <v>43586.260092592594</v>
      </c>
      <c r="B6" s="4"/>
      <c r="C6" s="18">
        <v>300</v>
      </c>
      <c r="D6" s="4">
        <v>10300</v>
      </c>
      <c r="E6" s="16">
        <v>43587.206643518519</v>
      </c>
      <c r="F6" s="4"/>
      <c r="G6" s="17">
        <v>600</v>
      </c>
      <c r="H6" s="4">
        <v>21200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101"/>
      <c r="V6" s="99"/>
      <c r="W6" s="99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</row>
    <row r="7" spans="1:165" x14ac:dyDescent="0.25">
      <c r="A7" s="16">
        <v>43586.26017361111</v>
      </c>
      <c r="B7" s="4"/>
      <c r="C7" s="4"/>
      <c r="D7" s="4">
        <v>10000</v>
      </c>
      <c r="E7" s="16">
        <v>43587.206666666665</v>
      </c>
      <c r="F7" s="4"/>
      <c r="G7" s="17">
        <v>600</v>
      </c>
      <c r="H7" s="4">
        <v>22400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101"/>
      <c r="V7" s="99"/>
      <c r="W7" s="99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</row>
    <row r="8" spans="1:165" x14ac:dyDescent="0.25">
      <c r="A8" s="16">
        <v>43586.260243055556</v>
      </c>
      <c r="B8" s="4">
        <v>-3000</v>
      </c>
      <c r="C8" s="17"/>
      <c r="D8" s="4">
        <v>7000</v>
      </c>
      <c r="E8" s="16">
        <v>43587.206666666665</v>
      </c>
      <c r="F8" s="4"/>
      <c r="G8" s="18">
        <v>600</v>
      </c>
      <c r="H8" s="4">
        <v>23600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101"/>
      <c r="V8" s="99"/>
      <c r="W8" s="99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65" x14ac:dyDescent="0.25">
      <c r="A9" s="19">
        <v>43586.260254629633</v>
      </c>
      <c r="B9" s="5">
        <v>0</v>
      </c>
      <c r="C9" s="18">
        <v>210</v>
      </c>
      <c r="D9" s="5">
        <v>7210</v>
      </c>
      <c r="E9" s="16">
        <v>43587.206712962965</v>
      </c>
      <c r="F9" s="4"/>
      <c r="G9" s="18"/>
      <c r="H9" s="4">
        <v>21600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101"/>
      <c r="V9" s="99"/>
      <c r="W9" s="99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</row>
    <row r="10" spans="1:165" x14ac:dyDescent="0.25">
      <c r="A10" s="19">
        <v>43586.260347222225</v>
      </c>
      <c r="B10" s="5">
        <v>0</v>
      </c>
      <c r="C10" s="5"/>
      <c r="D10" s="5">
        <v>7000</v>
      </c>
      <c r="E10" s="19">
        <v>43587.206747685188</v>
      </c>
      <c r="F10" s="4"/>
      <c r="G10" s="4"/>
      <c r="H10" s="4">
        <v>20000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101"/>
      <c r="V10" s="99"/>
      <c r="W10" s="99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</row>
    <row r="11" spans="1:165" x14ac:dyDescent="0.25">
      <c r="A11" s="19">
        <v>43586.952615740738</v>
      </c>
      <c r="B11" s="5"/>
      <c r="C11" s="18">
        <v>210</v>
      </c>
      <c r="D11" s="5">
        <v>7210</v>
      </c>
      <c r="E11" s="19">
        <v>43587.206805555557</v>
      </c>
      <c r="F11" s="5">
        <v>-5000</v>
      </c>
      <c r="G11" s="17"/>
      <c r="H11" s="5">
        <v>15000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101"/>
      <c r="V11" s="99"/>
      <c r="W11" s="99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</row>
    <row r="12" spans="1:165" s="14" customFormat="1" x14ac:dyDescent="0.25">
      <c r="A12" s="19">
        <v>43586.952766203707</v>
      </c>
      <c r="B12" s="5"/>
      <c r="C12" s="5"/>
      <c r="D12" s="5">
        <v>7000</v>
      </c>
      <c r="E12" s="19">
        <v>43587.206817129627</v>
      </c>
      <c r="F12" s="5">
        <v>0</v>
      </c>
      <c r="G12" s="17">
        <v>450</v>
      </c>
      <c r="H12" s="5">
        <v>15900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101"/>
      <c r="V12" s="99"/>
      <c r="W12" s="99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</row>
    <row r="13" spans="1:165" x14ac:dyDescent="0.25">
      <c r="A13" s="16">
        <v>43586.952800925923</v>
      </c>
      <c r="B13" s="4"/>
      <c r="C13" s="18">
        <v>210</v>
      </c>
      <c r="D13" s="4">
        <v>7210</v>
      </c>
      <c r="E13" s="16">
        <v>43587.20684027778</v>
      </c>
      <c r="F13" s="4">
        <v>0</v>
      </c>
      <c r="G13" s="18">
        <v>450</v>
      </c>
      <c r="H13" s="4">
        <v>16800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101"/>
      <c r="V13" s="99"/>
      <c r="W13" s="99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</row>
    <row r="14" spans="1:165" x14ac:dyDescent="0.25">
      <c r="A14" s="16">
        <v>43586.958854166667</v>
      </c>
      <c r="B14" s="4"/>
      <c r="C14" s="4"/>
      <c r="D14" s="4">
        <v>5770</v>
      </c>
      <c r="E14" s="16">
        <v>43587.206863425927</v>
      </c>
      <c r="F14" s="4">
        <v>0</v>
      </c>
      <c r="G14" s="18"/>
      <c r="H14" s="4">
        <v>16000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101"/>
      <c r="V14" s="99"/>
      <c r="W14" s="99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</row>
    <row r="15" spans="1:165" x14ac:dyDescent="0.25">
      <c r="A15" s="16">
        <v>43586.958958333336</v>
      </c>
      <c r="B15" s="4"/>
      <c r="C15" s="18">
        <v>210</v>
      </c>
      <c r="D15" s="4">
        <v>5980</v>
      </c>
      <c r="E15" s="16">
        <v>43587.206886574073</v>
      </c>
      <c r="F15" s="4">
        <v>0</v>
      </c>
      <c r="G15" s="4"/>
      <c r="H15" s="4">
        <v>15000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101"/>
      <c r="V15" s="99"/>
      <c r="W15" s="99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</row>
    <row r="16" spans="1:165" x14ac:dyDescent="0.25">
      <c r="A16" s="16">
        <v>43586.959027777775</v>
      </c>
      <c r="B16" s="4"/>
      <c r="C16" s="4"/>
      <c r="D16" s="4">
        <v>5560</v>
      </c>
      <c r="E16" s="16">
        <v>43587.206932870373</v>
      </c>
      <c r="F16" s="4">
        <v>2000</v>
      </c>
      <c r="G16" s="17"/>
      <c r="H16" s="4">
        <v>17000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101"/>
      <c r="V16" s="99"/>
      <c r="W16" s="99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6">
        <v>43587.206944444442</v>
      </c>
      <c r="F17" s="4">
        <v>0</v>
      </c>
      <c r="G17" s="18">
        <v>510</v>
      </c>
      <c r="H17" s="4">
        <v>18020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101"/>
      <c r="V17" s="99"/>
      <c r="W17" s="99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</row>
    <row r="18" spans="1:185" x14ac:dyDescent="0.25">
      <c r="A18" s="16">
        <v>43586.961539351854</v>
      </c>
      <c r="B18" s="4"/>
      <c r="C18" s="4"/>
      <c r="D18" s="4">
        <v>7000</v>
      </c>
      <c r="E18" s="16">
        <v>43587.206979166665</v>
      </c>
      <c r="F18" s="4">
        <v>0</v>
      </c>
      <c r="G18" s="4"/>
      <c r="H18" s="4">
        <v>17000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102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102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02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102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102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102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>
        <v>1500</v>
      </c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102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102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102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>
        <v>45708.459594907406</v>
      </c>
      <c r="B32" s="5">
        <v>20000</v>
      </c>
      <c r="C32" s="17"/>
      <c r="D32" s="10">
        <v>25000</v>
      </c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>
        <v>45708.45994212963</v>
      </c>
      <c r="B33" s="5">
        <v>0</v>
      </c>
      <c r="C33" s="17">
        <v>750</v>
      </c>
      <c r="D33" s="10">
        <v>26500</v>
      </c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>
        <v>45708.459988425922</v>
      </c>
      <c r="B34" s="5">
        <v>0</v>
      </c>
      <c r="C34" s="17">
        <v>750</v>
      </c>
      <c r="D34" s="10">
        <v>28000</v>
      </c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>
        <v>45708.460011574076</v>
      </c>
      <c r="B35" s="5">
        <v>0</v>
      </c>
      <c r="C35" s="18">
        <v>750</v>
      </c>
      <c r="D35" s="10">
        <v>29500</v>
      </c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>
        <v>45708.460104166668</v>
      </c>
      <c r="B36" s="5">
        <v>0</v>
      </c>
      <c r="C36" s="5">
        <v>1200</v>
      </c>
      <c r="D36" s="10">
        <v>25000</v>
      </c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213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213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213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213" x14ac:dyDescent="0.25">
      <c r="A52" s="100">
        <v>1</v>
      </c>
      <c r="B52" s="5">
        <v>2</v>
      </c>
      <c r="C52" s="5">
        <v>3</v>
      </c>
      <c r="D52" s="5">
        <v>4</v>
      </c>
      <c r="E52" s="100">
        <v>5</v>
      </c>
      <c r="F52" s="5">
        <v>6</v>
      </c>
      <c r="G52" s="5">
        <v>7</v>
      </c>
      <c r="H52" s="5">
        <v>8</v>
      </c>
      <c r="I52" s="100">
        <v>9</v>
      </c>
      <c r="J52" s="5">
        <v>10</v>
      </c>
      <c r="K52" s="5">
        <v>11</v>
      </c>
      <c r="L52" s="5">
        <v>12</v>
      </c>
      <c r="M52" s="100">
        <v>13</v>
      </c>
      <c r="N52" s="5">
        <v>14</v>
      </c>
      <c r="O52" s="5">
        <v>15</v>
      </c>
      <c r="P52" s="5">
        <v>16</v>
      </c>
      <c r="Q52" s="100">
        <v>17</v>
      </c>
      <c r="R52" s="5">
        <v>18</v>
      </c>
      <c r="S52" s="5">
        <v>19</v>
      </c>
      <c r="T52" s="5">
        <v>20</v>
      </c>
      <c r="U52" s="100">
        <v>21</v>
      </c>
      <c r="V52" s="5">
        <v>22</v>
      </c>
      <c r="W52" s="5">
        <v>23</v>
      </c>
      <c r="X52" s="5">
        <v>24</v>
      </c>
      <c r="Y52" s="100">
        <v>25</v>
      </c>
      <c r="Z52" s="5">
        <v>26</v>
      </c>
      <c r="AA52" s="5">
        <v>27</v>
      </c>
      <c r="AB52" s="5">
        <v>28</v>
      </c>
      <c r="AC52" s="100">
        <v>29</v>
      </c>
      <c r="AD52" s="4">
        <v>30</v>
      </c>
      <c r="AE52" s="5">
        <v>31</v>
      </c>
      <c r="AF52" s="5">
        <v>32</v>
      </c>
      <c r="AG52" s="100">
        <v>33</v>
      </c>
      <c r="AH52" s="99">
        <v>34</v>
      </c>
      <c r="AI52" s="4">
        <v>35</v>
      </c>
      <c r="AJ52" s="5">
        <v>36</v>
      </c>
      <c r="AK52" s="100">
        <v>37</v>
      </c>
      <c r="AL52" s="5">
        <v>38</v>
      </c>
      <c r="AM52" s="99">
        <v>39</v>
      </c>
      <c r="AN52" s="4">
        <v>40</v>
      </c>
      <c r="AO52" s="100">
        <v>41</v>
      </c>
      <c r="AP52" s="5">
        <v>42</v>
      </c>
      <c r="AQ52" s="5">
        <v>43</v>
      </c>
      <c r="AR52" s="99">
        <v>44</v>
      </c>
      <c r="AS52" s="100">
        <v>45</v>
      </c>
      <c r="AT52" s="5">
        <v>46</v>
      </c>
      <c r="AU52" s="5">
        <v>47</v>
      </c>
      <c r="AV52" s="5">
        <v>48</v>
      </c>
      <c r="AW52" s="100">
        <v>49</v>
      </c>
      <c r="AX52" s="4">
        <v>50</v>
      </c>
      <c r="AY52" s="5">
        <v>51</v>
      </c>
      <c r="AZ52" s="5">
        <v>52</v>
      </c>
      <c r="BA52" s="100">
        <v>53</v>
      </c>
      <c r="BB52" s="99">
        <v>54</v>
      </c>
      <c r="BC52" s="4">
        <v>55</v>
      </c>
      <c r="BD52" s="5">
        <v>56</v>
      </c>
      <c r="BE52" s="100">
        <v>57</v>
      </c>
      <c r="BF52" s="5">
        <v>58</v>
      </c>
      <c r="BG52" s="99">
        <v>59</v>
      </c>
      <c r="BH52" s="4">
        <v>60</v>
      </c>
      <c r="BI52" s="100">
        <v>61</v>
      </c>
      <c r="BJ52" s="5">
        <v>62</v>
      </c>
      <c r="BK52" s="5">
        <v>63</v>
      </c>
      <c r="BL52" s="99">
        <v>64</v>
      </c>
      <c r="BM52" s="100">
        <v>65</v>
      </c>
      <c r="BN52" s="5">
        <v>66</v>
      </c>
      <c r="BO52" s="5">
        <v>67</v>
      </c>
      <c r="BP52" s="5">
        <v>68</v>
      </c>
      <c r="BQ52" s="100">
        <v>69</v>
      </c>
      <c r="BR52" s="4">
        <v>70</v>
      </c>
      <c r="BS52" s="5">
        <v>71</v>
      </c>
      <c r="BT52" s="5">
        <v>72</v>
      </c>
      <c r="BU52" s="100">
        <v>73</v>
      </c>
      <c r="BV52" s="99">
        <v>74</v>
      </c>
      <c r="BW52" s="4">
        <v>75</v>
      </c>
      <c r="BX52" s="5">
        <v>76</v>
      </c>
      <c r="BY52" s="100">
        <v>77</v>
      </c>
      <c r="BZ52" s="5">
        <v>78</v>
      </c>
      <c r="CA52" s="99">
        <v>79</v>
      </c>
      <c r="CB52" s="4">
        <v>80</v>
      </c>
      <c r="CC52" s="100">
        <v>81</v>
      </c>
      <c r="CD52" s="5">
        <v>82</v>
      </c>
      <c r="CE52" s="5">
        <v>83</v>
      </c>
      <c r="CF52" s="99">
        <v>84</v>
      </c>
      <c r="CG52" s="100">
        <v>85</v>
      </c>
      <c r="CH52" s="5">
        <v>86</v>
      </c>
      <c r="CI52" s="5">
        <v>87</v>
      </c>
      <c r="CJ52" s="5">
        <v>88</v>
      </c>
      <c r="CK52" s="100">
        <v>89</v>
      </c>
      <c r="CL52" s="4">
        <v>90</v>
      </c>
      <c r="CM52" s="5">
        <v>91</v>
      </c>
      <c r="CN52" s="5">
        <v>92</v>
      </c>
      <c r="CO52" s="100">
        <v>93</v>
      </c>
      <c r="CP52" s="99">
        <v>94</v>
      </c>
      <c r="CQ52" s="4">
        <v>95</v>
      </c>
      <c r="CR52" s="5">
        <v>96</v>
      </c>
      <c r="CS52" s="100">
        <v>97</v>
      </c>
      <c r="CT52" s="5">
        <v>98</v>
      </c>
      <c r="CU52" s="99">
        <v>99</v>
      </c>
      <c r="CV52" s="4">
        <v>100</v>
      </c>
      <c r="CW52" s="100">
        <v>101</v>
      </c>
      <c r="CX52" s="5">
        <v>102</v>
      </c>
      <c r="CY52" s="5">
        <v>103</v>
      </c>
      <c r="CZ52" s="99">
        <v>104</v>
      </c>
      <c r="DA52" s="100">
        <v>105</v>
      </c>
      <c r="DB52" s="5">
        <v>106</v>
      </c>
      <c r="DC52" s="5">
        <v>107</v>
      </c>
      <c r="DD52" s="5">
        <v>108</v>
      </c>
      <c r="DE52" s="100">
        <v>109</v>
      </c>
      <c r="DF52" s="4">
        <v>110</v>
      </c>
      <c r="DG52" s="5">
        <v>111</v>
      </c>
      <c r="DH52" s="5">
        <v>112</v>
      </c>
      <c r="DI52" s="100">
        <v>113</v>
      </c>
      <c r="DJ52" s="99">
        <v>114</v>
      </c>
      <c r="DK52" s="4">
        <v>115</v>
      </c>
      <c r="DL52" s="5">
        <v>116</v>
      </c>
      <c r="DM52" s="100">
        <v>117</v>
      </c>
      <c r="DN52" s="5">
        <v>118</v>
      </c>
      <c r="DO52" s="99">
        <v>119</v>
      </c>
      <c r="DP52" s="4">
        <v>120</v>
      </c>
      <c r="DQ52" s="100">
        <v>121</v>
      </c>
      <c r="DR52" s="5">
        <v>122</v>
      </c>
      <c r="DS52" s="5">
        <v>123</v>
      </c>
      <c r="DT52" s="99">
        <v>124</v>
      </c>
      <c r="DU52" s="100">
        <v>125</v>
      </c>
      <c r="DV52" s="5">
        <v>126</v>
      </c>
      <c r="DW52" s="5">
        <v>127</v>
      </c>
      <c r="DX52" s="5">
        <v>128</v>
      </c>
      <c r="DY52" s="100">
        <v>129</v>
      </c>
      <c r="DZ52" s="4">
        <v>130</v>
      </c>
      <c r="EA52" s="5">
        <v>131</v>
      </c>
      <c r="EB52" s="5">
        <v>132</v>
      </c>
      <c r="EC52" s="100">
        <v>133</v>
      </c>
      <c r="ED52" s="99">
        <v>134</v>
      </c>
      <c r="EE52" s="4">
        <v>135</v>
      </c>
      <c r="EF52" s="5">
        <v>136</v>
      </c>
      <c r="EG52" s="100">
        <v>137</v>
      </c>
      <c r="EH52" s="5">
        <v>138</v>
      </c>
      <c r="EI52" s="99">
        <v>139</v>
      </c>
      <c r="EJ52" s="4">
        <v>140</v>
      </c>
      <c r="EK52" s="100">
        <v>141</v>
      </c>
      <c r="EL52" s="5">
        <v>142</v>
      </c>
      <c r="EM52" s="5">
        <v>143</v>
      </c>
      <c r="EN52" s="99">
        <v>144</v>
      </c>
      <c r="EO52" s="100">
        <v>145</v>
      </c>
      <c r="EP52" s="5">
        <v>146</v>
      </c>
      <c r="EQ52" s="5">
        <v>147</v>
      </c>
      <c r="ER52" s="5">
        <v>148</v>
      </c>
      <c r="ES52" s="100">
        <v>149</v>
      </c>
      <c r="ET52" s="4">
        <v>150</v>
      </c>
      <c r="EU52" s="5">
        <v>151</v>
      </c>
      <c r="EV52" s="5">
        <v>152</v>
      </c>
      <c r="EW52" s="100">
        <v>153</v>
      </c>
      <c r="EX52" s="99">
        <v>154</v>
      </c>
      <c r="EY52" s="4">
        <v>155</v>
      </c>
      <c r="EZ52" s="5">
        <v>156</v>
      </c>
      <c r="FA52" s="100">
        <v>157</v>
      </c>
      <c r="FB52" s="5">
        <v>158</v>
      </c>
      <c r="FC52" s="99">
        <v>159</v>
      </c>
      <c r="FD52" s="4">
        <v>160</v>
      </c>
      <c r="FE52" s="100">
        <v>161</v>
      </c>
      <c r="FF52" s="5">
        <v>162</v>
      </c>
      <c r="FG52" s="5">
        <v>163</v>
      </c>
      <c r="FH52" s="99">
        <v>164</v>
      </c>
      <c r="FI52" s="100">
        <v>165</v>
      </c>
      <c r="FJ52" s="5">
        <v>166</v>
      </c>
      <c r="FK52" s="5">
        <v>167</v>
      </c>
      <c r="FL52" s="5">
        <v>168</v>
      </c>
      <c r="FM52" s="100">
        <v>169</v>
      </c>
      <c r="FN52" s="4">
        <v>170</v>
      </c>
      <c r="FO52" s="5">
        <v>171</v>
      </c>
      <c r="FP52" s="5">
        <v>172</v>
      </c>
      <c r="FQ52" s="100">
        <v>173</v>
      </c>
      <c r="FR52" s="99">
        <v>174</v>
      </c>
      <c r="FS52" s="4">
        <v>175</v>
      </c>
      <c r="FT52" s="5">
        <v>176</v>
      </c>
      <c r="FU52" s="100">
        <v>177</v>
      </c>
      <c r="FV52" s="5">
        <v>178</v>
      </c>
      <c r="FW52" s="99">
        <v>179</v>
      </c>
      <c r="FX52" s="4">
        <v>180</v>
      </c>
      <c r="FY52" s="100">
        <v>181</v>
      </c>
      <c r="FZ52" s="5">
        <v>182</v>
      </c>
      <c r="GA52" s="5">
        <v>183</v>
      </c>
      <c r="GB52" s="99">
        <v>184</v>
      </c>
      <c r="GC52" s="100">
        <v>185</v>
      </c>
      <c r="GD52" s="5">
        <v>186</v>
      </c>
      <c r="GE52" s="5">
        <v>187</v>
      </c>
      <c r="GF52" s="5">
        <v>188</v>
      </c>
      <c r="GG52" s="100">
        <v>189</v>
      </c>
      <c r="GH52" s="4">
        <v>190</v>
      </c>
      <c r="GI52" s="5">
        <v>191</v>
      </c>
      <c r="GJ52" s="5">
        <v>192</v>
      </c>
      <c r="GK52" s="100">
        <v>193</v>
      </c>
      <c r="GL52" s="99">
        <v>194</v>
      </c>
      <c r="GM52" s="4">
        <v>195</v>
      </c>
      <c r="GN52" s="5">
        <v>196</v>
      </c>
      <c r="GO52" s="100">
        <v>197</v>
      </c>
      <c r="GP52" s="5">
        <v>198</v>
      </c>
      <c r="GQ52" s="99">
        <v>199</v>
      </c>
      <c r="GR52" s="4">
        <v>200</v>
      </c>
      <c r="GS52" s="100">
        <v>201</v>
      </c>
      <c r="GT52" s="5">
        <v>202</v>
      </c>
      <c r="GU52" s="5">
        <v>203</v>
      </c>
      <c r="GV52" s="99">
        <v>204</v>
      </c>
      <c r="GW52" s="100">
        <v>205</v>
      </c>
      <c r="GX52" s="5">
        <v>206</v>
      </c>
      <c r="GY52" s="5">
        <v>207</v>
      </c>
      <c r="GZ52" s="5">
        <v>208</v>
      </c>
      <c r="HA52" s="100">
        <v>209</v>
      </c>
      <c r="HB52" s="4">
        <v>210</v>
      </c>
      <c r="HC52" s="5">
        <v>211</v>
      </c>
      <c r="HD52" s="5">
        <v>212</v>
      </c>
      <c r="HE52" s="100">
        <v>213</v>
      </c>
    </row>
    <row r="53" spans="1:213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213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213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213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213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213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213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213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213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213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213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213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COUNTA(A1:HA1)</f>
        <v>5</v>
      </c>
      <c r="C100">
        <f>COUNTA(A1:A95)</f>
        <v>37</v>
      </c>
      <c r="D100">
        <f>SUM(E100,H100)</f>
        <v>26205</v>
      </c>
      <c r="E100">
        <f>SUM(B3:B95)</f>
        <v>25002</v>
      </c>
      <c r="F100">
        <f>SUM(C3:C95)</f>
        <v>6573</v>
      </c>
      <c r="G100">
        <v>5370</v>
      </c>
      <c r="H100">
        <f>F100-G100</f>
        <v>1203</v>
      </c>
    </row>
    <row r="101" spans="1:8" x14ac:dyDescent="0.25">
      <c r="A101" t="s">
        <v>42</v>
      </c>
      <c r="C101">
        <f>COUNTA(E1:E95)</f>
        <v>24</v>
      </c>
      <c r="D101">
        <f>SUM(E101,H101)</f>
        <v>913</v>
      </c>
      <c r="E101">
        <f>SUM(F3:F95)</f>
        <v>-2994</v>
      </c>
      <c r="F101">
        <f>SUM(G3:G95)</f>
        <v>7717</v>
      </c>
      <c r="G101">
        <v>3810</v>
      </c>
      <c r="H101">
        <f>F101-G101</f>
        <v>3907</v>
      </c>
    </row>
    <row r="102" spans="1:8" x14ac:dyDescent="0.25">
      <c r="A102" t="s">
        <v>83</v>
      </c>
      <c r="C102">
        <f>COUNTA(I1:I95)</f>
        <v>3</v>
      </c>
      <c r="D102">
        <f>SUM(E102,H102)</f>
        <v>21</v>
      </c>
      <c r="E102">
        <f>SUM(J3:J95)</f>
        <v>10</v>
      </c>
      <c r="F102">
        <f>SUM(K3:K95)</f>
        <v>11</v>
      </c>
      <c r="H102">
        <f>F102-G102</f>
        <v>11</v>
      </c>
    </row>
    <row r="103" spans="1:8" x14ac:dyDescent="0.25">
      <c r="A103" t="s">
        <v>84</v>
      </c>
      <c r="C103">
        <f>COUNTA(M1:M95)</f>
        <v>3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</row>
    <row r="104" spans="1:8" x14ac:dyDescent="0.25">
      <c r="A104" t="s">
        <v>85</v>
      </c>
      <c r="C104">
        <f>COUNTA(Q1:Q95)</f>
        <v>3</v>
      </c>
      <c r="D104">
        <f t="shared" ref="D104:D108" si="0">SUM(E104,H104)</f>
        <v>37</v>
      </c>
      <c r="E104">
        <f>SUM(R3:R95)</f>
        <v>18</v>
      </c>
      <c r="F104">
        <f>SUM(S3:S95)</f>
        <v>19</v>
      </c>
      <c r="H104">
        <f t="shared" ref="H104:H130" si="1">F104-G104</f>
        <v>19</v>
      </c>
    </row>
    <row r="105" spans="1:8" x14ac:dyDescent="0.25">
      <c r="C105">
        <f>COUNTA(U1:U95)</f>
        <v>1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1"/>
        <v>23</v>
      </c>
    </row>
    <row r="106" spans="1:8" x14ac:dyDescent="0.25">
      <c r="C106">
        <f>COUNTA(Y1:Y95)</f>
        <v>1</v>
      </c>
      <c r="D106">
        <f t="shared" si="0"/>
        <v>53</v>
      </c>
      <c r="E106">
        <f>SUM(Z3:Z95)</f>
        <v>26</v>
      </c>
      <c r="F106">
        <f>SUM(AA3:AA95)</f>
        <v>27</v>
      </c>
      <c r="H106">
        <f t="shared" si="1"/>
        <v>27</v>
      </c>
    </row>
    <row r="107" spans="1:8" x14ac:dyDescent="0.25">
      <c r="C107">
        <f>COUNTA(AC1:AC95)</f>
        <v>1</v>
      </c>
      <c r="D107">
        <f t="shared" si="0"/>
        <v>61</v>
      </c>
      <c r="E107">
        <f>SUM(AD3:AD95)</f>
        <v>30</v>
      </c>
      <c r="F107">
        <f>SUM(AE3:AE95)</f>
        <v>31</v>
      </c>
      <c r="H107">
        <f t="shared" si="1"/>
        <v>31</v>
      </c>
    </row>
    <row r="108" spans="1:8" x14ac:dyDescent="0.25">
      <c r="C108">
        <f>COUNTA(AG1:AG95)</f>
        <v>1</v>
      </c>
      <c r="D108">
        <f t="shared" si="0"/>
        <v>69</v>
      </c>
      <c r="E108">
        <f>SUM(AH3:AH95)</f>
        <v>34</v>
      </c>
      <c r="F108">
        <f>SUM(AI3:AI95)</f>
        <v>35</v>
      </c>
      <c r="H108">
        <f t="shared" si="1"/>
        <v>35</v>
      </c>
    </row>
    <row r="109" spans="1:8" x14ac:dyDescent="0.25">
      <c r="C109">
        <f>COUNTA(AK1:AK95)</f>
        <v>1</v>
      </c>
      <c r="D109">
        <f t="shared" ref="D109:D148" si="2">SUM(E109,H109)</f>
        <v>77</v>
      </c>
      <c r="E109">
        <f>SUM(AL3:AL95)</f>
        <v>38</v>
      </c>
      <c r="F109">
        <f>SUM(AM3:AM95)</f>
        <v>39</v>
      </c>
      <c r="H109">
        <f t="shared" si="1"/>
        <v>39</v>
      </c>
    </row>
    <row r="110" spans="1:8" x14ac:dyDescent="0.25">
      <c r="C110">
        <f>COUNTA(AO1:AO95)</f>
        <v>1</v>
      </c>
      <c r="D110">
        <f t="shared" si="2"/>
        <v>85</v>
      </c>
      <c r="E110">
        <f>SUM(AP3:AP95)</f>
        <v>42</v>
      </c>
      <c r="F110">
        <f>SUM(AQ3:AQ95)</f>
        <v>43</v>
      </c>
      <c r="H110">
        <f t="shared" si="1"/>
        <v>43</v>
      </c>
    </row>
    <row r="111" spans="1:8" x14ac:dyDescent="0.25">
      <c r="C111">
        <f>COUNTA(AS1:AS95)</f>
        <v>1</v>
      </c>
      <c r="D111">
        <f t="shared" si="2"/>
        <v>93</v>
      </c>
      <c r="E111">
        <f>SUM(AT3:AT95)</f>
        <v>46</v>
      </c>
      <c r="F111">
        <f>SUM(AU3:AU95)</f>
        <v>47</v>
      </c>
      <c r="H111">
        <f t="shared" si="1"/>
        <v>47</v>
      </c>
    </row>
    <row r="112" spans="1:8" x14ac:dyDescent="0.25">
      <c r="C112">
        <f>COUNTA(AW1:AW95)</f>
        <v>1</v>
      </c>
      <c r="D112">
        <f t="shared" si="2"/>
        <v>101</v>
      </c>
      <c r="E112">
        <f>SUM(AX3:AX95)</f>
        <v>50</v>
      </c>
      <c r="F112">
        <f>SUM(AY3:AY95)</f>
        <v>51</v>
      </c>
      <c r="H112">
        <f t="shared" si="1"/>
        <v>51</v>
      </c>
    </row>
    <row r="113" spans="3:8" x14ac:dyDescent="0.25">
      <c r="C113">
        <f>COUNTA(BA1:BA95)</f>
        <v>1</v>
      </c>
      <c r="D113">
        <f t="shared" si="2"/>
        <v>109</v>
      </c>
      <c r="E113">
        <f>SUM(BB3:BB95)</f>
        <v>54</v>
      </c>
      <c r="F113">
        <f>SUM(BC3:BC95)</f>
        <v>55</v>
      </c>
      <c r="H113">
        <f t="shared" si="1"/>
        <v>55</v>
      </c>
    </row>
    <row r="114" spans="3:8" x14ac:dyDescent="0.25">
      <c r="C114">
        <f>COUNTA(BE1:BE95)</f>
        <v>1</v>
      </c>
      <c r="D114">
        <f t="shared" si="2"/>
        <v>117</v>
      </c>
      <c r="E114">
        <f>SUM(BF3:BF95)</f>
        <v>58</v>
      </c>
      <c r="F114">
        <f>SUM(BG3:BG95)</f>
        <v>59</v>
      </c>
      <c r="H114">
        <f t="shared" si="1"/>
        <v>59</v>
      </c>
    </row>
    <row r="115" spans="3:8" x14ac:dyDescent="0.25">
      <c r="C115">
        <f>COUNTA(BI1:BI95)</f>
        <v>1</v>
      </c>
      <c r="D115">
        <f t="shared" si="2"/>
        <v>125</v>
      </c>
      <c r="E115">
        <f>SUM(BJ3:BJ95)</f>
        <v>62</v>
      </c>
      <c r="F115">
        <f>SUM(BK3:BK95)</f>
        <v>63</v>
      </c>
      <c r="H115">
        <f t="shared" si="1"/>
        <v>63</v>
      </c>
    </row>
    <row r="116" spans="3:8" x14ac:dyDescent="0.25">
      <c r="C116">
        <f>COUNTA(BM1:BM95)</f>
        <v>1</v>
      </c>
      <c r="D116">
        <f t="shared" si="2"/>
        <v>133</v>
      </c>
      <c r="E116">
        <f>SUM(BN3:BN95)</f>
        <v>66</v>
      </c>
      <c r="F116">
        <f>SUM(BO3:BO95)</f>
        <v>67</v>
      </c>
      <c r="H116">
        <f t="shared" si="1"/>
        <v>67</v>
      </c>
    </row>
    <row r="117" spans="3:8" x14ac:dyDescent="0.25">
      <c r="C117">
        <f>COUNTA(BQ1:BQ95)</f>
        <v>1</v>
      </c>
      <c r="D117">
        <f t="shared" si="2"/>
        <v>141</v>
      </c>
      <c r="E117">
        <f>SUM(BR3:BR95)</f>
        <v>70</v>
      </c>
      <c r="F117">
        <f>SUM(BS3:BS95)</f>
        <v>71</v>
      </c>
      <c r="H117">
        <f t="shared" si="1"/>
        <v>71</v>
      </c>
    </row>
    <row r="118" spans="3:8" x14ac:dyDescent="0.25">
      <c r="C118">
        <f>COUNTA(BU1:BU95)</f>
        <v>1</v>
      </c>
      <c r="D118">
        <f t="shared" si="2"/>
        <v>149</v>
      </c>
      <c r="E118">
        <f>SUM(BV3:BV95)</f>
        <v>74</v>
      </c>
      <c r="F118">
        <f>SUM(BW3:BW95)</f>
        <v>75</v>
      </c>
      <c r="H118">
        <f t="shared" si="1"/>
        <v>75</v>
      </c>
    </row>
    <row r="119" spans="3:8" x14ac:dyDescent="0.25">
      <c r="C119">
        <f>COUNTA(BY1:BY95)</f>
        <v>1</v>
      </c>
      <c r="D119">
        <f t="shared" si="2"/>
        <v>157</v>
      </c>
      <c r="E119">
        <f>SUM(BZ3:BZ95)</f>
        <v>78</v>
      </c>
      <c r="F119">
        <f>SUM(CA3:CA95)</f>
        <v>79</v>
      </c>
      <c r="H119">
        <f t="shared" si="1"/>
        <v>79</v>
      </c>
    </row>
    <row r="120" spans="3:8" x14ac:dyDescent="0.25">
      <c r="C120">
        <f>COUNTA(CC1:CC95)</f>
        <v>1</v>
      </c>
      <c r="D120">
        <f t="shared" si="2"/>
        <v>165</v>
      </c>
      <c r="E120">
        <f>SUM(CD3:CD95)</f>
        <v>82</v>
      </c>
      <c r="F120">
        <f>SUM(CE3:CE95)</f>
        <v>83</v>
      </c>
      <c r="H120">
        <f t="shared" si="1"/>
        <v>83</v>
      </c>
    </row>
    <row r="121" spans="3:8" x14ac:dyDescent="0.25">
      <c r="C121">
        <f>COUNTA(CG1:CG95)</f>
        <v>1</v>
      </c>
      <c r="D121">
        <f t="shared" si="2"/>
        <v>173</v>
      </c>
      <c r="E121">
        <f>SUM(CH3:CH95)</f>
        <v>86</v>
      </c>
      <c r="F121">
        <f>SUM(CI3:CI95)</f>
        <v>87</v>
      </c>
      <c r="H121">
        <f t="shared" si="1"/>
        <v>87</v>
      </c>
    </row>
    <row r="122" spans="3:8" x14ac:dyDescent="0.25">
      <c r="C122">
        <f>COUNTA(CK1:CK95)</f>
        <v>1</v>
      </c>
      <c r="D122">
        <f t="shared" si="2"/>
        <v>181</v>
      </c>
      <c r="E122">
        <f>SUM(CL3:CL95)</f>
        <v>90</v>
      </c>
      <c r="F122">
        <f>SUM(CM3:CM95)</f>
        <v>91</v>
      </c>
      <c r="H122">
        <f t="shared" si="1"/>
        <v>91</v>
      </c>
    </row>
    <row r="123" spans="3:8" x14ac:dyDescent="0.25">
      <c r="C123">
        <f>COUNTA(CO1:CO95)</f>
        <v>1</v>
      </c>
      <c r="D123">
        <f t="shared" si="2"/>
        <v>189</v>
      </c>
      <c r="E123">
        <f>SUM(CP3:CP95)</f>
        <v>94</v>
      </c>
      <c r="F123">
        <f>SUM(CQ3:CQ95)</f>
        <v>95</v>
      </c>
      <c r="H123">
        <f t="shared" si="1"/>
        <v>95</v>
      </c>
    </row>
    <row r="124" spans="3:8" x14ac:dyDescent="0.25">
      <c r="C124">
        <f>COUNTA(CS1:CS95)</f>
        <v>1</v>
      </c>
      <c r="D124">
        <f t="shared" si="2"/>
        <v>197</v>
      </c>
      <c r="E124">
        <f>SUM(CT3:CT95)</f>
        <v>98</v>
      </c>
      <c r="F124">
        <f>SUM(CU3:CU95)</f>
        <v>99</v>
      </c>
      <c r="H124">
        <f t="shared" si="1"/>
        <v>99</v>
      </c>
    </row>
    <row r="125" spans="3:8" x14ac:dyDescent="0.25">
      <c r="C125">
        <f>COUNTA(CW1:CW95)</f>
        <v>1</v>
      </c>
      <c r="D125">
        <f t="shared" si="2"/>
        <v>205</v>
      </c>
      <c r="E125">
        <f>SUM(CX3:CX95)</f>
        <v>102</v>
      </c>
      <c r="F125">
        <f>SUM(CY3:CY95)</f>
        <v>103</v>
      </c>
      <c r="H125">
        <f t="shared" si="1"/>
        <v>103</v>
      </c>
    </row>
    <row r="126" spans="3:8" x14ac:dyDescent="0.25">
      <c r="C126">
        <f>COUNTA(DA1:DA95)</f>
        <v>1</v>
      </c>
      <c r="D126">
        <f t="shared" si="2"/>
        <v>213</v>
      </c>
      <c r="E126">
        <f>SUM(DB3:DB95)</f>
        <v>106</v>
      </c>
      <c r="F126">
        <f>SUM(DC3:DC95)</f>
        <v>107</v>
      </c>
      <c r="H126">
        <f t="shared" si="1"/>
        <v>107</v>
      </c>
    </row>
    <row r="127" spans="3:8" x14ac:dyDescent="0.25">
      <c r="C127">
        <f>COUNTA(DE1:DE95)</f>
        <v>1</v>
      </c>
      <c r="D127">
        <f t="shared" si="2"/>
        <v>221</v>
      </c>
      <c r="E127">
        <f>SUM(DF3:DF95)</f>
        <v>110</v>
      </c>
      <c r="F127">
        <f>SUM(DG3:DG95)</f>
        <v>111</v>
      </c>
      <c r="H127">
        <f t="shared" si="1"/>
        <v>111</v>
      </c>
    </row>
    <row r="128" spans="3:8" x14ac:dyDescent="0.25">
      <c r="C128">
        <f>COUNTA(DI1:DI95)</f>
        <v>1</v>
      </c>
      <c r="D128">
        <f t="shared" si="2"/>
        <v>229</v>
      </c>
      <c r="E128">
        <f>SUM(DJ3:DJ95)</f>
        <v>114</v>
      </c>
      <c r="F128">
        <f>SUM(DK3:DK95)</f>
        <v>115</v>
      </c>
      <c r="H128">
        <f t="shared" si="1"/>
        <v>115</v>
      </c>
    </row>
    <row r="129" spans="3:8" x14ac:dyDescent="0.25">
      <c r="C129">
        <f>COUNTA(DM1:DM95)</f>
        <v>1</v>
      </c>
      <c r="D129">
        <f t="shared" si="2"/>
        <v>237</v>
      </c>
      <c r="E129">
        <f>SUM(DN3:DN95)</f>
        <v>118</v>
      </c>
      <c r="F129">
        <f>SUM(DO3:DO95)</f>
        <v>119</v>
      </c>
      <c r="H129">
        <f t="shared" si="1"/>
        <v>119</v>
      </c>
    </row>
    <row r="130" spans="3:8" x14ac:dyDescent="0.25">
      <c r="C130">
        <f>COUNTA(DQ1:DQ95)</f>
        <v>1</v>
      </c>
      <c r="D130">
        <f t="shared" si="2"/>
        <v>245</v>
      </c>
      <c r="E130">
        <f>SUM(DR3:DR95)</f>
        <v>122</v>
      </c>
      <c r="F130">
        <f>SUM(DS3:DS95)</f>
        <v>123</v>
      </c>
      <c r="H130">
        <f t="shared" si="1"/>
        <v>123</v>
      </c>
    </row>
    <row r="131" spans="3:8" x14ac:dyDescent="0.25">
      <c r="C131">
        <f>COUNTA(DU1:DU95)</f>
        <v>1</v>
      </c>
      <c r="D131">
        <f t="shared" si="2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</row>
    <row r="132" spans="3:8" x14ac:dyDescent="0.25">
      <c r="C132">
        <f>COUNTA(DY1:DY95)</f>
        <v>1</v>
      </c>
      <c r="D132">
        <f t="shared" si="2"/>
        <v>257</v>
      </c>
      <c r="E132">
        <f>SUM(DX3:DX95)</f>
        <v>128</v>
      </c>
      <c r="F132">
        <f>SUM(DY3:DY95)</f>
        <v>129</v>
      </c>
      <c r="H132">
        <f t="shared" si="3"/>
        <v>129</v>
      </c>
    </row>
    <row r="133" spans="3:8" x14ac:dyDescent="0.25">
      <c r="C133">
        <f>COUNTA(EC1:EC95)</f>
        <v>1</v>
      </c>
      <c r="D133">
        <f t="shared" si="2"/>
        <v>269</v>
      </c>
      <c r="E133">
        <f>SUM(ED3:ED95)</f>
        <v>134</v>
      </c>
      <c r="F133">
        <f>SUM(EE3:EE95)</f>
        <v>135</v>
      </c>
      <c r="H133">
        <f t="shared" si="3"/>
        <v>135</v>
      </c>
    </row>
    <row r="134" spans="3:8" x14ac:dyDescent="0.25">
      <c r="C134">
        <f>COUNTA(EG1:EG96)</f>
        <v>1</v>
      </c>
      <c r="D134">
        <f t="shared" si="2"/>
        <v>277</v>
      </c>
      <c r="E134">
        <f>SUM(EH3:EH95)</f>
        <v>138</v>
      </c>
      <c r="F134">
        <f>SUM(EI3:EI95)</f>
        <v>139</v>
      </c>
      <c r="H134">
        <f t="shared" si="3"/>
        <v>139</v>
      </c>
    </row>
    <row r="135" spans="3:8" x14ac:dyDescent="0.25">
      <c r="C135">
        <f>COUNTA(EK1:EK95)</f>
        <v>1</v>
      </c>
      <c r="D135">
        <f t="shared" si="2"/>
        <v>285</v>
      </c>
      <c r="E135">
        <f>SUM(EL3:EL95)</f>
        <v>142</v>
      </c>
      <c r="F135">
        <f>SUM(EM3:EM95)</f>
        <v>143</v>
      </c>
      <c r="H135">
        <f t="shared" si="3"/>
        <v>143</v>
      </c>
    </row>
    <row r="136" spans="3:8" x14ac:dyDescent="0.25">
      <c r="C136">
        <f>COUNTA(EO1:EO95)</f>
        <v>1</v>
      </c>
      <c r="D136">
        <f t="shared" si="2"/>
        <v>293</v>
      </c>
      <c r="E136">
        <f>SUM(EP3:EP95)</f>
        <v>146</v>
      </c>
      <c r="F136">
        <f>SUM(EQ3:EQ95)</f>
        <v>147</v>
      </c>
      <c r="H136">
        <f t="shared" si="3"/>
        <v>147</v>
      </c>
    </row>
    <row r="137" spans="3:8" x14ac:dyDescent="0.25">
      <c r="C137">
        <f>COUNTA(ES1:ES95)</f>
        <v>1</v>
      </c>
      <c r="D137">
        <f t="shared" si="2"/>
        <v>301</v>
      </c>
      <c r="E137">
        <f>SUM(ET3:ET95)</f>
        <v>150</v>
      </c>
      <c r="F137">
        <f>SUM(EU3:EU95)</f>
        <v>151</v>
      </c>
      <c r="H137">
        <f t="shared" si="3"/>
        <v>151</v>
      </c>
    </row>
    <row r="138" spans="3:8" x14ac:dyDescent="0.25">
      <c r="C138">
        <f>COUNTA(EW1:EW95)</f>
        <v>1</v>
      </c>
      <c r="D138">
        <f t="shared" si="2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8" x14ac:dyDescent="0.25">
      <c r="C139">
        <f>COUNTA(FA1:FA95)</f>
        <v>1</v>
      </c>
      <c r="D139">
        <f t="shared" si="2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8" x14ac:dyDescent="0.25">
      <c r="C140">
        <f>COUNTA(FE1:FE95)</f>
        <v>1</v>
      </c>
      <c r="D140">
        <f t="shared" si="2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8" x14ac:dyDescent="0.25">
      <c r="C141">
        <f>COUNTA(FI1:FI95)</f>
        <v>1</v>
      </c>
      <c r="D141">
        <f t="shared" si="2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8" x14ac:dyDescent="0.25">
      <c r="C142">
        <f>COUNTA(FM1:FM95)</f>
        <v>1</v>
      </c>
      <c r="D142">
        <f t="shared" si="2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8" x14ac:dyDescent="0.25">
      <c r="C143">
        <f>COUNTA(FQ1:FQ95)</f>
        <v>1</v>
      </c>
      <c r="D143">
        <f t="shared" si="2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8" x14ac:dyDescent="0.25">
      <c r="C144">
        <f>COUNTA(FU1:FU95)</f>
        <v>1</v>
      </c>
      <c r="D144">
        <f t="shared" si="2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2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2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2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2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Z102"/>
  <sheetViews>
    <sheetView workbookViewId="0">
      <selection activeCell="H18" sqref="H18"/>
    </sheetView>
  </sheetViews>
  <sheetFormatPr defaultRowHeight="15" x14ac:dyDescent="0.25"/>
  <cols>
    <col min="1" max="1" width="10.7109375" bestFit="1" customWidth="1"/>
  </cols>
  <sheetData>
    <row r="2" spans="1:26" x14ac:dyDescent="0.25">
      <c r="A2" t="s">
        <v>60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43</v>
      </c>
      <c r="Z2" t="s">
        <v>44</v>
      </c>
    </row>
    <row r="3" spans="1:26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6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6" x14ac:dyDescent="0.25">
      <c r="A6" s="9">
        <v>41654</v>
      </c>
    </row>
    <row r="7" spans="1:26" x14ac:dyDescent="0.25">
      <c r="A7" s="9">
        <v>41669</v>
      </c>
    </row>
    <row r="8" spans="1:26" x14ac:dyDescent="0.25">
      <c r="A8" s="9">
        <v>41685</v>
      </c>
    </row>
    <row r="9" spans="1:26" x14ac:dyDescent="0.25">
      <c r="A9" s="9">
        <v>41698</v>
      </c>
    </row>
    <row r="10" spans="1:26" x14ac:dyDescent="0.25">
      <c r="A10" s="9">
        <v>41713</v>
      </c>
    </row>
    <row r="11" spans="1:26" x14ac:dyDescent="0.25">
      <c r="A11" s="9">
        <v>41728</v>
      </c>
    </row>
    <row r="12" spans="1:26" x14ac:dyDescent="0.25">
      <c r="A12" s="9">
        <v>41744</v>
      </c>
    </row>
    <row r="13" spans="1:26" x14ac:dyDescent="0.25">
      <c r="A13" s="9">
        <v>41759</v>
      </c>
    </row>
    <row r="14" spans="1:26" x14ac:dyDescent="0.25">
      <c r="A14" s="9">
        <v>41774</v>
      </c>
    </row>
    <row r="15" spans="1:26" x14ac:dyDescent="0.25">
      <c r="A15" s="9">
        <v>41789</v>
      </c>
    </row>
    <row r="16" spans="1:26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/>
  <dimension ref="A1:AA51"/>
  <sheetViews>
    <sheetView workbookViewId="0">
      <selection activeCell="F11" sqref="F11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  <col min="10" max="10" width="13.7109375" customWidth="1"/>
    <col min="11" max="11" width="11.85546875" customWidth="1"/>
    <col min="12" max="12" width="12.28515625" customWidth="1"/>
    <col min="13" max="13" width="13.42578125" customWidth="1"/>
    <col min="14" max="14" width="13.7109375" bestFit="1" customWidth="1"/>
    <col min="15" max="15" width="12.85546875" bestFit="1" customWidth="1"/>
    <col min="16" max="16" width="12.28515625" bestFit="1" customWidth="1"/>
    <col min="17" max="17" width="13.42578125" bestFit="1" customWidth="1"/>
  </cols>
  <sheetData>
    <row r="1" spans="1:27" ht="37.5" customHeight="1" x14ac:dyDescent="0.25">
      <c r="A1" s="41"/>
      <c r="B1" s="182" t="s">
        <v>82</v>
      </c>
      <c r="C1" s="183"/>
      <c r="D1" s="183"/>
      <c r="E1" s="183"/>
      <c r="F1" s="183"/>
      <c r="G1" s="183"/>
      <c r="H1" s="184"/>
    </row>
    <row r="2" spans="1:27" x14ac:dyDescent="0.25">
      <c r="A2" s="41"/>
      <c r="B2" s="88" t="s">
        <v>76</v>
      </c>
      <c r="C2" s="86" t="s">
        <v>75</v>
      </c>
      <c r="D2" s="44"/>
      <c r="E2" s="86" t="s">
        <v>74</v>
      </c>
      <c r="F2" s="86" t="s">
        <v>17</v>
      </c>
      <c r="G2" s="86" t="s">
        <v>50</v>
      </c>
      <c r="H2" s="89" t="s">
        <v>51</v>
      </c>
      <c r="J2" s="8" t="s">
        <v>10</v>
      </c>
      <c r="K2" s="8" t="s">
        <v>8</v>
      </c>
      <c r="L2" s="8" t="s">
        <v>9</v>
      </c>
      <c r="M2" s="8" t="s">
        <v>7</v>
      </c>
      <c r="N2" s="8" t="s">
        <v>11</v>
      </c>
      <c r="O2" s="8" t="s">
        <v>12</v>
      </c>
      <c r="P2" s="8" t="s">
        <v>18</v>
      </c>
      <c r="Q2" s="8" t="s">
        <v>16</v>
      </c>
      <c r="S2" s="98"/>
      <c r="AA2" s="15"/>
    </row>
    <row r="3" spans="1:27" x14ac:dyDescent="0.25">
      <c r="A3" s="41"/>
      <c r="B3" s="90" t="s">
        <v>21</v>
      </c>
      <c r="C3" s="44" t="s">
        <v>49</v>
      </c>
      <c r="D3" s="44" t="s">
        <v>1</v>
      </c>
      <c r="E3" s="44">
        <f>COUNTA(Savings!C2:AH2)</f>
        <v>25</v>
      </c>
      <c r="F3" s="44">
        <v>18</v>
      </c>
      <c r="G3" s="44">
        <f>COUNTA(C3:C36)</f>
        <v>4</v>
      </c>
      <c r="H3" s="91">
        <f>G3*F3</f>
        <v>72</v>
      </c>
      <c r="J3" t="s">
        <v>41</v>
      </c>
      <c r="K3">
        <f>COUNTA(Borrowers!A1:HA1)</f>
        <v>5</v>
      </c>
      <c r="L3">
        <f>COUNTA(Borrowers!A1:A95)</f>
        <v>37</v>
      </c>
      <c r="M3" t="e">
        <f>SUM(Borrowers!#REF!,Q3)</f>
        <v>#REF!</v>
      </c>
      <c r="N3" t="e">
        <f>SUM(#REF!)</f>
        <v>#REF!</v>
      </c>
      <c r="O3" t="e">
        <f>SUM(#REF!)</f>
        <v>#REF!</v>
      </c>
      <c r="P3">
        <v>5370</v>
      </c>
      <c r="Q3" t="e">
        <f>O3-P3</f>
        <v>#REF!</v>
      </c>
      <c r="R3">
        <v>1</v>
      </c>
      <c r="S3" t="str">
        <f>IF(L3=R3, "OK", "MALI")</f>
        <v>MALI</v>
      </c>
    </row>
    <row r="4" spans="1:27" x14ac:dyDescent="0.25">
      <c r="A4" s="41"/>
      <c r="B4" s="90" t="s">
        <v>22</v>
      </c>
      <c r="C4" s="44" t="s">
        <v>52</v>
      </c>
      <c r="D4" s="44" t="s">
        <v>3</v>
      </c>
      <c r="E4" s="44"/>
      <c r="F4" s="44"/>
      <c r="G4" s="44"/>
      <c r="H4" s="91"/>
      <c r="J4" t="s">
        <v>42</v>
      </c>
      <c r="L4">
        <f>COUNTA(Borrowers!E20:E95)</f>
        <v>6</v>
      </c>
      <c r="M4" t="e">
        <f t="shared" ref="M4:M51" si="0">SUM(N4,Q4)</f>
        <v>#REF!</v>
      </c>
      <c r="N4" t="e">
        <f>SUM(#REF!)</f>
        <v>#REF!</v>
      </c>
      <c r="O4" t="e">
        <f>SUM(#REF!)</f>
        <v>#REF!</v>
      </c>
      <c r="P4">
        <v>17400</v>
      </c>
      <c r="Q4" t="e">
        <f t="shared" ref="Q4:Q51" si="1">O4-P4</f>
        <v>#REF!</v>
      </c>
      <c r="R4">
        <v>5</v>
      </c>
      <c r="S4" t="str">
        <f t="shared" ref="S4:S20" si="2">IF(L4=R4, "OK", "MALI")</f>
        <v>MALI</v>
      </c>
    </row>
    <row r="5" spans="1:27" x14ac:dyDescent="0.25">
      <c r="A5" s="41"/>
      <c r="B5" s="90" t="s">
        <v>23</v>
      </c>
      <c r="C5" s="44" t="s">
        <v>53</v>
      </c>
      <c r="D5" s="44" t="s">
        <v>2</v>
      </c>
      <c r="E5" s="44"/>
      <c r="F5" s="44"/>
      <c r="G5" s="4"/>
      <c r="H5" s="92"/>
      <c r="J5" t="s">
        <v>83</v>
      </c>
      <c r="L5">
        <f>COUNTA(Borrowers!I1:I95)</f>
        <v>3</v>
      </c>
      <c r="M5" t="e">
        <f t="shared" si="0"/>
        <v>#REF!</v>
      </c>
      <c r="N5" t="e">
        <f>SUM(#REF!)</f>
        <v>#REF!</v>
      </c>
      <c r="O5" t="e">
        <f>SUM(#REF!)</f>
        <v>#REF!</v>
      </c>
      <c r="P5">
        <v>3810</v>
      </c>
      <c r="Q5" t="e">
        <f t="shared" si="1"/>
        <v>#REF!</v>
      </c>
      <c r="R5">
        <v>9</v>
      </c>
      <c r="S5" t="str">
        <f t="shared" si="2"/>
        <v>MALI</v>
      </c>
    </row>
    <row r="6" spans="1:27" x14ac:dyDescent="0.25">
      <c r="A6" s="41"/>
      <c r="B6" s="90" t="s">
        <v>24</v>
      </c>
      <c r="C6" s="44">
        <v>2015</v>
      </c>
      <c r="D6" s="44"/>
      <c r="E6" s="44"/>
      <c r="F6" s="44"/>
      <c r="G6" s="4"/>
      <c r="H6" s="92"/>
      <c r="J6" t="s">
        <v>84</v>
      </c>
      <c r="L6">
        <f>COUNTA(Borrowers!M1:M95)</f>
        <v>3</v>
      </c>
      <c r="M6" t="e">
        <f t="shared" si="0"/>
        <v>#REF!</v>
      </c>
      <c r="N6" t="e">
        <f>SUM(#REF!)</f>
        <v>#REF!</v>
      </c>
      <c r="O6" t="e">
        <f>SUM(#REF!)</f>
        <v>#REF!</v>
      </c>
      <c r="P6">
        <v>300</v>
      </c>
      <c r="Q6" t="e">
        <f t="shared" si="1"/>
        <v>#REF!</v>
      </c>
      <c r="R6">
        <v>13</v>
      </c>
      <c r="S6" t="str">
        <f t="shared" si="2"/>
        <v>MALI</v>
      </c>
    </row>
    <row r="7" spans="1:27" x14ac:dyDescent="0.25">
      <c r="A7" s="41"/>
      <c r="B7" s="90" t="s">
        <v>25</v>
      </c>
      <c r="C7" s="44"/>
      <c r="D7" s="44"/>
      <c r="E7" s="44"/>
      <c r="F7" s="44"/>
      <c r="G7" s="4"/>
      <c r="H7" s="92"/>
      <c r="J7" t="s">
        <v>85</v>
      </c>
      <c r="L7">
        <f>COUNTA(Borrowers!Q1:Q95)</f>
        <v>3</v>
      </c>
      <c r="M7" t="e">
        <f t="shared" si="0"/>
        <v>#REF!</v>
      </c>
      <c r="N7" t="e">
        <f>SUM(#REF!)</f>
        <v>#REF!</v>
      </c>
      <c r="O7" t="e">
        <f>SUM(#REF!)</f>
        <v>#REF!</v>
      </c>
      <c r="Q7" t="e">
        <f t="shared" si="1"/>
        <v>#REF!</v>
      </c>
      <c r="R7">
        <v>17</v>
      </c>
      <c r="S7" t="str">
        <f t="shared" si="2"/>
        <v>MALI</v>
      </c>
    </row>
    <row r="8" spans="1:27" x14ac:dyDescent="0.25">
      <c r="A8" s="41"/>
      <c r="B8" s="90" t="s">
        <v>26</v>
      </c>
      <c r="C8" s="44"/>
      <c r="D8" s="44"/>
      <c r="E8" s="44"/>
      <c r="F8" s="44"/>
      <c r="G8" s="4"/>
      <c r="H8" s="92"/>
      <c r="L8">
        <f>COUNTA(Borrowers!U4:U95)</f>
        <v>1</v>
      </c>
      <c r="M8" t="e">
        <f t="shared" si="0"/>
        <v>#REF!</v>
      </c>
      <c r="N8" t="e">
        <f>SUM(#REF!)</f>
        <v>#REF!</v>
      </c>
      <c r="O8" t="e">
        <f>SUM(#REF!)</f>
        <v>#REF!</v>
      </c>
      <c r="Q8" t="e">
        <f t="shared" si="1"/>
        <v>#REF!</v>
      </c>
      <c r="R8">
        <v>21</v>
      </c>
      <c r="S8" t="str">
        <f t="shared" si="2"/>
        <v>MALI</v>
      </c>
    </row>
    <row r="9" spans="1:27" x14ac:dyDescent="0.25">
      <c r="A9" s="41"/>
      <c r="B9" s="90" t="s">
        <v>27</v>
      </c>
      <c r="C9" s="44"/>
      <c r="D9" s="44"/>
      <c r="E9" s="44"/>
      <c r="F9" s="87"/>
      <c r="G9" s="4"/>
      <c r="H9" s="92"/>
      <c r="L9">
        <f>COUNTA(Borrowers!Y1:Y95)</f>
        <v>1</v>
      </c>
      <c r="M9" t="e">
        <f t="shared" si="0"/>
        <v>#REF!</v>
      </c>
      <c r="N9" t="e">
        <f>SUM(#REF!)</f>
        <v>#REF!</v>
      </c>
      <c r="O9" t="e">
        <f>SUM(#REF!)</f>
        <v>#REF!</v>
      </c>
      <c r="Q9" t="e">
        <f t="shared" si="1"/>
        <v>#REF!</v>
      </c>
      <c r="R9">
        <v>25</v>
      </c>
      <c r="S9" t="str">
        <f t="shared" si="2"/>
        <v>MALI</v>
      </c>
    </row>
    <row r="10" spans="1:27" x14ac:dyDescent="0.25">
      <c r="A10" s="41"/>
      <c r="B10" s="90" t="s">
        <v>28</v>
      </c>
      <c r="C10" s="44"/>
      <c r="D10" s="44"/>
      <c r="E10" s="44"/>
      <c r="F10" s="44"/>
      <c r="G10" s="4"/>
      <c r="H10" s="92"/>
      <c r="L10">
        <f>COUNTA(Borrowers!AC1:AC95)</f>
        <v>1</v>
      </c>
      <c r="M10" t="e">
        <f t="shared" si="0"/>
        <v>#REF!</v>
      </c>
      <c r="N10" t="e">
        <f>SUM(#REF!)</f>
        <v>#REF!</v>
      </c>
      <c r="O10" t="e">
        <f>SUM(#REF!)</f>
        <v>#REF!</v>
      </c>
      <c r="Q10" t="e">
        <f t="shared" si="1"/>
        <v>#REF!</v>
      </c>
      <c r="R10">
        <v>29</v>
      </c>
      <c r="S10" t="str">
        <f t="shared" si="2"/>
        <v>MALI</v>
      </c>
    </row>
    <row r="11" spans="1:27" x14ac:dyDescent="0.25">
      <c r="A11" s="41"/>
      <c r="B11" s="90" t="s">
        <v>29</v>
      </c>
      <c r="C11" s="44"/>
      <c r="D11" s="44"/>
      <c r="E11" s="44"/>
      <c r="F11" s="44"/>
      <c r="G11" s="4"/>
      <c r="H11" s="92"/>
      <c r="M11" t="e">
        <f t="shared" si="0"/>
        <v>#REF!</v>
      </c>
      <c r="N11" t="e">
        <f>SUM(#REF!)</f>
        <v>#REF!</v>
      </c>
      <c r="O11" t="e">
        <f>SUM(#REF!)</f>
        <v>#REF!</v>
      </c>
      <c r="Q11" t="e">
        <f t="shared" si="1"/>
        <v>#REF!</v>
      </c>
      <c r="R11">
        <v>33</v>
      </c>
      <c r="S11" t="str">
        <f t="shared" si="2"/>
        <v>MALI</v>
      </c>
    </row>
    <row r="12" spans="1:27" x14ac:dyDescent="0.25">
      <c r="A12" s="41"/>
      <c r="B12" s="90" t="s">
        <v>20</v>
      </c>
      <c r="C12" s="44"/>
      <c r="D12" s="44"/>
      <c r="E12" s="44"/>
      <c r="F12" s="44"/>
      <c r="G12" s="4"/>
      <c r="H12" s="92"/>
      <c r="M12" t="e">
        <f t="shared" si="0"/>
        <v>#REF!</v>
      </c>
      <c r="N12" t="e">
        <f>SUM(#REF!)</f>
        <v>#REF!</v>
      </c>
      <c r="O12" t="e">
        <f>SUM(#REF!)</f>
        <v>#REF!</v>
      </c>
      <c r="Q12" t="e">
        <f t="shared" si="1"/>
        <v>#REF!</v>
      </c>
      <c r="R12">
        <v>37</v>
      </c>
      <c r="S12" t="str">
        <f t="shared" si="2"/>
        <v>MALI</v>
      </c>
    </row>
    <row r="13" spans="1:27" x14ac:dyDescent="0.25">
      <c r="A13" s="41"/>
      <c r="B13" s="90" t="s">
        <v>30</v>
      </c>
      <c r="C13" s="44"/>
      <c r="D13" s="44"/>
      <c r="E13" s="44"/>
      <c r="F13" s="44"/>
      <c r="G13" s="4"/>
      <c r="H13" s="92"/>
      <c r="M13" t="e">
        <f t="shared" si="0"/>
        <v>#REF!</v>
      </c>
      <c r="N13" t="e">
        <f>SUM(#REF!)</f>
        <v>#REF!</v>
      </c>
      <c r="O13" t="e">
        <f>SUM(#REF!)</f>
        <v>#REF!</v>
      </c>
      <c r="Q13" t="e">
        <f t="shared" si="1"/>
        <v>#REF!</v>
      </c>
      <c r="R13">
        <v>41</v>
      </c>
      <c r="S13" t="str">
        <f t="shared" si="2"/>
        <v>MALI</v>
      </c>
    </row>
    <row r="14" spans="1:27" x14ac:dyDescent="0.25">
      <c r="A14" s="41"/>
      <c r="B14" s="90" t="s">
        <v>31</v>
      </c>
      <c r="C14" s="44"/>
      <c r="D14" s="44"/>
      <c r="E14" s="44"/>
      <c r="F14" s="44"/>
      <c r="G14" s="4"/>
      <c r="H14" s="92"/>
      <c r="M14" t="e">
        <f t="shared" si="0"/>
        <v>#REF!</v>
      </c>
      <c r="N14" t="e">
        <f>SUM(#REF!)</f>
        <v>#REF!</v>
      </c>
      <c r="O14" t="e">
        <f>SUM(#REF!)</f>
        <v>#REF!</v>
      </c>
      <c r="Q14" t="e">
        <f t="shared" si="1"/>
        <v>#REF!</v>
      </c>
      <c r="R14">
        <v>45</v>
      </c>
      <c r="S14" t="str">
        <f t="shared" si="2"/>
        <v>MALI</v>
      </c>
    </row>
    <row r="15" spans="1:27" x14ac:dyDescent="0.25">
      <c r="A15" s="41"/>
      <c r="B15" s="90" t="s">
        <v>32</v>
      </c>
      <c r="C15" s="44"/>
      <c r="D15" s="44"/>
      <c r="E15" s="44"/>
      <c r="F15" s="44"/>
      <c r="G15" s="4"/>
      <c r="H15" s="92"/>
      <c r="M15" t="e">
        <f t="shared" si="0"/>
        <v>#REF!</v>
      </c>
      <c r="N15" t="e">
        <f>SUM(#REF!)</f>
        <v>#REF!</v>
      </c>
      <c r="O15" t="e">
        <f>SUM(#REF!)</f>
        <v>#REF!</v>
      </c>
      <c r="Q15" t="e">
        <f t="shared" si="1"/>
        <v>#REF!</v>
      </c>
      <c r="R15">
        <v>49</v>
      </c>
      <c r="S15" t="str">
        <f t="shared" si="2"/>
        <v>MALI</v>
      </c>
    </row>
    <row r="16" spans="1:27" x14ac:dyDescent="0.25">
      <c r="A16" s="41"/>
      <c r="B16" s="90" t="s">
        <v>33</v>
      </c>
      <c r="C16" s="44"/>
      <c r="D16" s="44"/>
      <c r="E16" s="44"/>
      <c r="F16" s="44"/>
      <c r="G16" s="4"/>
      <c r="H16" s="92"/>
      <c r="M16" t="e">
        <f t="shared" si="0"/>
        <v>#REF!</v>
      </c>
      <c r="N16" t="e">
        <f>SUM(#REF!)</f>
        <v>#REF!</v>
      </c>
      <c r="O16" t="e">
        <f>SUM(#REF!)</f>
        <v>#REF!</v>
      </c>
      <c r="Q16" t="e">
        <f t="shared" si="1"/>
        <v>#REF!</v>
      </c>
      <c r="R16">
        <v>53</v>
      </c>
      <c r="S16" t="str">
        <f t="shared" si="2"/>
        <v>MALI</v>
      </c>
    </row>
    <row r="17" spans="1:19" x14ac:dyDescent="0.25">
      <c r="A17" s="41"/>
      <c r="B17" s="90" t="s">
        <v>34</v>
      </c>
      <c r="C17" s="44"/>
      <c r="D17" s="44"/>
      <c r="E17" s="44"/>
      <c r="F17" s="44"/>
      <c r="G17" s="4"/>
      <c r="H17" s="92"/>
      <c r="M17" t="e">
        <f t="shared" si="0"/>
        <v>#REF!</v>
      </c>
      <c r="N17" t="e">
        <f>SUM(#REF!)</f>
        <v>#REF!</v>
      </c>
      <c r="O17" t="e">
        <f>SUM(#REF!)</f>
        <v>#REF!</v>
      </c>
      <c r="Q17" t="e">
        <f t="shared" si="1"/>
        <v>#REF!</v>
      </c>
      <c r="R17">
        <v>57</v>
      </c>
      <c r="S17" t="str">
        <f t="shared" si="2"/>
        <v>MALI</v>
      </c>
    </row>
    <row r="18" spans="1:19" x14ac:dyDescent="0.25">
      <c r="A18" s="41"/>
      <c r="B18" s="90" t="s">
        <v>35</v>
      </c>
      <c r="C18" s="44"/>
      <c r="D18" s="44"/>
      <c r="E18" s="44"/>
      <c r="F18" s="44"/>
      <c r="G18" s="4"/>
      <c r="H18" s="92"/>
      <c r="M18" t="e">
        <f t="shared" si="0"/>
        <v>#REF!</v>
      </c>
      <c r="N18" t="e">
        <f>SUM(#REF!)</f>
        <v>#REF!</v>
      </c>
      <c r="O18" t="e">
        <f>SUM(#REF!)</f>
        <v>#REF!</v>
      </c>
      <c r="Q18" t="e">
        <f t="shared" si="1"/>
        <v>#REF!</v>
      </c>
      <c r="R18">
        <v>61</v>
      </c>
      <c r="S18" t="str">
        <f t="shared" si="2"/>
        <v>MALI</v>
      </c>
    </row>
    <row r="19" spans="1:19" x14ac:dyDescent="0.25">
      <c r="A19" s="41"/>
      <c r="B19" s="90" t="s">
        <v>36</v>
      </c>
      <c r="C19" s="44"/>
      <c r="D19" s="44"/>
      <c r="E19" s="44"/>
      <c r="F19" s="44"/>
      <c r="G19" s="4"/>
      <c r="H19" s="92"/>
      <c r="M19" t="e">
        <f t="shared" si="0"/>
        <v>#REF!</v>
      </c>
      <c r="N19" t="e">
        <f>SUM(#REF!)</f>
        <v>#REF!</v>
      </c>
      <c r="O19" t="e">
        <f>SUM(#REF!)</f>
        <v>#REF!</v>
      </c>
      <c r="Q19" t="e">
        <f t="shared" si="1"/>
        <v>#REF!</v>
      </c>
      <c r="R19">
        <v>65</v>
      </c>
      <c r="S19" t="str">
        <f t="shared" si="2"/>
        <v>MALI</v>
      </c>
    </row>
    <row r="20" spans="1:19" x14ac:dyDescent="0.25">
      <c r="A20" s="41"/>
      <c r="B20" s="90" t="s">
        <v>37</v>
      </c>
      <c r="C20" s="44"/>
      <c r="D20" s="44"/>
      <c r="E20" s="44"/>
      <c r="F20" s="44"/>
      <c r="G20" s="4"/>
      <c r="H20" s="92"/>
      <c r="M20" t="e">
        <f t="shared" si="0"/>
        <v>#REF!</v>
      </c>
      <c r="N20" t="e">
        <f>SUM(#REF!)</f>
        <v>#REF!</v>
      </c>
      <c r="O20" t="e">
        <f>SUM(#REF!)</f>
        <v>#REF!</v>
      </c>
      <c r="Q20" t="e">
        <f t="shared" si="1"/>
        <v>#REF!</v>
      </c>
      <c r="R20">
        <v>69</v>
      </c>
      <c r="S20" t="str">
        <f t="shared" si="2"/>
        <v>MALI</v>
      </c>
    </row>
    <row r="21" spans="1:19" x14ac:dyDescent="0.25">
      <c r="A21" s="41"/>
      <c r="B21" s="90" t="s">
        <v>6</v>
      </c>
      <c r="C21" s="44"/>
      <c r="D21" s="44"/>
      <c r="E21" s="44"/>
      <c r="F21" s="44"/>
      <c r="G21" s="4"/>
      <c r="H21" s="92"/>
      <c r="M21" t="e">
        <f t="shared" si="0"/>
        <v>#REF!</v>
      </c>
      <c r="N21" t="e">
        <f>SUM(#REF!)</f>
        <v>#REF!</v>
      </c>
      <c r="O21" t="e">
        <f>SUM(#REF!)</f>
        <v>#REF!</v>
      </c>
      <c r="Q21" t="e">
        <f t="shared" si="1"/>
        <v>#REF!</v>
      </c>
    </row>
    <row r="22" spans="1:19" x14ac:dyDescent="0.25">
      <c r="A22" s="41"/>
      <c r="B22" s="90" t="s">
        <v>0</v>
      </c>
      <c r="C22" s="44"/>
      <c r="D22" s="44"/>
      <c r="E22" s="44"/>
      <c r="F22" s="44"/>
      <c r="G22" s="4"/>
      <c r="H22" s="92"/>
      <c r="M22" t="e">
        <f t="shared" si="0"/>
        <v>#REF!</v>
      </c>
      <c r="N22" t="e">
        <f>SUM(#REF!)</f>
        <v>#REF!</v>
      </c>
      <c r="O22" t="e">
        <f>SUM(#REF!)</f>
        <v>#REF!</v>
      </c>
      <c r="Q22" t="e">
        <f t="shared" si="1"/>
        <v>#REF!</v>
      </c>
    </row>
    <row r="23" spans="1:19" x14ac:dyDescent="0.25">
      <c r="A23" s="41"/>
      <c r="B23" s="90" t="s">
        <v>38</v>
      </c>
      <c r="C23" s="44"/>
      <c r="D23" s="44"/>
      <c r="E23" s="44"/>
      <c r="F23" s="44"/>
      <c r="G23" s="4"/>
      <c r="H23" s="92"/>
      <c r="M23" t="e">
        <f t="shared" si="0"/>
        <v>#REF!</v>
      </c>
      <c r="N23" t="e">
        <f>SUM(#REF!)</f>
        <v>#REF!</v>
      </c>
      <c r="O23" t="e">
        <f>SUM(#REF!)</f>
        <v>#REF!</v>
      </c>
      <c r="Q23" t="e">
        <f t="shared" si="1"/>
        <v>#REF!</v>
      </c>
    </row>
    <row r="24" spans="1:19" x14ac:dyDescent="0.25">
      <c r="A24" s="41"/>
      <c r="B24" s="90" t="s">
        <v>39</v>
      </c>
      <c r="C24" s="44"/>
      <c r="D24" s="44"/>
      <c r="E24" s="44"/>
      <c r="F24" s="44"/>
      <c r="G24" s="4"/>
      <c r="H24" s="92"/>
      <c r="M24" t="e">
        <f t="shared" si="0"/>
        <v>#REF!</v>
      </c>
      <c r="N24" t="e">
        <f>SUM(#REF!)</f>
        <v>#REF!</v>
      </c>
      <c r="O24" t="e">
        <f>SUM(#REF!)</f>
        <v>#REF!</v>
      </c>
      <c r="Q24" t="e">
        <f t="shared" si="1"/>
        <v>#REF!</v>
      </c>
    </row>
    <row r="25" spans="1:19" x14ac:dyDescent="0.25">
      <c r="A25" s="41"/>
      <c r="B25" s="90" t="s">
        <v>40</v>
      </c>
      <c r="C25" s="44"/>
      <c r="D25" s="44"/>
      <c r="E25" s="44"/>
      <c r="F25" s="44"/>
      <c r="G25" s="4"/>
      <c r="H25" s="92"/>
      <c r="M25" t="e">
        <f t="shared" si="0"/>
        <v>#REF!</v>
      </c>
      <c r="N25" t="e">
        <f>SUM(#REF!)</f>
        <v>#REF!</v>
      </c>
      <c r="O25" t="e">
        <f>SUM(#REF!)</f>
        <v>#REF!</v>
      </c>
      <c r="Q25" t="e">
        <f t="shared" si="1"/>
        <v>#REF!</v>
      </c>
    </row>
    <row r="26" spans="1:19" x14ac:dyDescent="0.25">
      <c r="A26" s="41"/>
      <c r="B26" s="90" t="s">
        <v>43</v>
      </c>
      <c r="C26" s="44"/>
      <c r="D26" s="44"/>
      <c r="E26" s="44"/>
      <c r="F26" s="44"/>
      <c r="G26" s="4"/>
      <c r="H26" s="92"/>
      <c r="M26" t="e">
        <f t="shared" si="0"/>
        <v>#REF!</v>
      </c>
      <c r="N26" t="e">
        <f>SUM(#REF!)</f>
        <v>#REF!</v>
      </c>
      <c r="O26" t="e">
        <f>SUM(#REF!)</f>
        <v>#REF!</v>
      </c>
      <c r="Q26" t="e">
        <f t="shared" si="1"/>
        <v>#REF!</v>
      </c>
    </row>
    <row r="27" spans="1:19" x14ac:dyDescent="0.25">
      <c r="A27" s="41"/>
      <c r="B27" s="90" t="s">
        <v>45</v>
      </c>
      <c r="C27" s="44"/>
      <c r="D27" s="44"/>
      <c r="E27" s="44"/>
      <c r="F27" s="44"/>
      <c r="G27" s="4"/>
      <c r="H27" s="92"/>
      <c r="M27" t="e">
        <f t="shared" si="0"/>
        <v>#REF!</v>
      </c>
      <c r="N27" t="e">
        <f>SUM(#REF!)</f>
        <v>#REF!</v>
      </c>
      <c r="O27" t="e">
        <f>SUM(#REF!)</f>
        <v>#REF!</v>
      </c>
      <c r="Q27" t="e">
        <f t="shared" si="1"/>
        <v>#REF!</v>
      </c>
    </row>
    <row r="28" spans="1:19" x14ac:dyDescent="0.25">
      <c r="A28" s="41"/>
      <c r="B28" s="93"/>
      <c r="C28" s="44"/>
      <c r="D28" s="44"/>
      <c r="E28" s="44"/>
      <c r="F28" s="44"/>
      <c r="G28" s="4"/>
      <c r="H28" s="92"/>
      <c r="M28" t="e">
        <f t="shared" si="0"/>
        <v>#REF!</v>
      </c>
      <c r="N28" t="e">
        <f>SUM(#REF!)</f>
        <v>#REF!</v>
      </c>
      <c r="O28" t="e">
        <f>SUM(#REF!)</f>
        <v>#REF!</v>
      </c>
      <c r="Q28" t="e">
        <f t="shared" si="1"/>
        <v>#REF!</v>
      </c>
    </row>
    <row r="29" spans="1:19" x14ac:dyDescent="0.25">
      <c r="A29" s="41"/>
      <c r="B29" s="93"/>
      <c r="C29" s="44"/>
      <c r="D29" s="44"/>
      <c r="E29" s="44"/>
      <c r="F29" s="44"/>
      <c r="G29" s="4"/>
      <c r="H29" s="92"/>
      <c r="M29" t="e">
        <f t="shared" si="0"/>
        <v>#REF!</v>
      </c>
      <c r="N29" t="e">
        <f>SUM(#REF!)</f>
        <v>#REF!</v>
      </c>
      <c r="O29" t="e">
        <f>SUM(#REF!)</f>
        <v>#REF!</v>
      </c>
      <c r="Q29" t="e">
        <f t="shared" si="1"/>
        <v>#REF!</v>
      </c>
    </row>
    <row r="30" spans="1:19" x14ac:dyDescent="0.25">
      <c r="A30" s="41"/>
      <c r="B30" s="93"/>
      <c r="C30" s="44"/>
      <c r="D30" s="44"/>
      <c r="E30" s="44"/>
      <c r="F30" s="44"/>
      <c r="G30" s="4"/>
      <c r="H30" s="92"/>
      <c r="M30" t="e">
        <f t="shared" si="0"/>
        <v>#REF!</v>
      </c>
      <c r="N30" t="e">
        <f>SUM(#REF!)</f>
        <v>#REF!</v>
      </c>
      <c r="O30" t="e">
        <f>SUM(#REF!)</f>
        <v>#REF!</v>
      </c>
      <c r="Q30" t="e">
        <f t="shared" si="1"/>
        <v>#REF!</v>
      </c>
    </row>
    <row r="31" spans="1:19" x14ac:dyDescent="0.25">
      <c r="A31" s="41"/>
      <c r="B31" s="93"/>
      <c r="C31" s="44"/>
      <c r="D31" s="44"/>
      <c r="E31" s="44"/>
      <c r="F31" s="44"/>
      <c r="G31" s="4"/>
      <c r="H31" s="92"/>
      <c r="M31" t="e">
        <f t="shared" si="0"/>
        <v>#REF!</v>
      </c>
      <c r="N31" t="e">
        <f>SUM(#REF!)</f>
        <v>#REF!</v>
      </c>
      <c r="O31" t="e">
        <f>SUM(#REF!)</f>
        <v>#REF!</v>
      </c>
      <c r="Q31" t="e">
        <f t="shared" si="1"/>
        <v>#REF!</v>
      </c>
    </row>
    <row r="32" spans="1:19" x14ac:dyDescent="0.25">
      <c r="B32" s="94"/>
      <c r="C32" s="4"/>
      <c r="D32" s="4"/>
      <c r="E32" s="4"/>
      <c r="F32" s="4"/>
      <c r="G32" s="4"/>
      <c r="H32" s="92"/>
      <c r="M32" t="e">
        <f t="shared" si="0"/>
        <v>#REF!</v>
      </c>
      <c r="N32" t="e">
        <f>SUM(#REF!)</f>
        <v>#REF!</v>
      </c>
      <c r="O32" t="e">
        <f>SUM(#REF!)</f>
        <v>#REF!</v>
      </c>
      <c r="Q32" t="e">
        <f t="shared" si="1"/>
        <v>#REF!</v>
      </c>
    </row>
    <row r="33" spans="2:17" x14ac:dyDescent="0.25">
      <c r="B33" s="94"/>
      <c r="C33" s="4"/>
      <c r="D33" s="4"/>
      <c r="E33" s="4"/>
      <c r="F33" s="4"/>
      <c r="G33" s="4"/>
      <c r="H33" s="92"/>
      <c r="M33" t="e">
        <f t="shared" si="0"/>
        <v>#REF!</v>
      </c>
      <c r="N33" t="e">
        <f>SUM(#REF!)</f>
        <v>#REF!</v>
      </c>
      <c r="O33" t="e">
        <f>SUM(#REF!)</f>
        <v>#REF!</v>
      </c>
      <c r="Q33" t="e">
        <f t="shared" si="1"/>
        <v>#REF!</v>
      </c>
    </row>
    <row r="34" spans="2:17" ht="15.75" thickBot="1" x14ac:dyDescent="0.3">
      <c r="B34" s="95"/>
      <c r="C34" s="96"/>
      <c r="D34" s="96"/>
      <c r="E34" s="96"/>
      <c r="F34" s="96"/>
      <c r="G34" s="96"/>
      <c r="H34" s="97"/>
      <c r="M34" t="e">
        <f t="shared" si="0"/>
        <v>#REF!</v>
      </c>
      <c r="N34" t="e">
        <f>SUM(#REF!)</f>
        <v>#REF!</v>
      </c>
      <c r="O34" t="e">
        <f>SUM(#REF!)</f>
        <v>#REF!</v>
      </c>
      <c r="Q34" t="e">
        <f t="shared" si="1"/>
        <v>#REF!</v>
      </c>
    </row>
    <row r="35" spans="2:17" x14ac:dyDescent="0.25">
      <c r="M35" t="e">
        <f t="shared" si="0"/>
        <v>#REF!</v>
      </c>
      <c r="N35" t="e">
        <f>SUM(#REF!)</f>
        <v>#REF!</v>
      </c>
      <c r="O35" t="e">
        <f>SUM(#REF!)</f>
        <v>#REF!</v>
      </c>
      <c r="Q35" t="e">
        <f t="shared" si="1"/>
        <v>#REF!</v>
      </c>
    </row>
    <row r="36" spans="2:17" x14ac:dyDescent="0.25">
      <c r="M36" t="e">
        <f t="shared" si="0"/>
        <v>#REF!</v>
      </c>
      <c r="N36" t="e">
        <f>SUM(#REF!)</f>
        <v>#REF!</v>
      </c>
      <c r="O36" t="e">
        <f>SUM(#REF!)</f>
        <v>#REF!</v>
      </c>
      <c r="Q36" t="e">
        <f t="shared" si="1"/>
        <v>#REF!</v>
      </c>
    </row>
    <row r="37" spans="2:17" x14ac:dyDescent="0.25">
      <c r="M37" t="e">
        <f t="shared" si="0"/>
        <v>#REF!</v>
      </c>
      <c r="N37" t="e">
        <f>SUM(#REF!)</f>
        <v>#REF!</v>
      </c>
      <c r="O37" t="e">
        <f>SUM(#REF!)</f>
        <v>#REF!</v>
      </c>
      <c r="Q37" t="e">
        <f t="shared" si="1"/>
        <v>#REF!</v>
      </c>
    </row>
    <row r="38" spans="2:17" x14ac:dyDescent="0.25">
      <c r="M38" t="e">
        <f t="shared" si="0"/>
        <v>#REF!</v>
      </c>
      <c r="N38" t="e">
        <f>SUM(#REF!)</f>
        <v>#REF!</v>
      </c>
      <c r="O38" t="e">
        <f>SUM(#REF!)</f>
        <v>#REF!</v>
      </c>
      <c r="Q38" t="e">
        <f t="shared" si="1"/>
        <v>#REF!</v>
      </c>
    </row>
    <row r="39" spans="2:17" x14ac:dyDescent="0.25">
      <c r="M39" t="e">
        <f t="shared" si="0"/>
        <v>#REF!</v>
      </c>
      <c r="N39" t="e">
        <f>SUM(#REF!)</f>
        <v>#REF!</v>
      </c>
      <c r="O39" t="e">
        <f>SUM(#REF!)</f>
        <v>#REF!</v>
      </c>
      <c r="Q39" t="e">
        <f t="shared" si="1"/>
        <v>#REF!</v>
      </c>
    </row>
    <row r="40" spans="2:17" x14ac:dyDescent="0.25">
      <c r="M40" t="e">
        <f t="shared" si="0"/>
        <v>#REF!</v>
      </c>
      <c r="N40" t="e">
        <f>SUM(#REF!)</f>
        <v>#REF!</v>
      </c>
      <c r="O40" t="e">
        <f>SUM(#REF!)</f>
        <v>#REF!</v>
      </c>
      <c r="Q40" t="e">
        <f t="shared" si="1"/>
        <v>#REF!</v>
      </c>
    </row>
    <row r="41" spans="2:17" x14ac:dyDescent="0.25">
      <c r="M41" t="e">
        <f t="shared" si="0"/>
        <v>#REF!</v>
      </c>
      <c r="N41" t="e">
        <f>SUM(#REF!)</f>
        <v>#REF!</v>
      </c>
      <c r="O41" t="e">
        <f>SUM(#REF!)</f>
        <v>#REF!</v>
      </c>
      <c r="Q41" t="e">
        <f t="shared" si="1"/>
        <v>#REF!</v>
      </c>
    </row>
    <row r="42" spans="2:17" x14ac:dyDescent="0.25">
      <c r="M42" t="e">
        <f t="shared" si="0"/>
        <v>#REF!</v>
      </c>
      <c r="N42" t="e">
        <f>SUM(#REF!)</f>
        <v>#REF!</v>
      </c>
      <c r="O42" t="e">
        <f>SUM(#REF!)</f>
        <v>#REF!</v>
      </c>
      <c r="Q42" t="e">
        <f t="shared" si="1"/>
        <v>#REF!</v>
      </c>
    </row>
    <row r="43" spans="2:17" x14ac:dyDescent="0.25">
      <c r="M43" t="e">
        <f t="shared" si="0"/>
        <v>#REF!</v>
      </c>
      <c r="N43" t="e">
        <f>SUM(#REF!)</f>
        <v>#REF!</v>
      </c>
      <c r="O43" t="e">
        <f>SUM(#REF!)</f>
        <v>#REF!</v>
      </c>
      <c r="Q43" t="e">
        <f t="shared" si="1"/>
        <v>#REF!</v>
      </c>
    </row>
    <row r="44" spans="2:17" x14ac:dyDescent="0.25">
      <c r="M44" t="e">
        <f t="shared" si="0"/>
        <v>#REF!</v>
      </c>
      <c r="N44" t="e">
        <f>SUM(#REF!)</f>
        <v>#REF!</v>
      </c>
      <c r="O44" t="e">
        <f>SUM(#REF!)</f>
        <v>#REF!</v>
      </c>
      <c r="Q44" t="e">
        <f t="shared" si="1"/>
        <v>#REF!</v>
      </c>
    </row>
    <row r="45" spans="2:17" x14ac:dyDescent="0.25">
      <c r="M45" t="e">
        <f t="shared" si="0"/>
        <v>#REF!</v>
      </c>
      <c r="N45" t="e">
        <f>SUM(#REF!)</f>
        <v>#REF!</v>
      </c>
      <c r="O45" t="e">
        <f>SUM(#REF!)</f>
        <v>#REF!</v>
      </c>
      <c r="Q45" t="e">
        <f t="shared" si="1"/>
        <v>#REF!</v>
      </c>
    </row>
    <row r="46" spans="2:17" x14ac:dyDescent="0.25">
      <c r="M46" t="e">
        <f t="shared" si="0"/>
        <v>#REF!</v>
      </c>
      <c r="N46" t="e">
        <f>SUM(#REF!)</f>
        <v>#REF!</v>
      </c>
      <c r="O46" t="e">
        <f>SUM(#REF!)</f>
        <v>#REF!</v>
      </c>
      <c r="Q46" t="e">
        <f t="shared" si="1"/>
        <v>#REF!</v>
      </c>
    </row>
    <row r="47" spans="2:17" x14ac:dyDescent="0.25">
      <c r="M47" t="e">
        <f t="shared" si="0"/>
        <v>#REF!</v>
      </c>
      <c r="N47" t="e">
        <f>SUM(#REF!)</f>
        <v>#REF!</v>
      </c>
      <c r="O47" t="e">
        <f>SUM(#REF!)</f>
        <v>#REF!</v>
      </c>
      <c r="Q47" t="e">
        <f t="shared" si="1"/>
        <v>#REF!</v>
      </c>
    </row>
    <row r="48" spans="2:17" x14ac:dyDescent="0.25">
      <c r="M48" t="e">
        <f t="shared" si="0"/>
        <v>#REF!</v>
      </c>
      <c r="N48" t="e">
        <f>SUM(#REF!)</f>
        <v>#REF!</v>
      </c>
      <c r="O48" t="e">
        <f>SUM(#REF!)</f>
        <v>#REF!</v>
      </c>
      <c r="Q48" t="e">
        <f t="shared" si="1"/>
        <v>#REF!</v>
      </c>
    </row>
    <row r="49" spans="13:17" x14ac:dyDescent="0.25">
      <c r="M49" t="e">
        <f t="shared" si="0"/>
        <v>#REF!</v>
      </c>
      <c r="N49" t="e">
        <f>SUM(#REF!)</f>
        <v>#REF!</v>
      </c>
      <c r="O49" t="e">
        <f>SUM(#REF!)</f>
        <v>#REF!</v>
      </c>
      <c r="Q49" t="e">
        <f t="shared" si="1"/>
        <v>#REF!</v>
      </c>
    </row>
    <row r="50" spans="13:17" x14ac:dyDescent="0.25">
      <c r="M50" t="e">
        <f t="shared" si="0"/>
        <v>#REF!</v>
      </c>
      <c r="N50" t="e">
        <f>SUM(#REF!)</f>
        <v>#REF!</v>
      </c>
      <c r="O50" t="e">
        <f>SUM(#REF!)</f>
        <v>#REF!</v>
      </c>
      <c r="Q50" t="e">
        <f t="shared" si="1"/>
        <v>#REF!</v>
      </c>
    </row>
    <row r="51" spans="13:17" x14ac:dyDescent="0.25">
      <c r="M51" t="e">
        <f t="shared" si="0"/>
        <v>#REF!</v>
      </c>
      <c r="N51" t="e">
        <f>SUM(#REF!)</f>
        <v>#REF!</v>
      </c>
      <c r="O51" t="e">
        <f>SUM(#REF!)</f>
        <v>#REF!</v>
      </c>
      <c r="Q51" t="e">
        <f t="shared" si="1"/>
        <v>#REF!</v>
      </c>
    </row>
  </sheetData>
  <mergeCells count="1">
    <mergeCell ref="B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Overview</vt:lpstr>
      <vt:lpstr>Savings</vt:lpstr>
      <vt:lpstr>Borrowers</vt:lpstr>
      <vt:lpstr>Revenues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2025-02-22T01:30:27Z</dcterms:modified>
</cp:coreProperties>
</file>