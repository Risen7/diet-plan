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AB6E41B1-004A-4383-B9A4-FFB22FF9F836}" xr6:coauthVersionLast="47" xr6:coauthVersionMax="47" xr10:uidLastSave="{00000000-0000-0000-0000-000000000000}"/>
  <bookViews>
    <workbookView xWindow="-120" yWindow="-120" windowWidth="29040" windowHeight="15720" tabRatio="593" xr2:uid="{00000000-000D-0000-FFFF-FFFF00000000}"/>
  </bookViews>
  <sheets>
    <sheet name="Home" sheetId="1" r:id="rId1"/>
    <sheet name="Savings" sheetId="2" r:id="rId2"/>
    <sheet name="data" sheetId="7" r:id="rId3"/>
    <sheet name="Borrowers" sheetId="4" r:id="rId4"/>
    <sheet name="Revenues" sheetId="5" r:id="rId5"/>
    <sheet name="LO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9" i="2" l="1"/>
  <c r="F100" i="2"/>
  <c r="G100" i="2" s="1"/>
  <c r="AA31" i="2" l="1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B15" i="2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W47" i="2" l="1"/>
  <c r="H47" i="2"/>
  <c r="P47" i="2"/>
  <c r="I47" i="2"/>
  <c r="L47" i="2"/>
  <c r="C47" i="2"/>
  <c r="J47" i="2"/>
  <c r="O47" i="2"/>
  <c r="V47" i="2"/>
  <c r="AA47" i="2"/>
  <c r="M47" i="2"/>
  <c r="E47" i="2"/>
  <c r="U47" i="2"/>
  <c r="F47" i="2"/>
  <c r="G47" i="2"/>
  <c r="K47" i="2"/>
  <c r="X47" i="2"/>
  <c r="Y47" i="2"/>
  <c r="N47" i="2"/>
  <c r="Q47" i="2"/>
  <c r="Z47" i="2"/>
  <c r="D47" i="2"/>
  <c r="R47" i="2"/>
  <c r="T47" i="2"/>
  <c r="S47" i="2"/>
  <c r="B47" i="2"/>
</calcChain>
</file>

<file path=xl/sharedStrings.xml><?xml version="1.0" encoding="utf-8"?>
<sst xmlns="http://schemas.openxmlformats.org/spreadsheetml/2006/main" count="182" uniqueCount="64">
  <si>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</si>
  <si>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</si>
  <si>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</si>
  <si>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</si>
  <si>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</si>
  <si>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</si>
  <si>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</si>
  <si>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</si>
  <si>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</si>
  <si>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</si>
  <si>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</si>
  <si>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</si>
  <si>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</si>
  <si>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</si>
  <si>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</si>
  <si>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</si>
  <si>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</si>
  <si>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</si>
  <si>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</si>
  <si>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</si>
  <si>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</si>
  <si>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</si>
  <si>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</si>
  <si>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</si>
  <si>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</si>
  <si>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</si>
  <si>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</si>
  <si>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</si>
  <si>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</si>
  <si>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</si>
  <si>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</si>
  <si>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</si>
  <si>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</si>
  <si>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</si>
  <si>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</si>
  <si>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</si>
  <si>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</si>
  <si>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</si>
  <si>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</si>
  <si>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</si>
  <si>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</si>
  <si>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</si>
  <si>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</si>
  <si>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</si>
  <si>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</si>
  <si>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</si>
  <si>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</si>
  <si>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</si>
  <si>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</si>
  <si>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</si>
  <si>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</si>
  <si>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</si>
  <si>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YEAR</t>
  </si>
  <si>
    <t>arow</t>
  </si>
  <si>
    <t>2014 - 1st Half</t>
  </si>
  <si>
    <t>2014 - 2nd Half</t>
  </si>
  <si>
    <t>1st Half</t>
  </si>
  <si>
    <t>2nd Half</t>
  </si>
  <si>
    <t>KFC Member</t>
  </si>
  <si>
    <t>sdfdg</t>
  </si>
  <si>
    <t>fdgf</t>
  </si>
  <si>
    <t>dfg</t>
  </si>
  <si>
    <t>dfgfd</t>
  </si>
  <si>
    <t>fdg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</si>
</sst>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5" borderId="1" xfId="0" applyFill="1" applyBorder="1"/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0" fillId="6" borderId="0" xfId="0" applyFill="1"/>
    <xf numFmtId="164" fontId="0" fillId="0" borderId="0" xfId="0" applyNumberFormat="1"/>
    <xf numFmtId="0" fontId="0" fillId="5" borderId="2" xfId="0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0" fontId="0" fillId="7" borderId="1" xfId="0" applyFill="1" applyBorder="1"/>
    <xf numFmtId="0" fontId="0" fillId="8" borderId="0" xfId="0" applyFill="1"/>
    <xf numFmtId="0" fontId="0" fillId="5" borderId="0" xfId="0" applyFill="1"/>
    <xf numFmtId="0" fontId="3" fillId="9" borderId="0" xfId="0" applyFont="1" applyFill="1"/>
    <xf numFmtId="0" fontId="0" fillId="9" borderId="0" xfId="0" applyFill="1"/>
    <xf numFmtId="22" fontId="0" fillId="0" borderId="1" xfId="0" applyNumberFormat="1" applyBorder="1"/>
    <xf numFmtId="0" fontId="0" fillId="10" borderId="1" xfId="0" applyFill="1" applyBorder="1"/>
    <xf numFmtId="0" fontId="0" fillId="11" borderId="1" xfId="0" applyFill="1" applyBorder="1"/>
    <xf numFmtId="22" fontId="0" fillId="5" borderId="1" xfId="0" applyNumberFormat="1" applyFill="1" applyBorder="1"/>
    <xf numFmtId="0" fontId="0" fillId="2" borderId="3" xfId="0" applyNumberFormat="1" applyFill="1" applyBorder="1" applyAlignment="1">
      <alignment horizontal="center" vertical="center"/>
    </xf>
    <xf numFmtId="0" fontId="1" fillId="4" borderId="5" xfId="0" applyFont="1" applyFill="1" applyBorder="1"/>
    <xf numFmtId="0" fontId="3" fillId="9" borderId="1" xfId="0" applyFont="1" applyFill="1" applyBorder="1"/>
    <xf numFmtId="0" fontId="0" fillId="9" borderId="1" xfId="0" applyFill="1" applyBorder="1"/>
    <xf numFmtId="0" fontId="2" fillId="6" borderId="6" xfId="0" applyFont="1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164" fontId="2" fillId="3" borderId="7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9" xfId="0" applyNumberFormat="1" applyFont="1" applyFill="1" applyBorder="1" applyAlignment="1">
      <alignment horizontal="center"/>
    </xf>
    <xf numFmtId="0" fontId="0" fillId="13" borderId="1" xfId="0" applyFill="1" applyBorder="1"/>
    <xf numFmtId="0" fontId="4" fillId="0" borderId="0" xfId="0" applyFont="1"/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133350</xdr:rowOff>
        </xdr:from>
        <xdr:to>
          <xdr:col>8</xdr:col>
          <xdr:colOff>466725</xdr:colOff>
          <xdr:row>15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152400</xdr:rowOff>
        </xdr:from>
        <xdr:to>
          <xdr:col>8</xdr:col>
          <xdr:colOff>457200</xdr:colOff>
          <xdr:row>18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</xdr:colOff>
      <xdr:row>2</xdr:row>
      <xdr:rowOff>146665</xdr:rowOff>
    </xdr:from>
    <xdr:to>
      <xdr:col>10</xdr:col>
      <xdr:colOff>245747</xdr:colOff>
      <xdr:row>10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527665"/>
          <a:ext cx="3007997" cy="138686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3</xdr:row>
      <xdr:rowOff>171451</xdr:rowOff>
    </xdr:from>
    <xdr:to>
      <xdr:col>22</xdr:col>
      <xdr:colOff>171450</xdr:colOff>
      <xdr:row>17</xdr:row>
      <xdr:rowOff>28719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742951"/>
          <a:ext cx="5019675" cy="25242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tabSelected="1" workbookViewId="0">
      <selection activeCell="Y9" sqref="Y9"/>
    </sheetView>
  </sheetViews>
  <sheetFormatPr defaultRowHeight="15" x14ac:dyDescent="0.25"/>
  <cols>
    <col min="1" max="1" width="3.7109375" customWidth="1"/>
    <col min="3" max="3" width="7" customWidth="1"/>
    <col min="7" max="7" width="5.28515625" customWidth="1"/>
    <col min="13" max="13" width="3.85546875" customWidth="1"/>
  </cols>
  <sheetData>
    <row r="1" spans="1:15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5" x14ac:dyDescent="0.25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5"/>
    </row>
    <row r="3" spans="1:15" x14ac:dyDescent="0.25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5"/>
    </row>
    <row r="4" spans="1:15" x14ac:dyDescent="0.25">
      <c r="A4" s="15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5"/>
    </row>
    <row r="5" spans="1:15" x14ac:dyDescent="0.25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5"/>
    </row>
    <row r="6" spans="1:15" x14ac:dyDescent="0.25">
      <c r="A6" s="15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5"/>
    </row>
    <row r="7" spans="1:15" x14ac:dyDescent="0.25">
      <c r="A7" s="15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5"/>
    </row>
    <row r="8" spans="1:15" x14ac:dyDescent="0.25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5"/>
    </row>
    <row r="9" spans="1:15" x14ac:dyDescent="0.25">
      <c r="A9" s="15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5"/>
    </row>
    <row r="10" spans="1:15" x14ac:dyDescent="0.25">
      <c r="A10" s="15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5"/>
      <c r="O10" s="1"/>
    </row>
    <row r="11" spans="1:15" x14ac:dyDescent="0.25">
      <c r="A11" s="15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5"/>
    </row>
    <row r="12" spans="1:15" x14ac:dyDescent="0.25">
      <c r="A12" s="15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5"/>
    </row>
    <row r="13" spans="1:15" x14ac:dyDescent="0.25">
      <c r="A13" s="15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5"/>
    </row>
    <row r="14" spans="1:15" x14ac:dyDescent="0.25">
      <c r="A14" s="15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5"/>
    </row>
    <row r="15" spans="1:15" x14ac:dyDescent="0.25">
      <c r="A15" s="15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5"/>
    </row>
    <row r="16" spans="1:15" x14ac:dyDescent="0.25">
      <c r="A16" s="15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5"/>
    </row>
    <row r="17" spans="1:13" x14ac:dyDescent="0.25">
      <c r="A17" s="1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5"/>
    </row>
    <row r="18" spans="1:13" x14ac:dyDescent="0.25">
      <c r="A18" s="15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5"/>
    </row>
    <row r="19" spans="1:13" x14ac:dyDescent="0.25">
      <c r="A19" s="15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5"/>
    </row>
    <row r="20" spans="1:13" x14ac:dyDescent="0.2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5"/>
    </row>
    <row r="21" spans="1:13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13</xdr:row>
                <xdr:rowOff>133350</xdr:rowOff>
              </from>
              <to>
                <xdr:col>8</xdr:col>
                <xdr:colOff>466725</xdr:colOff>
                <xdr:row>15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16</xdr:row>
                <xdr:rowOff>152400</xdr:rowOff>
              </from>
              <to>
                <xdr:col>8</xdr:col>
                <xdr:colOff>457200</xdr:colOff>
                <xdr:row>18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zoomScale="70" zoomScaleNormal="70" workbookViewId="0">
      <pane xSplit="1" ySplit="2" topLeftCell="B91" activePane="bottomRight" state="frozen"/>
      <selection pane="topRight" activeCell="B1" sqref="B1"/>
      <selection pane="bottomLeft" activeCell="A3" sqref="A3"/>
      <selection pane="bottomRight" activeCell="D78" sqref="D78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7" ht="15.75" thickBot="1" x14ac:dyDescent="0.3">
      <c r="A1" s="23" t="s">
        <v>50</v>
      </c>
    </row>
    <row r="2" spans="1:27" ht="15.75" thickBot="1" x14ac:dyDescent="0.3">
      <c r="A2" s="24" t="s">
        <v>4</v>
      </c>
      <c r="B2" s="5" t="s">
        <v>47</v>
      </c>
      <c r="C2" s="17" t="s">
        <v>21</v>
      </c>
      <c r="D2" s="25" t="s">
        <v>22</v>
      </c>
      <c r="E2" s="26" t="s">
        <v>23</v>
      </c>
      <c r="F2" s="26" t="s">
        <v>24</v>
      </c>
      <c r="G2" s="26" t="s">
        <v>25</v>
      </c>
      <c r="H2" s="26" t="s">
        <v>26</v>
      </c>
      <c r="I2" s="26" t="s">
        <v>27</v>
      </c>
      <c r="J2" s="26" t="s">
        <v>28</v>
      </c>
      <c r="K2" s="26" t="s">
        <v>29</v>
      </c>
      <c r="L2" s="26" t="s">
        <v>20</v>
      </c>
      <c r="M2" s="26" t="s">
        <v>30</v>
      </c>
      <c r="N2" s="26" t="s">
        <v>31</v>
      </c>
      <c r="O2" s="26" t="s">
        <v>32</v>
      </c>
      <c r="P2" s="26" t="s">
        <v>33</v>
      </c>
      <c r="Q2" s="26" t="s">
        <v>34</v>
      </c>
      <c r="R2" s="26" t="s">
        <v>35</v>
      </c>
      <c r="S2" s="26" t="s">
        <v>36</v>
      </c>
      <c r="T2" s="26" t="s">
        <v>37</v>
      </c>
      <c r="U2" s="26" t="s">
        <v>6</v>
      </c>
      <c r="V2" s="26" t="s">
        <v>0</v>
      </c>
      <c r="W2" s="26" t="s">
        <v>38</v>
      </c>
      <c r="X2" s="26" t="s">
        <v>39</v>
      </c>
      <c r="Y2" s="26" t="s">
        <v>40</v>
      </c>
      <c r="Z2" s="26" t="s">
        <v>44</v>
      </c>
      <c r="AA2" s="26" t="s">
        <v>46</v>
      </c>
    </row>
    <row r="3" spans="1:27" x14ac:dyDescent="0.25">
      <c r="A3" s="30">
        <v>41820</v>
      </c>
      <c r="B3" s="28">
        <v>35435</v>
      </c>
      <c r="C3">
        <v>300000</v>
      </c>
      <c r="D3" s="5">
        <v>19310</v>
      </c>
      <c r="E3" s="5">
        <v>53240</v>
      </c>
      <c r="F3" s="5">
        <v>68745</v>
      </c>
      <c r="G3" s="5">
        <v>95733</v>
      </c>
      <c r="H3" s="5">
        <v>65667</v>
      </c>
      <c r="I3" s="5">
        <v>157226</v>
      </c>
      <c r="J3" s="5">
        <v>3834</v>
      </c>
      <c r="K3" s="5">
        <v>134305</v>
      </c>
      <c r="L3" s="5">
        <v>45065</v>
      </c>
      <c r="M3" s="5">
        <v>44500</v>
      </c>
      <c r="N3" s="5">
        <v>25672</v>
      </c>
      <c r="O3" s="5">
        <v>5000</v>
      </c>
      <c r="P3" s="5">
        <v>14070</v>
      </c>
      <c r="Q3" s="5">
        <v>175629</v>
      </c>
      <c r="R3" s="5">
        <v>5000</v>
      </c>
      <c r="S3" s="5">
        <v>157027</v>
      </c>
      <c r="T3" s="5">
        <v>66164</v>
      </c>
      <c r="U3" s="5">
        <v>5000</v>
      </c>
      <c r="V3" s="5">
        <v>3000</v>
      </c>
      <c r="W3" s="5">
        <v>5000</v>
      </c>
      <c r="X3" s="5">
        <v>5000</v>
      </c>
      <c r="Y3" s="5">
        <v>5000</v>
      </c>
      <c r="Z3" s="5">
        <v>0</v>
      </c>
      <c r="AA3" s="5"/>
    </row>
    <row r="4" spans="1:27" x14ac:dyDescent="0.25">
      <c r="A4" s="31">
        <v>41835</v>
      </c>
      <c r="B4" s="28">
        <v>234234</v>
      </c>
      <c r="C4">
        <v>0</v>
      </c>
      <c r="D4" s="5">
        <v>0</v>
      </c>
      <c r="E4" s="5">
        <v>3000</v>
      </c>
      <c r="F4" s="5">
        <v>3000</v>
      </c>
      <c r="G4" s="5">
        <v>2000</v>
      </c>
      <c r="H4" s="5">
        <v>0</v>
      </c>
      <c r="I4" s="5">
        <v>3000</v>
      </c>
      <c r="J4" s="5">
        <v>0</v>
      </c>
      <c r="K4" s="5">
        <v>3000</v>
      </c>
      <c r="L4" s="5">
        <v>500</v>
      </c>
      <c r="M4" s="5">
        <v>500</v>
      </c>
      <c r="N4" s="5">
        <v>500</v>
      </c>
      <c r="O4" s="5">
        <v>1000</v>
      </c>
      <c r="P4" s="5">
        <v>0</v>
      </c>
      <c r="Q4" s="5">
        <v>3000</v>
      </c>
      <c r="R4" s="5">
        <v>0</v>
      </c>
      <c r="S4" s="5">
        <v>0</v>
      </c>
      <c r="T4" s="5">
        <v>2000</v>
      </c>
      <c r="U4" s="5">
        <v>2000</v>
      </c>
      <c r="V4" s="5">
        <v>2000</v>
      </c>
      <c r="W4" s="5">
        <v>2000</v>
      </c>
      <c r="X4" s="5">
        <v>3000</v>
      </c>
      <c r="Y4" s="5">
        <v>3000</v>
      </c>
      <c r="Z4" s="5">
        <v>0</v>
      </c>
      <c r="AA4" s="5"/>
    </row>
    <row r="5" spans="1:27" x14ac:dyDescent="0.25">
      <c r="A5" s="31">
        <v>41850</v>
      </c>
      <c r="B5" s="28">
        <v>23423</v>
      </c>
      <c r="C5">
        <v>0</v>
      </c>
      <c r="D5" s="5">
        <v>0</v>
      </c>
      <c r="E5" s="5">
        <v>3000</v>
      </c>
      <c r="F5" s="5">
        <v>3000</v>
      </c>
      <c r="G5" s="5">
        <v>2000</v>
      </c>
      <c r="H5" s="5">
        <v>0</v>
      </c>
      <c r="I5" s="5">
        <v>3000</v>
      </c>
      <c r="J5" s="5">
        <v>0</v>
      </c>
      <c r="K5" s="5">
        <v>3000</v>
      </c>
      <c r="L5" s="5">
        <v>500</v>
      </c>
      <c r="M5" s="5">
        <v>500</v>
      </c>
      <c r="N5" s="5">
        <v>500</v>
      </c>
      <c r="O5" s="5">
        <v>0</v>
      </c>
      <c r="P5" s="5">
        <v>0</v>
      </c>
      <c r="Q5" s="5">
        <v>3000</v>
      </c>
      <c r="R5" s="5">
        <v>0</v>
      </c>
      <c r="S5" s="5">
        <v>1000</v>
      </c>
      <c r="T5" s="5">
        <v>2000</v>
      </c>
      <c r="U5" s="5">
        <v>2000</v>
      </c>
      <c r="V5" s="5">
        <v>1500</v>
      </c>
      <c r="W5" s="5">
        <v>2000</v>
      </c>
      <c r="X5" s="5">
        <v>3000</v>
      </c>
      <c r="Y5" s="5">
        <v>3000</v>
      </c>
      <c r="Z5" s="5"/>
      <c r="AA5" s="5"/>
    </row>
    <row r="6" spans="1:27" x14ac:dyDescent="0.25">
      <c r="A6" s="31">
        <v>41866</v>
      </c>
      <c r="B6" s="28">
        <v>23423</v>
      </c>
      <c r="C6">
        <v>0</v>
      </c>
      <c r="D6" s="5">
        <v>0</v>
      </c>
      <c r="E6" s="5">
        <v>-17000</v>
      </c>
      <c r="F6" s="5">
        <v>3000</v>
      </c>
      <c r="G6" s="5">
        <v>2000</v>
      </c>
      <c r="H6" s="5">
        <v>0</v>
      </c>
      <c r="I6" s="5">
        <v>3000</v>
      </c>
      <c r="J6" s="5">
        <v>0</v>
      </c>
      <c r="K6" s="5">
        <v>3000</v>
      </c>
      <c r="L6" s="5">
        <v>500</v>
      </c>
      <c r="M6" s="5">
        <v>500</v>
      </c>
      <c r="N6" s="5">
        <v>0</v>
      </c>
      <c r="O6" s="5">
        <v>0</v>
      </c>
      <c r="P6" s="5">
        <v>0</v>
      </c>
      <c r="Q6" s="5">
        <v>3000</v>
      </c>
      <c r="R6" s="5">
        <v>3000</v>
      </c>
      <c r="S6" s="5">
        <v>3000</v>
      </c>
      <c r="T6" s="5">
        <v>2000</v>
      </c>
      <c r="U6" s="5">
        <v>2000</v>
      </c>
      <c r="V6" s="5">
        <v>1500</v>
      </c>
      <c r="W6" s="5">
        <v>3000</v>
      </c>
      <c r="X6" s="5">
        <v>3000</v>
      </c>
      <c r="Y6" s="5">
        <v>3000</v>
      </c>
      <c r="Z6" s="5"/>
      <c r="AA6" s="5"/>
    </row>
    <row r="7" spans="1:27" x14ac:dyDescent="0.25">
      <c r="A7" s="31">
        <v>41881</v>
      </c>
      <c r="B7" s="28">
        <v>32423</v>
      </c>
      <c r="C7">
        <v>0</v>
      </c>
      <c r="D7" s="5">
        <v>0</v>
      </c>
      <c r="E7" s="5">
        <v>0</v>
      </c>
      <c r="F7" s="5">
        <v>3000</v>
      </c>
      <c r="G7" s="5">
        <v>2000</v>
      </c>
      <c r="H7" s="5">
        <v>0</v>
      </c>
      <c r="I7" s="5">
        <v>3000</v>
      </c>
      <c r="J7" s="5">
        <v>500</v>
      </c>
      <c r="K7" s="5">
        <v>3000</v>
      </c>
      <c r="L7" s="5">
        <v>500</v>
      </c>
      <c r="M7" s="5">
        <v>500</v>
      </c>
      <c r="N7" s="5">
        <v>0</v>
      </c>
      <c r="O7" s="5">
        <v>0</v>
      </c>
      <c r="P7" s="5">
        <v>0</v>
      </c>
      <c r="Q7" s="5">
        <v>3000</v>
      </c>
      <c r="R7" s="5">
        <v>0</v>
      </c>
      <c r="S7" s="5">
        <v>2000</v>
      </c>
      <c r="T7" s="5">
        <v>2000</v>
      </c>
      <c r="U7" s="5">
        <v>2000</v>
      </c>
      <c r="V7" s="5">
        <v>1000</v>
      </c>
      <c r="W7" s="5">
        <v>3000</v>
      </c>
      <c r="X7" s="5">
        <v>3000</v>
      </c>
      <c r="Y7" s="5">
        <v>3000</v>
      </c>
      <c r="Z7" s="5"/>
      <c r="AA7" s="5"/>
    </row>
    <row r="8" spans="1:27" x14ac:dyDescent="0.25">
      <c r="A8" s="31">
        <v>41897</v>
      </c>
      <c r="B8" s="28">
        <v>23423</v>
      </c>
      <c r="C8">
        <v>0</v>
      </c>
      <c r="D8" s="5">
        <v>0</v>
      </c>
      <c r="E8" s="5">
        <v>3000</v>
      </c>
      <c r="F8" s="5">
        <v>3000</v>
      </c>
      <c r="G8" s="5">
        <v>1000</v>
      </c>
      <c r="H8" s="5">
        <v>0</v>
      </c>
      <c r="I8" s="5">
        <v>3000</v>
      </c>
      <c r="J8" s="5">
        <v>0</v>
      </c>
      <c r="K8" s="5">
        <v>3000</v>
      </c>
      <c r="L8" s="5">
        <v>500</v>
      </c>
      <c r="M8" s="5">
        <v>500</v>
      </c>
      <c r="N8" s="5">
        <v>0</v>
      </c>
      <c r="O8" s="5">
        <v>0</v>
      </c>
      <c r="P8" s="5">
        <v>0</v>
      </c>
      <c r="Q8" s="5">
        <v>3000</v>
      </c>
      <c r="R8" s="5">
        <v>0</v>
      </c>
      <c r="S8" s="5">
        <v>1000</v>
      </c>
      <c r="T8" s="5">
        <v>2000</v>
      </c>
      <c r="U8" s="5">
        <v>2000</v>
      </c>
      <c r="V8" s="5">
        <v>2000</v>
      </c>
      <c r="W8" s="5">
        <v>3000</v>
      </c>
      <c r="X8" s="5">
        <v>3000</v>
      </c>
      <c r="Y8" s="5">
        <v>3000</v>
      </c>
      <c r="Z8" s="5"/>
      <c r="AA8" s="5"/>
    </row>
    <row r="9" spans="1:27" x14ac:dyDescent="0.25">
      <c r="A9" s="31">
        <v>41912</v>
      </c>
      <c r="B9" s="28">
        <v>2342</v>
      </c>
      <c r="C9">
        <v>0</v>
      </c>
      <c r="D9" s="5">
        <v>0</v>
      </c>
      <c r="E9" s="5">
        <v>3000</v>
      </c>
      <c r="F9" s="5">
        <v>3000</v>
      </c>
      <c r="G9" s="5">
        <v>2000</v>
      </c>
      <c r="H9" s="5">
        <v>0</v>
      </c>
      <c r="I9" s="5">
        <v>3000</v>
      </c>
      <c r="J9" s="5">
        <v>500</v>
      </c>
      <c r="K9" s="5">
        <v>3000</v>
      </c>
      <c r="L9" s="5">
        <v>500</v>
      </c>
      <c r="M9" s="5">
        <v>500</v>
      </c>
      <c r="N9" s="5">
        <v>0</v>
      </c>
      <c r="O9" s="5">
        <v>0</v>
      </c>
      <c r="P9" s="5">
        <v>0</v>
      </c>
      <c r="Q9" s="5">
        <v>3000</v>
      </c>
      <c r="R9" s="5">
        <v>0</v>
      </c>
      <c r="S9" s="5">
        <v>2000</v>
      </c>
      <c r="T9" s="5">
        <v>2000</v>
      </c>
      <c r="U9" s="5">
        <v>2000</v>
      </c>
      <c r="V9" s="5">
        <v>2000</v>
      </c>
      <c r="W9" s="5">
        <v>3000</v>
      </c>
      <c r="X9" s="5">
        <v>3000</v>
      </c>
      <c r="Y9" s="5">
        <v>3000</v>
      </c>
      <c r="Z9" s="5"/>
      <c r="AA9" s="5"/>
    </row>
    <row r="10" spans="1:27" x14ac:dyDescent="0.25">
      <c r="A10" s="31">
        <v>41927</v>
      </c>
      <c r="B10" s="28">
        <v>234324</v>
      </c>
      <c r="C10">
        <v>0</v>
      </c>
      <c r="D10" s="5">
        <v>0</v>
      </c>
      <c r="E10" s="5">
        <v>3000</v>
      </c>
      <c r="F10" s="5">
        <v>3000</v>
      </c>
      <c r="G10" s="5">
        <v>1000</v>
      </c>
      <c r="H10" s="5">
        <v>0</v>
      </c>
      <c r="I10" s="5">
        <v>3000</v>
      </c>
      <c r="J10" s="5">
        <v>0</v>
      </c>
      <c r="K10" s="5">
        <v>3000</v>
      </c>
      <c r="L10" s="5">
        <v>500</v>
      </c>
      <c r="M10" s="5">
        <v>500</v>
      </c>
      <c r="N10" s="5">
        <v>500</v>
      </c>
      <c r="O10" s="5">
        <v>0</v>
      </c>
      <c r="P10" s="5">
        <v>0</v>
      </c>
      <c r="Q10" s="5">
        <v>3000</v>
      </c>
      <c r="R10" s="5">
        <v>500</v>
      </c>
      <c r="S10" s="5">
        <v>3000</v>
      </c>
      <c r="T10" s="5">
        <v>2000</v>
      </c>
      <c r="U10" s="5">
        <v>2000</v>
      </c>
      <c r="V10" s="5">
        <v>2000</v>
      </c>
      <c r="W10" s="5">
        <v>3000</v>
      </c>
      <c r="X10" s="5">
        <v>3000</v>
      </c>
      <c r="Y10" s="5">
        <v>3000</v>
      </c>
      <c r="Z10" s="5"/>
      <c r="AA10" s="5"/>
    </row>
    <row r="11" spans="1:27" x14ac:dyDescent="0.25">
      <c r="A11" s="31">
        <v>41942</v>
      </c>
      <c r="B11" s="28">
        <v>23432</v>
      </c>
      <c r="C11">
        <v>0</v>
      </c>
      <c r="D11" s="5">
        <v>0</v>
      </c>
      <c r="E11" s="5">
        <v>1000</v>
      </c>
      <c r="F11" s="5">
        <v>3000</v>
      </c>
      <c r="G11" s="5">
        <v>1000</v>
      </c>
      <c r="H11" s="5">
        <v>500</v>
      </c>
      <c r="I11" s="5">
        <v>3000</v>
      </c>
      <c r="J11" s="5">
        <v>0</v>
      </c>
      <c r="K11" s="5">
        <v>3000</v>
      </c>
      <c r="L11" s="5">
        <v>500</v>
      </c>
      <c r="M11" s="5">
        <v>500</v>
      </c>
      <c r="N11" s="5">
        <v>0</v>
      </c>
      <c r="O11" s="5">
        <v>0</v>
      </c>
      <c r="P11" s="5">
        <v>0</v>
      </c>
      <c r="Q11" s="5">
        <v>3000</v>
      </c>
      <c r="R11" s="5">
        <v>0</v>
      </c>
      <c r="S11" s="5">
        <v>3000</v>
      </c>
      <c r="T11" s="5">
        <v>2000</v>
      </c>
      <c r="U11" s="5">
        <v>2000</v>
      </c>
      <c r="V11" s="5">
        <v>2000</v>
      </c>
      <c r="W11" s="5">
        <v>0</v>
      </c>
      <c r="X11" s="5">
        <v>3000</v>
      </c>
      <c r="Y11" s="5">
        <v>3000</v>
      </c>
      <c r="Z11" s="5"/>
      <c r="AA11" s="5"/>
    </row>
    <row r="12" spans="1:27" x14ac:dyDescent="0.25">
      <c r="A12" s="31">
        <v>41958</v>
      </c>
      <c r="B12" s="28">
        <v>234234</v>
      </c>
      <c r="C12">
        <v>0</v>
      </c>
      <c r="D12" s="5">
        <v>500</v>
      </c>
      <c r="E12" s="5">
        <v>1000</v>
      </c>
      <c r="F12" s="5">
        <v>2000</v>
      </c>
      <c r="G12" s="5">
        <v>1000</v>
      </c>
      <c r="H12" s="5">
        <v>500</v>
      </c>
      <c r="I12" s="5">
        <v>3000</v>
      </c>
      <c r="J12" s="5">
        <v>0</v>
      </c>
      <c r="K12" s="5">
        <v>3000</v>
      </c>
      <c r="L12" s="5">
        <v>500</v>
      </c>
      <c r="M12" s="5">
        <v>500</v>
      </c>
      <c r="N12" s="5">
        <v>0</v>
      </c>
      <c r="O12" s="5">
        <v>0</v>
      </c>
      <c r="P12" s="5">
        <v>0</v>
      </c>
      <c r="Q12" s="5">
        <v>3000</v>
      </c>
      <c r="R12" s="5">
        <v>1000</v>
      </c>
      <c r="S12" s="5">
        <v>3000</v>
      </c>
      <c r="T12" s="5">
        <v>2000</v>
      </c>
      <c r="U12" s="5">
        <v>2000</v>
      </c>
      <c r="V12" s="5">
        <v>2000</v>
      </c>
      <c r="W12" s="5">
        <v>0</v>
      </c>
      <c r="X12" s="5">
        <v>3000</v>
      </c>
      <c r="Y12" s="5">
        <v>3000</v>
      </c>
      <c r="Z12" s="5"/>
      <c r="AA12" s="5"/>
    </row>
    <row r="13" spans="1:27" x14ac:dyDescent="0.25">
      <c r="A13" s="31">
        <v>41973</v>
      </c>
      <c r="B13" s="28">
        <v>23423423</v>
      </c>
      <c r="C13">
        <v>0</v>
      </c>
      <c r="D13" s="5">
        <v>500</v>
      </c>
      <c r="E13" s="5">
        <v>2000</v>
      </c>
      <c r="F13" s="5">
        <v>3000</v>
      </c>
      <c r="G13" s="5">
        <v>1000</v>
      </c>
      <c r="H13" s="5">
        <v>500</v>
      </c>
      <c r="I13" s="5">
        <v>3000</v>
      </c>
      <c r="J13" s="5">
        <v>0</v>
      </c>
      <c r="K13" s="5">
        <v>3000</v>
      </c>
      <c r="L13" s="5">
        <v>0</v>
      </c>
      <c r="M13" s="5">
        <v>500</v>
      </c>
      <c r="N13" s="5">
        <v>0</v>
      </c>
      <c r="O13" s="5">
        <v>0</v>
      </c>
      <c r="P13" s="5">
        <v>0</v>
      </c>
      <c r="Q13" s="5">
        <v>3000</v>
      </c>
      <c r="R13" s="5">
        <v>500</v>
      </c>
      <c r="S13" s="5">
        <v>3000</v>
      </c>
      <c r="T13" s="5">
        <v>2000</v>
      </c>
      <c r="U13" s="5">
        <v>2000</v>
      </c>
      <c r="V13" s="5">
        <v>2000</v>
      </c>
      <c r="W13" s="5">
        <v>3000</v>
      </c>
      <c r="X13" s="5">
        <v>3000</v>
      </c>
      <c r="Y13" s="5">
        <v>3000</v>
      </c>
      <c r="Z13" s="5"/>
      <c r="AA13" s="5"/>
    </row>
    <row r="14" spans="1:27" ht="15.75" thickBot="1" x14ac:dyDescent="0.3">
      <c r="A14" s="32">
        <v>41623</v>
      </c>
      <c r="B14" s="29">
        <v>234234</v>
      </c>
      <c r="C14">
        <v>0</v>
      </c>
      <c r="D14" s="5">
        <v>0</v>
      </c>
      <c r="E14" s="5">
        <v>2000</v>
      </c>
      <c r="F14" s="5">
        <v>3000</v>
      </c>
      <c r="G14" s="5">
        <v>1000</v>
      </c>
      <c r="H14" s="5">
        <v>500</v>
      </c>
      <c r="I14" s="5">
        <v>3000</v>
      </c>
      <c r="J14" s="5">
        <v>0</v>
      </c>
      <c r="K14" s="5">
        <v>3000</v>
      </c>
      <c r="L14" s="5">
        <v>0</v>
      </c>
      <c r="M14" s="5">
        <v>500</v>
      </c>
      <c r="N14" s="5">
        <v>0</v>
      </c>
      <c r="O14" s="5">
        <v>0</v>
      </c>
      <c r="P14" s="5">
        <v>0</v>
      </c>
      <c r="Q14" s="5">
        <v>3000</v>
      </c>
      <c r="R14" s="5">
        <v>500</v>
      </c>
      <c r="S14" s="5">
        <v>3000</v>
      </c>
      <c r="T14" s="5">
        <v>2000</v>
      </c>
      <c r="U14" s="5">
        <v>2000</v>
      </c>
      <c r="V14" s="5">
        <v>2000</v>
      </c>
      <c r="W14" s="5">
        <v>3000</v>
      </c>
      <c r="X14" s="5">
        <v>3000</v>
      </c>
      <c r="Y14" s="5">
        <v>3000</v>
      </c>
      <c r="Z14" s="5"/>
      <c r="AA14" s="5"/>
    </row>
    <row r="15" spans="1:27" ht="15.75" thickBot="1" x14ac:dyDescent="0.3">
      <c r="A15" s="27" t="s">
        <v>5</v>
      </c>
      <c r="B15">
        <f>SUM(B3:B14)</f>
        <v>24524350</v>
      </c>
      <c r="C15">
        <f t="shared" ref="C15:Z15" si="0">SUM(C3:C14)</f>
        <v>300000</v>
      </c>
      <c r="D15">
        <f t="shared" si="0"/>
        <v>20310</v>
      </c>
      <c r="E15">
        <f t="shared" si="0"/>
        <v>57240</v>
      </c>
      <c r="F15">
        <f t="shared" si="0"/>
        <v>100745</v>
      </c>
      <c r="G15">
        <f t="shared" si="0"/>
        <v>111733</v>
      </c>
      <c r="H15">
        <f t="shared" si="0"/>
        <v>67667</v>
      </c>
      <c r="I15">
        <f t="shared" si="0"/>
        <v>190226</v>
      </c>
      <c r="J15">
        <f t="shared" si="0"/>
        <v>4834</v>
      </c>
      <c r="K15">
        <f t="shared" si="0"/>
        <v>167305</v>
      </c>
      <c r="L15">
        <f t="shared" si="0"/>
        <v>49565</v>
      </c>
      <c r="M15">
        <f t="shared" si="0"/>
        <v>50000</v>
      </c>
      <c r="N15">
        <f t="shared" si="0"/>
        <v>27172</v>
      </c>
      <c r="O15">
        <f t="shared" si="0"/>
        <v>6000</v>
      </c>
      <c r="P15">
        <f t="shared" si="0"/>
        <v>14070</v>
      </c>
      <c r="Q15">
        <f t="shared" si="0"/>
        <v>208629</v>
      </c>
      <c r="R15">
        <f t="shared" si="0"/>
        <v>10500</v>
      </c>
      <c r="S15">
        <f t="shared" si="0"/>
        <v>181027</v>
      </c>
      <c r="T15">
        <f t="shared" si="0"/>
        <v>88164</v>
      </c>
      <c r="U15">
        <f t="shared" si="0"/>
        <v>27000</v>
      </c>
      <c r="V15">
        <f t="shared" si="0"/>
        <v>23000</v>
      </c>
      <c r="W15">
        <f t="shared" si="0"/>
        <v>30000</v>
      </c>
      <c r="X15">
        <f t="shared" si="0"/>
        <v>38000</v>
      </c>
      <c r="Y15">
        <f t="shared" si="0"/>
        <v>38000</v>
      </c>
      <c r="Z15">
        <f t="shared" si="0"/>
        <v>0</v>
      </c>
      <c r="AA15">
        <f>SUM(AB3:AB14)</f>
        <v>0</v>
      </c>
    </row>
    <row r="16" spans="1:27" ht="15.75" thickBot="1" x14ac:dyDescent="0.3">
      <c r="A16" s="34"/>
    </row>
    <row r="17" spans="1:32" ht="15.75" thickBot="1" x14ac:dyDescent="0.3">
      <c r="A17" s="23" t="s">
        <v>48</v>
      </c>
    </row>
    <row r="18" spans="1:32" ht="15.75" thickBot="1" x14ac:dyDescent="0.3">
      <c r="A18" s="24" t="s">
        <v>4</v>
      </c>
      <c r="B18" s="5" t="s">
        <v>47</v>
      </c>
      <c r="C18" s="25" t="s">
        <v>21</v>
      </c>
      <c r="D18" s="25" t="s">
        <v>22</v>
      </c>
      <c r="E18" s="26" t="s">
        <v>23</v>
      </c>
      <c r="F18" s="26" t="s">
        <v>24</v>
      </c>
      <c r="G18" s="26" t="s">
        <v>25</v>
      </c>
      <c r="H18" s="26" t="s">
        <v>26</v>
      </c>
      <c r="I18" s="26" t="s">
        <v>27</v>
      </c>
      <c r="J18" s="26" t="s">
        <v>28</v>
      </c>
      <c r="K18" s="26" t="s">
        <v>29</v>
      </c>
      <c r="L18" s="26" t="s">
        <v>20</v>
      </c>
      <c r="M18" s="26" t="s">
        <v>30</v>
      </c>
      <c r="N18" s="26" t="s">
        <v>31</v>
      </c>
      <c r="O18" s="26" t="s">
        <v>32</v>
      </c>
      <c r="P18" s="26" t="s">
        <v>33</v>
      </c>
      <c r="Q18" s="26" t="s">
        <v>34</v>
      </c>
      <c r="R18" s="26" t="s">
        <v>35</v>
      </c>
      <c r="S18" s="26" t="s">
        <v>36</v>
      </c>
      <c r="T18" s="26" t="s">
        <v>37</v>
      </c>
      <c r="U18" s="26" t="s">
        <v>6</v>
      </c>
      <c r="V18" s="26" t="s">
        <v>0</v>
      </c>
      <c r="W18" s="26" t="s">
        <v>38</v>
      </c>
      <c r="X18" s="26" t="s">
        <v>39</v>
      </c>
      <c r="Y18" s="26" t="s">
        <v>40</v>
      </c>
      <c r="Z18" s="26" t="s">
        <v>44</v>
      </c>
      <c r="AA18" s="26" t="s">
        <v>45</v>
      </c>
    </row>
    <row r="19" spans="1:32" x14ac:dyDescent="0.25">
      <c r="A19" s="30">
        <v>42003</v>
      </c>
      <c r="B19" s="28">
        <v>35435</v>
      </c>
      <c r="C19" s="5">
        <v>0</v>
      </c>
      <c r="D19" s="5">
        <v>0</v>
      </c>
      <c r="E19" s="5">
        <v>1000</v>
      </c>
      <c r="F19" s="5">
        <v>3000</v>
      </c>
      <c r="G19" s="5">
        <v>3000</v>
      </c>
      <c r="H19" s="5">
        <v>500</v>
      </c>
      <c r="I19" s="5">
        <v>3000</v>
      </c>
      <c r="J19" s="5">
        <v>0</v>
      </c>
      <c r="K19" s="5">
        <v>3000</v>
      </c>
      <c r="L19" s="5">
        <v>500</v>
      </c>
      <c r="M19" s="5">
        <v>500</v>
      </c>
      <c r="N19" s="5">
        <v>0</v>
      </c>
      <c r="O19" s="5">
        <v>0</v>
      </c>
      <c r="P19" s="5">
        <v>0</v>
      </c>
      <c r="Q19" s="5">
        <v>3000</v>
      </c>
      <c r="R19" s="5">
        <v>0</v>
      </c>
      <c r="S19" s="5">
        <v>3000</v>
      </c>
      <c r="T19" s="5">
        <v>3000</v>
      </c>
      <c r="U19" s="5">
        <v>2000</v>
      </c>
      <c r="V19" s="5">
        <v>0</v>
      </c>
      <c r="W19" s="5">
        <v>0</v>
      </c>
      <c r="X19" s="5">
        <v>3000</v>
      </c>
      <c r="Y19" s="5">
        <v>3000</v>
      </c>
      <c r="Z19" s="5"/>
      <c r="AA19" s="5"/>
    </row>
    <row r="20" spans="1:32" x14ac:dyDescent="0.25">
      <c r="A20" s="31">
        <v>41654</v>
      </c>
      <c r="B20" s="28">
        <v>234234</v>
      </c>
      <c r="C20" s="5">
        <v>0</v>
      </c>
      <c r="D20" s="5">
        <v>300</v>
      </c>
      <c r="E20" s="5">
        <v>1000</v>
      </c>
      <c r="F20" s="5">
        <v>3000</v>
      </c>
      <c r="G20" s="5">
        <v>3000</v>
      </c>
      <c r="H20" s="5">
        <v>500</v>
      </c>
      <c r="I20" s="5">
        <v>3000</v>
      </c>
      <c r="J20" s="5">
        <v>0</v>
      </c>
      <c r="K20" s="5">
        <v>3000</v>
      </c>
      <c r="L20" s="5">
        <v>0</v>
      </c>
      <c r="M20" s="5">
        <v>500</v>
      </c>
      <c r="N20" s="5">
        <v>0</v>
      </c>
      <c r="O20" s="5">
        <v>1000</v>
      </c>
      <c r="P20" s="5">
        <v>0</v>
      </c>
      <c r="Q20" s="5">
        <v>3000</v>
      </c>
      <c r="R20" s="5">
        <v>0</v>
      </c>
      <c r="S20" s="5">
        <v>3000</v>
      </c>
      <c r="T20" s="5">
        <v>3000</v>
      </c>
      <c r="U20" s="5">
        <v>2000</v>
      </c>
      <c r="V20" s="5">
        <v>2000</v>
      </c>
      <c r="W20" s="5">
        <v>0</v>
      </c>
      <c r="X20" s="5">
        <v>3000</v>
      </c>
      <c r="Y20" s="5">
        <v>3000</v>
      </c>
      <c r="Z20" s="5"/>
      <c r="AA20" s="5"/>
    </row>
    <row r="21" spans="1:32" x14ac:dyDescent="0.25">
      <c r="A21" s="31">
        <v>41669</v>
      </c>
      <c r="B21" s="28">
        <v>23423</v>
      </c>
      <c r="C21" s="5">
        <v>0</v>
      </c>
      <c r="D21" s="5">
        <v>300</v>
      </c>
      <c r="E21" s="5">
        <v>0</v>
      </c>
      <c r="F21" s="5">
        <v>1000</v>
      </c>
      <c r="G21" s="5">
        <v>3000</v>
      </c>
      <c r="H21" s="5">
        <v>500</v>
      </c>
      <c r="I21" s="5">
        <v>3000</v>
      </c>
      <c r="J21" s="5">
        <v>0</v>
      </c>
      <c r="K21" s="5">
        <v>3000</v>
      </c>
      <c r="L21" s="5">
        <v>0</v>
      </c>
      <c r="M21" s="5">
        <v>500</v>
      </c>
      <c r="N21" s="5">
        <v>0</v>
      </c>
      <c r="O21" s="5">
        <v>1000</v>
      </c>
      <c r="P21" s="5">
        <v>0</v>
      </c>
      <c r="Q21" s="5">
        <v>3000</v>
      </c>
      <c r="R21" s="5">
        <v>0</v>
      </c>
      <c r="S21" s="5">
        <v>3000</v>
      </c>
      <c r="T21" s="5">
        <v>3000</v>
      </c>
      <c r="U21" s="5">
        <v>2000</v>
      </c>
      <c r="V21" s="5">
        <v>2000</v>
      </c>
      <c r="W21" s="5">
        <v>0</v>
      </c>
      <c r="X21" s="5">
        <v>3000</v>
      </c>
      <c r="Y21" s="5">
        <v>3000</v>
      </c>
      <c r="Z21" s="5"/>
      <c r="AA21" s="5"/>
    </row>
    <row r="22" spans="1:32" x14ac:dyDescent="0.25">
      <c r="A22" s="31">
        <v>41685</v>
      </c>
      <c r="B22" s="28">
        <v>23423</v>
      </c>
      <c r="C22" s="5">
        <v>0</v>
      </c>
      <c r="D22" s="5">
        <v>300</v>
      </c>
      <c r="E22" s="5">
        <v>1500</v>
      </c>
      <c r="F22" s="5">
        <v>1000</v>
      </c>
      <c r="G22" s="5">
        <v>3000</v>
      </c>
      <c r="H22" s="5">
        <v>500</v>
      </c>
      <c r="I22" s="5">
        <v>3000</v>
      </c>
      <c r="J22" s="5">
        <v>0</v>
      </c>
      <c r="K22" s="5">
        <v>3000</v>
      </c>
      <c r="L22" s="5">
        <v>500</v>
      </c>
      <c r="M22" s="5">
        <v>500</v>
      </c>
      <c r="N22" s="5">
        <v>0</v>
      </c>
      <c r="O22" s="5">
        <v>500</v>
      </c>
      <c r="P22" s="5">
        <v>0</v>
      </c>
      <c r="Q22" s="5">
        <v>3000</v>
      </c>
      <c r="R22" s="5">
        <v>410</v>
      </c>
      <c r="S22" s="5">
        <v>3000</v>
      </c>
      <c r="T22" s="5">
        <v>3000</v>
      </c>
      <c r="U22" s="5">
        <v>2000</v>
      </c>
      <c r="V22" s="5">
        <v>0</v>
      </c>
      <c r="W22" s="5">
        <v>0</v>
      </c>
      <c r="X22" s="5">
        <v>3000</v>
      </c>
      <c r="Y22" s="5">
        <v>3000</v>
      </c>
      <c r="Z22" s="5"/>
      <c r="AA22" s="5"/>
    </row>
    <row r="23" spans="1:32" x14ac:dyDescent="0.25">
      <c r="A23" s="31">
        <v>41698</v>
      </c>
      <c r="B23" s="28">
        <v>32423</v>
      </c>
      <c r="C23" s="5">
        <v>0</v>
      </c>
      <c r="D23" s="5">
        <v>0</v>
      </c>
      <c r="E23" s="5">
        <v>0</v>
      </c>
      <c r="F23" s="5">
        <v>1000</v>
      </c>
      <c r="G23" s="5">
        <v>3000</v>
      </c>
      <c r="H23" s="5">
        <v>0</v>
      </c>
      <c r="I23" s="5">
        <v>3000</v>
      </c>
      <c r="J23" s="5">
        <v>0</v>
      </c>
      <c r="K23" s="5">
        <v>3000</v>
      </c>
      <c r="L23" s="5">
        <v>500</v>
      </c>
      <c r="M23" s="5">
        <v>500</v>
      </c>
      <c r="N23" s="5">
        <v>0</v>
      </c>
      <c r="O23" s="5">
        <v>1000</v>
      </c>
      <c r="P23" s="5">
        <v>0</v>
      </c>
      <c r="Q23" s="5">
        <v>3000</v>
      </c>
      <c r="R23" s="5">
        <v>1000</v>
      </c>
      <c r="S23" s="5">
        <v>3000</v>
      </c>
      <c r="T23" s="5">
        <v>3000</v>
      </c>
      <c r="U23" s="5">
        <v>2000</v>
      </c>
      <c r="V23" s="5">
        <v>0</v>
      </c>
      <c r="W23" s="5">
        <v>2000</v>
      </c>
      <c r="X23" s="5">
        <v>3000</v>
      </c>
      <c r="Y23" s="5">
        <v>3000</v>
      </c>
      <c r="Z23" s="5"/>
      <c r="AA23" s="5"/>
      <c r="AF23">
        <v>1</v>
      </c>
    </row>
    <row r="24" spans="1:32" x14ac:dyDescent="0.25">
      <c r="A24" s="31">
        <v>41713</v>
      </c>
      <c r="B24" s="28">
        <v>23423</v>
      </c>
      <c r="C24" s="5">
        <v>0</v>
      </c>
      <c r="D24" s="5">
        <v>0</v>
      </c>
      <c r="E24" s="5">
        <v>0</v>
      </c>
      <c r="F24" s="5">
        <v>2000</v>
      </c>
      <c r="G24" s="5">
        <v>3000</v>
      </c>
      <c r="H24" s="5">
        <v>0</v>
      </c>
      <c r="I24" s="5">
        <v>3000</v>
      </c>
      <c r="J24" s="5">
        <v>0</v>
      </c>
      <c r="K24" s="5">
        <v>3000</v>
      </c>
      <c r="L24" s="5">
        <v>500</v>
      </c>
      <c r="M24" s="5">
        <v>500</v>
      </c>
      <c r="N24" s="5">
        <v>0</v>
      </c>
      <c r="O24" s="5">
        <v>0</v>
      </c>
      <c r="P24" s="5">
        <v>0</v>
      </c>
      <c r="Q24" s="5">
        <v>3000</v>
      </c>
      <c r="R24" s="5">
        <v>0</v>
      </c>
      <c r="S24" s="5">
        <v>0</v>
      </c>
      <c r="T24" s="5">
        <v>3000</v>
      </c>
      <c r="U24" s="5">
        <v>2000</v>
      </c>
      <c r="V24" s="5">
        <v>0</v>
      </c>
      <c r="W24" s="5">
        <v>0</v>
      </c>
      <c r="X24" s="5">
        <v>3000</v>
      </c>
      <c r="Y24" s="5">
        <v>3000</v>
      </c>
      <c r="Z24" s="5"/>
      <c r="AA24" s="5"/>
    </row>
    <row r="25" spans="1:32" x14ac:dyDescent="0.25">
      <c r="A25" s="31">
        <v>41728</v>
      </c>
      <c r="B25" s="28">
        <v>2342</v>
      </c>
      <c r="C25" s="5">
        <v>0</v>
      </c>
      <c r="D25" s="5">
        <v>0</v>
      </c>
      <c r="E25" s="5">
        <v>0</v>
      </c>
      <c r="F25" s="5">
        <v>1000</v>
      </c>
      <c r="G25" s="5">
        <v>3000</v>
      </c>
      <c r="H25" s="5">
        <v>0</v>
      </c>
      <c r="I25" s="5">
        <v>3000</v>
      </c>
      <c r="J25" s="5">
        <v>0</v>
      </c>
      <c r="K25" s="5">
        <v>3000</v>
      </c>
      <c r="L25" s="5">
        <v>500</v>
      </c>
      <c r="M25" s="5">
        <v>1000</v>
      </c>
      <c r="N25" s="5">
        <v>0</v>
      </c>
      <c r="O25" s="5">
        <v>1000</v>
      </c>
      <c r="P25" s="5">
        <v>0</v>
      </c>
      <c r="Q25" s="5">
        <v>3000</v>
      </c>
      <c r="R25" s="5">
        <v>0</v>
      </c>
      <c r="S25" s="5">
        <v>3000</v>
      </c>
      <c r="T25" s="5">
        <v>3000</v>
      </c>
      <c r="U25" s="5">
        <v>2000</v>
      </c>
      <c r="V25" s="5">
        <v>0</v>
      </c>
      <c r="W25" s="5">
        <v>3000</v>
      </c>
      <c r="X25" s="5">
        <v>3000</v>
      </c>
      <c r="Y25" s="5">
        <v>3000</v>
      </c>
      <c r="Z25" s="5"/>
      <c r="AA25" s="5"/>
    </row>
    <row r="26" spans="1:32" x14ac:dyDescent="0.25">
      <c r="A26" s="31">
        <v>41744</v>
      </c>
      <c r="B26" s="28">
        <v>234324</v>
      </c>
      <c r="C26" s="5">
        <v>0</v>
      </c>
      <c r="D26" s="5">
        <v>0</v>
      </c>
      <c r="E26" s="5">
        <v>0</v>
      </c>
      <c r="F26" s="5">
        <v>1000</v>
      </c>
      <c r="G26" s="5">
        <v>3000</v>
      </c>
      <c r="H26" s="5">
        <v>0</v>
      </c>
      <c r="I26" s="5">
        <v>3000</v>
      </c>
      <c r="J26" s="5">
        <v>0</v>
      </c>
      <c r="K26" s="5">
        <v>3000</v>
      </c>
      <c r="L26" s="5">
        <v>500</v>
      </c>
      <c r="M26" s="5">
        <v>1000</v>
      </c>
      <c r="N26" s="5">
        <v>0</v>
      </c>
      <c r="O26" s="5">
        <v>1000</v>
      </c>
      <c r="P26" s="5">
        <v>0</v>
      </c>
      <c r="Q26" s="5">
        <v>3000</v>
      </c>
      <c r="R26" s="5">
        <v>0</v>
      </c>
      <c r="S26" s="5">
        <v>3000</v>
      </c>
      <c r="T26" s="5">
        <v>3000</v>
      </c>
      <c r="U26" s="5">
        <v>2000</v>
      </c>
      <c r="V26" s="5">
        <v>0</v>
      </c>
      <c r="W26" s="5">
        <v>0</v>
      </c>
      <c r="X26" s="5">
        <v>3000</v>
      </c>
      <c r="Y26" s="5">
        <v>3000</v>
      </c>
      <c r="Z26" s="5"/>
      <c r="AA26" s="5"/>
    </row>
    <row r="27" spans="1:32" x14ac:dyDescent="0.25">
      <c r="A27" s="31">
        <v>41759</v>
      </c>
      <c r="B27" s="28">
        <v>23432</v>
      </c>
      <c r="C27" s="5">
        <v>0</v>
      </c>
      <c r="D27" s="5">
        <v>0</v>
      </c>
      <c r="E27" s="5">
        <v>0</v>
      </c>
      <c r="F27" s="5">
        <v>1000</v>
      </c>
      <c r="G27" s="5">
        <v>3000</v>
      </c>
      <c r="H27" s="5">
        <v>0</v>
      </c>
      <c r="I27" s="5">
        <v>3000</v>
      </c>
      <c r="J27" s="5">
        <v>0</v>
      </c>
      <c r="K27" s="5">
        <v>3000</v>
      </c>
      <c r="L27" s="5">
        <v>0</v>
      </c>
      <c r="M27" s="5">
        <v>1000</v>
      </c>
      <c r="N27" s="5">
        <v>0</v>
      </c>
      <c r="O27" s="5">
        <v>1000</v>
      </c>
      <c r="P27" s="5">
        <v>0</v>
      </c>
      <c r="Q27" s="5">
        <v>0</v>
      </c>
      <c r="R27" s="5">
        <v>0</v>
      </c>
      <c r="S27" s="5">
        <v>2000</v>
      </c>
      <c r="T27" s="5">
        <v>3000</v>
      </c>
      <c r="U27" s="5">
        <v>2000</v>
      </c>
      <c r="V27" s="5">
        <v>0</v>
      </c>
      <c r="W27" s="5">
        <v>1000</v>
      </c>
      <c r="X27" s="5">
        <v>3000</v>
      </c>
      <c r="Y27" s="5">
        <v>3000</v>
      </c>
      <c r="Z27" s="5"/>
      <c r="AA27" s="5"/>
    </row>
    <row r="28" spans="1:32" x14ac:dyDescent="0.25">
      <c r="A28" s="31">
        <v>41774</v>
      </c>
      <c r="B28" s="28">
        <v>234234</v>
      </c>
      <c r="C28" s="5">
        <v>0</v>
      </c>
      <c r="D28" s="5">
        <v>0</v>
      </c>
      <c r="E28" s="5">
        <v>1000</v>
      </c>
      <c r="F28" s="5">
        <v>1000</v>
      </c>
      <c r="G28" s="5">
        <v>3000</v>
      </c>
      <c r="H28" s="5">
        <v>0</v>
      </c>
      <c r="I28" s="5">
        <v>0</v>
      </c>
      <c r="J28" s="5">
        <v>0</v>
      </c>
      <c r="K28" s="5">
        <v>3000</v>
      </c>
      <c r="L28" s="5">
        <v>500</v>
      </c>
      <c r="M28" s="5">
        <v>1000</v>
      </c>
      <c r="N28" s="5">
        <v>0</v>
      </c>
      <c r="O28" s="5">
        <v>1000</v>
      </c>
      <c r="P28" s="5">
        <v>0</v>
      </c>
      <c r="Q28" s="5">
        <v>0</v>
      </c>
      <c r="R28" s="5">
        <v>0</v>
      </c>
      <c r="S28" s="5">
        <v>0</v>
      </c>
      <c r="T28" s="5">
        <v>3000</v>
      </c>
      <c r="U28" s="5">
        <v>0</v>
      </c>
      <c r="V28" s="5">
        <v>2000</v>
      </c>
      <c r="W28" s="5">
        <v>0</v>
      </c>
      <c r="X28" s="5">
        <v>3000</v>
      </c>
      <c r="Y28" s="5">
        <v>3000</v>
      </c>
      <c r="Z28" s="5"/>
      <c r="AA28" s="5"/>
    </row>
    <row r="29" spans="1:32" x14ac:dyDescent="0.25">
      <c r="A29" s="31">
        <v>41789</v>
      </c>
      <c r="B29" s="28">
        <v>23423423</v>
      </c>
      <c r="C29" s="5">
        <v>0</v>
      </c>
      <c r="D29" s="5">
        <v>0</v>
      </c>
      <c r="E29" s="5">
        <v>1000</v>
      </c>
      <c r="F29" s="5">
        <v>21000</v>
      </c>
      <c r="G29" s="5">
        <v>3000</v>
      </c>
      <c r="H29" s="5">
        <v>0</v>
      </c>
      <c r="I29" s="5">
        <v>26861</v>
      </c>
      <c r="J29" s="5">
        <v>-5829</v>
      </c>
      <c r="K29" s="5">
        <v>52662</v>
      </c>
      <c r="L29" s="5">
        <v>500</v>
      </c>
      <c r="M29" s="5">
        <v>11000</v>
      </c>
      <c r="N29" s="5">
        <v>0</v>
      </c>
      <c r="O29" s="5">
        <v>2919</v>
      </c>
      <c r="P29" s="5">
        <v>0</v>
      </c>
      <c r="Q29" s="5">
        <v>4908</v>
      </c>
      <c r="R29" s="5">
        <v>2611</v>
      </c>
      <c r="S29" s="5">
        <v>41124</v>
      </c>
      <c r="T29" s="5">
        <v>18000</v>
      </c>
      <c r="U29" s="5">
        <v>13235</v>
      </c>
      <c r="V29" s="5">
        <v>7543</v>
      </c>
      <c r="W29" s="5">
        <v>8662</v>
      </c>
      <c r="X29" s="5">
        <v>18367</v>
      </c>
      <c r="Y29" s="5">
        <v>18618</v>
      </c>
      <c r="Z29" s="5"/>
      <c r="AA29" s="5"/>
    </row>
    <row r="30" spans="1:32" ht="15.75" thickBot="1" x14ac:dyDescent="0.3">
      <c r="A30" s="32">
        <v>41805</v>
      </c>
      <c r="B30" s="29">
        <v>234234</v>
      </c>
      <c r="C30" s="5">
        <v>0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</row>
    <row r="31" spans="1:32" ht="15.75" thickBot="1" x14ac:dyDescent="0.3">
      <c r="A31" s="27" t="s">
        <v>5</v>
      </c>
      <c r="B31">
        <f>SUM(B19:B30)</f>
        <v>24524350</v>
      </c>
      <c r="C31">
        <f t="shared" ref="C31" si="1">SUM(C19:C30)</f>
        <v>0</v>
      </c>
      <c r="D31">
        <f t="shared" ref="D31" si="2">SUM(D19:D30)</f>
        <v>900</v>
      </c>
      <c r="E31">
        <f t="shared" ref="E31" si="3">SUM(E19:E30)</f>
        <v>5500</v>
      </c>
      <c r="F31">
        <f t="shared" ref="F31" si="4">SUM(F19:F30)</f>
        <v>36000</v>
      </c>
      <c r="G31">
        <f t="shared" ref="G31" si="5">SUM(G19:G30)</f>
        <v>33000</v>
      </c>
      <c r="H31">
        <f t="shared" ref="H31" si="6">SUM(H19:H30)</f>
        <v>2000</v>
      </c>
      <c r="I31">
        <f t="shared" ref="I31" si="7">SUM(I19:I30)</f>
        <v>53861</v>
      </c>
      <c r="J31">
        <f t="shared" ref="J31" si="8">SUM(J19:J30)</f>
        <v>-5829</v>
      </c>
      <c r="K31">
        <f t="shared" ref="K31" si="9">SUM(K19:K30)</f>
        <v>82662</v>
      </c>
      <c r="L31">
        <f t="shared" ref="L31" si="10">SUM(L19:L30)</f>
        <v>4000</v>
      </c>
      <c r="M31">
        <f t="shared" ref="M31" si="11">SUM(M19:M30)</f>
        <v>18000</v>
      </c>
      <c r="N31">
        <f t="shared" ref="N31" si="12">SUM(N19:N30)</f>
        <v>0</v>
      </c>
      <c r="O31">
        <f t="shared" ref="O31" si="13">SUM(O19:O30)</f>
        <v>10419</v>
      </c>
      <c r="P31">
        <f t="shared" ref="P31" si="14">SUM(P19:P30)</f>
        <v>0</v>
      </c>
      <c r="Q31">
        <f t="shared" ref="Q31" si="15">SUM(Q19:Q30)</f>
        <v>28908</v>
      </c>
      <c r="R31">
        <f t="shared" ref="R31" si="16">SUM(R19:R30)</f>
        <v>4021</v>
      </c>
      <c r="S31">
        <f t="shared" ref="S31" si="17">SUM(S19:S30)</f>
        <v>64124</v>
      </c>
      <c r="T31">
        <f t="shared" ref="T31" si="18">SUM(T19:T30)</f>
        <v>48000</v>
      </c>
      <c r="U31">
        <f t="shared" ref="U31" si="19">SUM(U19:U30)</f>
        <v>31235</v>
      </c>
      <c r="V31">
        <f t="shared" ref="V31" si="20">SUM(V19:V30)</f>
        <v>13543</v>
      </c>
      <c r="W31">
        <f t="shared" ref="W31" si="21">SUM(W19:W30)</f>
        <v>14662</v>
      </c>
      <c r="X31">
        <f t="shared" ref="X31" si="22">SUM(X19:X30)</f>
        <v>48367</v>
      </c>
      <c r="Y31">
        <f t="shared" ref="Y31" si="23">SUM(Y19:Y30)</f>
        <v>48618</v>
      </c>
      <c r="Z31">
        <f t="shared" ref="Z31" si="24">SUM(Z19:Z30)</f>
        <v>0</v>
      </c>
      <c r="AA31">
        <f t="shared" ref="AA31" si="25">SUM(AA19:AA30)</f>
        <v>0</v>
      </c>
    </row>
    <row r="32" spans="1:32" ht="15.75" thickBot="1" x14ac:dyDescent="0.3">
      <c r="A32" s="34"/>
    </row>
    <row r="33" spans="1:27" ht="15.75" thickBot="1" x14ac:dyDescent="0.3">
      <c r="A33" s="23" t="s">
        <v>49</v>
      </c>
    </row>
    <row r="34" spans="1:27" ht="15.75" thickBot="1" x14ac:dyDescent="0.3">
      <c r="A34" s="40" t="s">
        <v>4</v>
      </c>
      <c r="B34" s="5" t="s">
        <v>47</v>
      </c>
      <c r="C34" s="25" t="s">
        <v>21</v>
      </c>
      <c r="D34" s="25" t="s">
        <v>22</v>
      </c>
      <c r="E34" s="26" t="s">
        <v>23</v>
      </c>
      <c r="F34" s="26" t="s">
        <v>24</v>
      </c>
      <c r="G34" s="26" t="s">
        <v>25</v>
      </c>
      <c r="H34" s="26" t="s">
        <v>26</v>
      </c>
      <c r="I34" s="26" t="s">
        <v>27</v>
      </c>
      <c r="J34" s="26" t="s">
        <v>28</v>
      </c>
      <c r="K34" s="26" t="s">
        <v>29</v>
      </c>
      <c r="L34" s="26" t="s">
        <v>20</v>
      </c>
      <c r="M34" s="26" t="s">
        <v>30</v>
      </c>
      <c r="N34" s="26" t="s">
        <v>31</v>
      </c>
      <c r="O34" s="26" t="s">
        <v>32</v>
      </c>
      <c r="P34" s="26" t="s">
        <v>33</v>
      </c>
      <c r="Q34" s="26" t="s">
        <v>34</v>
      </c>
      <c r="R34" s="26" t="s">
        <v>35</v>
      </c>
      <c r="S34" s="26" t="s">
        <v>36</v>
      </c>
      <c r="T34" s="26" t="s">
        <v>37</v>
      </c>
      <c r="U34" s="26" t="s">
        <v>6</v>
      </c>
      <c r="V34" s="26" t="s">
        <v>0</v>
      </c>
      <c r="W34" s="26" t="s">
        <v>38</v>
      </c>
      <c r="X34" s="26" t="s">
        <v>39</v>
      </c>
      <c r="Y34" s="26" t="s">
        <v>40</v>
      </c>
      <c r="Z34" s="26" t="s">
        <v>44</v>
      </c>
      <c r="AA34" s="26" t="s">
        <v>45</v>
      </c>
    </row>
    <row r="35" spans="1:27" x14ac:dyDescent="0.25">
      <c r="A35" s="41">
        <v>41820</v>
      </c>
      <c r="B35" s="28">
        <v>35435</v>
      </c>
      <c r="C35" s="5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25">
      <c r="A36" s="42">
        <v>41835</v>
      </c>
      <c r="B36" s="28">
        <v>234234</v>
      </c>
      <c r="C36" s="5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</row>
    <row r="37" spans="1:27" x14ac:dyDescent="0.25">
      <c r="A37" s="42">
        <v>41850</v>
      </c>
      <c r="B37" s="28">
        <v>23423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1:27" x14ac:dyDescent="0.25">
      <c r="A38" s="42">
        <v>41866</v>
      </c>
      <c r="B38" s="28">
        <v>23423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</row>
    <row r="39" spans="1:27" x14ac:dyDescent="0.25">
      <c r="A39" s="42">
        <v>41881</v>
      </c>
      <c r="B39" s="28">
        <v>32423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</row>
    <row r="40" spans="1:27" x14ac:dyDescent="0.25">
      <c r="A40" s="42">
        <v>41897</v>
      </c>
      <c r="B40" s="28">
        <v>23423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</row>
    <row r="41" spans="1:27" x14ac:dyDescent="0.25">
      <c r="A41" s="42">
        <v>41912</v>
      </c>
      <c r="B41" s="28">
        <v>2342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42">
        <v>41927</v>
      </c>
      <c r="B42" s="28">
        <v>234324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x14ac:dyDescent="0.25">
      <c r="A43" s="42">
        <v>41942</v>
      </c>
      <c r="B43" s="28">
        <v>23432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x14ac:dyDescent="0.25">
      <c r="A44" s="42">
        <v>41958</v>
      </c>
      <c r="B44" s="28">
        <v>234234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27" x14ac:dyDescent="0.25">
      <c r="A45" s="42">
        <v>41973</v>
      </c>
      <c r="B45" s="28">
        <v>23423423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27" ht="15.75" thickBot="1" x14ac:dyDescent="0.3">
      <c r="A46" s="43">
        <v>41623</v>
      </c>
      <c r="B46" s="29">
        <v>234234</v>
      </c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</row>
    <row r="47" spans="1:27" ht="15.75" thickBot="1" x14ac:dyDescent="0.3">
      <c r="A47" s="27" t="s">
        <v>5</v>
      </c>
      <c r="B47">
        <f t="shared" ref="B47:AA47" si="26">SUM(B35:B46)</f>
        <v>24524350</v>
      </c>
      <c r="C47">
        <f t="shared" si="26"/>
        <v>0</v>
      </c>
      <c r="D47">
        <f t="shared" si="26"/>
        <v>0</v>
      </c>
      <c r="E47">
        <f t="shared" si="26"/>
        <v>0</v>
      </c>
      <c r="F47">
        <f t="shared" si="26"/>
        <v>0</v>
      </c>
      <c r="G47">
        <f t="shared" si="26"/>
        <v>0</v>
      </c>
      <c r="H47">
        <f t="shared" si="26"/>
        <v>0</v>
      </c>
      <c r="I47">
        <f t="shared" si="26"/>
        <v>0</v>
      </c>
      <c r="J47">
        <f t="shared" si="26"/>
        <v>0</v>
      </c>
      <c r="K47">
        <f t="shared" si="26"/>
        <v>0</v>
      </c>
      <c r="L47">
        <f t="shared" si="26"/>
        <v>0</v>
      </c>
      <c r="M47">
        <f t="shared" si="26"/>
        <v>0</v>
      </c>
      <c r="N47">
        <f t="shared" si="26"/>
        <v>0</v>
      </c>
      <c r="O47">
        <f t="shared" si="26"/>
        <v>0</v>
      </c>
      <c r="P47">
        <f t="shared" si="26"/>
        <v>0</v>
      </c>
      <c r="Q47">
        <f t="shared" si="26"/>
        <v>0</v>
      </c>
      <c r="R47">
        <f t="shared" si="26"/>
        <v>0</v>
      </c>
      <c r="S47">
        <f t="shared" si="26"/>
        <v>0</v>
      </c>
      <c r="T47">
        <f t="shared" si="26"/>
        <v>0</v>
      </c>
      <c r="U47">
        <f t="shared" si="26"/>
        <v>0</v>
      </c>
      <c r="V47">
        <f t="shared" si="26"/>
        <v>0</v>
      </c>
      <c r="W47">
        <f t="shared" si="26"/>
        <v>0</v>
      </c>
      <c r="X47">
        <f t="shared" si="26"/>
        <v>0</v>
      </c>
      <c r="Y47">
        <f t="shared" si="26"/>
        <v>0</v>
      </c>
      <c r="Z47">
        <f t="shared" si="26"/>
        <v>0</v>
      </c>
      <c r="AA47">
        <f t="shared" si="26"/>
        <v>0</v>
      </c>
    </row>
    <row r="67" spans="3:32" x14ac:dyDescent="0.25">
      <c r="AF67" s="2"/>
    </row>
    <row r="68" spans="3:32" x14ac:dyDescent="0.25">
      <c r="AF68" s="2"/>
    </row>
    <row r="69" spans="3:32" x14ac:dyDescent="0.25">
      <c r="AF69" s="2"/>
    </row>
    <row r="70" spans="3:32" x14ac:dyDescent="0.25">
      <c r="AF70" s="2"/>
    </row>
    <row r="71" spans="3:32" x14ac:dyDescent="0.25">
      <c r="AF71" s="2"/>
    </row>
    <row r="73" spans="3:32" x14ac:dyDescent="0.25">
      <c r="AF73" s="2"/>
    </row>
    <row r="74" spans="3:32" x14ac:dyDescent="0.25">
      <c r="AF74" s="2"/>
    </row>
    <row r="75" spans="3:32" x14ac:dyDescent="0.25">
      <c r="AF75" s="2"/>
    </row>
    <row r="76" spans="3:32" x14ac:dyDescent="0.25">
      <c r="AF76" s="2"/>
    </row>
    <row r="77" spans="3:32" x14ac:dyDescent="0.25">
      <c r="AF77" s="2"/>
    </row>
    <row r="78" spans="3:32" x14ac:dyDescent="0.25">
      <c r="AF78" s="2"/>
    </row>
    <row r="79" spans="3:32" x14ac:dyDescent="0.25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AF79" s="2"/>
    </row>
    <row r="80" spans="3:32" x14ac:dyDescent="0.25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AF80" s="2"/>
    </row>
    <row r="81" spans="1:32" x14ac:dyDescent="0.25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AF81" s="2"/>
    </row>
    <row r="82" spans="1:32" x14ac:dyDescent="0.25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AF82" s="2"/>
    </row>
    <row r="83" spans="1:32" x14ac:dyDescent="0.25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AF83" s="2"/>
    </row>
    <row r="84" spans="1:32" x14ac:dyDescent="0.25">
      <c r="A84" s="3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AF84" s="2"/>
    </row>
    <row r="85" spans="1:32" x14ac:dyDescent="0.25">
      <c r="A85" s="38"/>
      <c r="B85" s="4"/>
      <c r="C85" s="4"/>
      <c r="D85" s="4"/>
      <c r="E85" s="4"/>
      <c r="F85" s="4"/>
      <c r="G85" s="4"/>
      <c r="H85" s="4"/>
      <c r="I85" s="4"/>
      <c r="J85" s="4"/>
      <c r="AF85" s="2"/>
    </row>
    <row r="86" spans="1:32" x14ac:dyDescent="0.25">
      <c r="A86" s="38"/>
      <c r="B86" s="4"/>
      <c r="C86" s="4"/>
      <c r="D86" s="4"/>
      <c r="E86" s="4"/>
      <c r="F86" s="4"/>
      <c r="G86" s="4"/>
      <c r="H86" s="4"/>
      <c r="I86" s="4"/>
      <c r="J86" s="4"/>
      <c r="AF86" s="2"/>
    </row>
    <row r="87" spans="1:32" x14ac:dyDescent="0.25">
      <c r="A87" s="38"/>
      <c r="B87" s="4"/>
      <c r="C87" s="4"/>
      <c r="D87" s="4"/>
      <c r="E87" s="4"/>
      <c r="F87" s="4"/>
      <c r="G87" s="4"/>
      <c r="H87" s="4"/>
      <c r="I87" s="4"/>
      <c r="J87" s="4"/>
      <c r="AF87" s="2"/>
    </row>
    <row r="88" spans="1:32" x14ac:dyDescent="0.25">
      <c r="A88" s="38"/>
      <c r="B88" s="4"/>
      <c r="C88" s="4"/>
      <c r="D88" s="4"/>
      <c r="E88" s="4"/>
      <c r="F88" s="4"/>
      <c r="G88" s="4"/>
      <c r="H88" s="4"/>
      <c r="I88" s="4"/>
      <c r="J88" s="4"/>
      <c r="AF88" s="2"/>
    </row>
    <row r="89" spans="1:32" x14ac:dyDescent="0.25">
      <c r="A89" s="38"/>
      <c r="B89" s="4"/>
      <c r="C89" s="4"/>
      <c r="D89" s="4"/>
      <c r="E89" s="4"/>
      <c r="F89" s="4"/>
      <c r="G89" s="4"/>
      <c r="H89" s="4"/>
      <c r="I89" s="4"/>
      <c r="J89" s="4"/>
      <c r="AF89" s="2"/>
    </row>
    <row r="90" spans="1:32" x14ac:dyDescent="0.25">
      <c r="A90" s="38"/>
      <c r="B90" s="4"/>
      <c r="C90" s="4"/>
      <c r="D90" s="4"/>
      <c r="E90" s="4"/>
      <c r="F90" s="4"/>
      <c r="G90" s="4"/>
      <c r="H90" s="4"/>
      <c r="I90" s="4"/>
      <c r="J90" s="4"/>
      <c r="AF90" s="2"/>
    </row>
    <row r="91" spans="1:32" x14ac:dyDescent="0.25">
      <c r="A91" s="38"/>
      <c r="B91" s="4"/>
      <c r="C91" s="4"/>
      <c r="D91" s="4"/>
      <c r="E91" s="4"/>
      <c r="F91" s="4"/>
      <c r="G91" s="4"/>
      <c r="H91" s="4"/>
      <c r="I91" s="4"/>
      <c r="J91" s="4"/>
      <c r="AF91" s="2"/>
    </row>
    <row r="92" spans="1:32" x14ac:dyDescent="0.25">
      <c r="A92" s="38"/>
      <c r="B92" s="4"/>
      <c r="C92" s="4"/>
      <c r="D92" s="4"/>
      <c r="E92" s="4"/>
      <c r="F92" s="4"/>
      <c r="G92" s="4"/>
      <c r="H92" s="4"/>
      <c r="I92" s="4"/>
      <c r="J92" s="4"/>
      <c r="AF92" s="2"/>
    </row>
    <row r="93" spans="1:32" x14ac:dyDescent="0.25">
      <c r="A93" s="38"/>
      <c r="B93" s="4"/>
      <c r="C93" s="4"/>
      <c r="D93" s="4"/>
      <c r="E93" s="4"/>
      <c r="F93" s="4"/>
      <c r="G93" s="4"/>
      <c r="H93" s="4"/>
      <c r="I93" s="4"/>
      <c r="J93" s="4"/>
      <c r="N93" t="s">
        <v>50</v>
      </c>
      <c r="AF93" s="2"/>
    </row>
    <row r="94" spans="1:32" x14ac:dyDescent="0.25">
      <c r="A94" s="38"/>
      <c r="B94" s="4"/>
      <c r="C94" s="4"/>
      <c r="D94" s="4"/>
      <c r="E94" s="4"/>
      <c r="F94" s="4"/>
      <c r="G94" s="4"/>
      <c r="H94" s="4"/>
      <c r="I94" s="4"/>
      <c r="J94" s="4"/>
      <c r="N94" t="s">
        <v>54</v>
      </c>
      <c r="AF94" s="2"/>
    </row>
    <row r="95" spans="1:32" x14ac:dyDescent="0.25">
      <c r="A95" s="38"/>
      <c r="B95" s="4"/>
      <c r="C95" s="4"/>
      <c r="D95" s="4"/>
      <c r="E95" s="4"/>
      <c r="F95" s="4"/>
      <c r="G95" s="4"/>
      <c r="H95" s="4"/>
      <c r="I95" s="4"/>
      <c r="J95" s="4"/>
      <c r="N95" t="s">
        <v>55</v>
      </c>
      <c r="AF95" s="2"/>
    </row>
    <row r="96" spans="1:32" x14ac:dyDescent="0.25">
      <c r="A96" s="38"/>
      <c r="B96" s="35"/>
      <c r="C96" s="35"/>
      <c r="D96" s="35"/>
      <c r="E96" s="35"/>
      <c r="F96" s="35"/>
      <c r="G96" s="35"/>
      <c r="H96" s="35"/>
      <c r="I96" s="35"/>
      <c r="J96" s="35"/>
      <c r="AF96" s="2"/>
    </row>
    <row r="97" spans="1:32" x14ac:dyDescent="0.25">
      <c r="A97" s="38"/>
      <c r="B97" s="35"/>
      <c r="C97" s="35"/>
      <c r="D97" s="35"/>
      <c r="E97" s="35"/>
      <c r="F97" s="35"/>
      <c r="G97" s="35"/>
      <c r="H97" s="35"/>
      <c r="I97" s="35"/>
      <c r="J97" s="35"/>
      <c r="AF97" s="2"/>
    </row>
    <row r="98" spans="1:32" x14ac:dyDescent="0.25">
      <c r="B98" s="36"/>
      <c r="C98" s="36"/>
      <c r="D98" s="36"/>
      <c r="E98" s="36"/>
      <c r="F98" s="36"/>
      <c r="G98" s="36"/>
      <c r="H98" s="36"/>
      <c r="I98" s="36"/>
      <c r="J98" s="36"/>
      <c r="AF98" s="2"/>
    </row>
    <row r="99" spans="1:32" x14ac:dyDescent="0.25">
      <c r="A99" s="37" t="s">
        <v>58</v>
      </c>
      <c r="B99" s="37" t="s">
        <v>52</v>
      </c>
      <c r="C99" s="38">
        <f>COUNTA(C2:AB2)</f>
        <v>25</v>
      </c>
      <c r="D99" s="38"/>
      <c r="E99" s="37" t="s">
        <v>17</v>
      </c>
      <c r="F99" s="37" t="s">
        <v>51</v>
      </c>
      <c r="G99" s="37" t="s">
        <v>53</v>
      </c>
      <c r="H99" s="37"/>
      <c r="I99" s="37"/>
      <c r="J99" s="38"/>
      <c r="K99">
        <f>COUNTA(A2:A95)</f>
        <v>44</v>
      </c>
      <c r="AF99" s="2"/>
    </row>
    <row r="100" spans="1:32" x14ac:dyDescent="0.25">
      <c r="A100" t="s">
        <v>21</v>
      </c>
      <c r="B100" s="38" t="s">
        <v>50</v>
      </c>
      <c r="C100" s="38" t="s">
        <v>1</v>
      </c>
      <c r="D100" s="38"/>
      <c r="E100" s="38">
        <v>16</v>
      </c>
      <c r="F100" s="38">
        <f>COUNTA(B100:B115)</f>
        <v>3</v>
      </c>
      <c r="G100" s="38">
        <f>E100 * F100</f>
        <v>48</v>
      </c>
      <c r="H100" s="38" t="s">
        <v>56</v>
      </c>
      <c r="J100" s="38"/>
      <c r="AF100" s="2"/>
    </row>
    <row r="101" spans="1:32" x14ac:dyDescent="0.25">
      <c r="A101" t="s">
        <v>22</v>
      </c>
      <c r="B101" s="38" t="s">
        <v>54</v>
      </c>
      <c r="C101" s="38" t="s">
        <v>3</v>
      </c>
      <c r="D101" s="38"/>
      <c r="E101" s="38"/>
      <c r="F101" s="38"/>
      <c r="G101" s="38"/>
      <c r="H101" s="38" t="s">
        <v>57</v>
      </c>
      <c r="J101" s="38"/>
      <c r="AF101" s="2"/>
    </row>
    <row r="102" spans="1:32" x14ac:dyDescent="0.25">
      <c r="A102" t="s">
        <v>23</v>
      </c>
      <c r="B102" s="38" t="s">
        <v>55</v>
      </c>
      <c r="C102" s="38" t="s">
        <v>2</v>
      </c>
      <c r="D102" s="38"/>
      <c r="E102" s="38"/>
      <c r="F102" s="38"/>
      <c r="G102" s="38"/>
      <c r="H102" s="38"/>
      <c r="I102" s="38"/>
      <c r="J102" s="38"/>
      <c r="AF102" s="2"/>
    </row>
    <row r="103" spans="1:32" x14ac:dyDescent="0.25">
      <c r="A103" t="s">
        <v>59</v>
      </c>
      <c r="B103" s="38"/>
      <c r="C103" s="38"/>
      <c r="D103" s="38"/>
      <c r="E103" s="38"/>
      <c r="F103" s="38"/>
      <c r="G103" s="38"/>
      <c r="H103" s="38"/>
      <c r="I103" s="38"/>
      <c r="J103" s="38"/>
      <c r="AF103" s="2"/>
    </row>
    <row r="104" spans="1:32" x14ac:dyDescent="0.25">
      <c r="A104" t="s">
        <v>60</v>
      </c>
      <c r="B104" s="38"/>
      <c r="C104" s="38"/>
      <c r="D104" s="38"/>
      <c r="E104" s="38"/>
      <c r="F104" s="38"/>
      <c r="G104" s="38"/>
      <c r="H104" s="38"/>
      <c r="I104" s="38"/>
      <c r="J104" s="38"/>
      <c r="AF104" s="2"/>
    </row>
    <row r="105" spans="1:32" x14ac:dyDescent="0.25">
      <c r="A105" t="s">
        <v>61</v>
      </c>
      <c r="B105" s="38"/>
      <c r="C105" s="38"/>
      <c r="D105" s="38"/>
      <c r="E105" s="38"/>
      <c r="F105" s="38"/>
      <c r="G105" s="38"/>
      <c r="H105" s="38"/>
      <c r="I105" s="38"/>
      <c r="J105" s="38"/>
      <c r="AF105" s="2"/>
    </row>
    <row r="106" spans="1:32" x14ac:dyDescent="0.25">
      <c r="A106" t="s">
        <v>61</v>
      </c>
      <c r="B106" s="38"/>
      <c r="C106" s="38"/>
      <c r="D106" s="38"/>
      <c r="E106" s="38"/>
      <c r="F106" s="38"/>
      <c r="G106" s="38"/>
      <c r="H106" s="38"/>
      <c r="I106" s="38"/>
      <c r="J106" s="38"/>
      <c r="AF106" s="2"/>
    </row>
    <row r="107" spans="1:32" x14ac:dyDescent="0.25">
      <c r="A107" t="s">
        <v>62</v>
      </c>
      <c r="B107" s="38"/>
      <c r="C107" s="38"/>
      <c r="D107" s="38"/>
      <c r="E107" s="38"/>
      <c r="F107" s="38"/>
      <c r="G107" s="38"/>
      <c r="H107" s="38"/>
      <c r="I107" s="38"/>
      <c r="J107" s="38"/>
      <c r="AF107" s="2"/>
    </row>
    <row r="108" spans="1:32" x14ac:dyDescent="0.25">
      <c r="A108" t="s">
        <v>61</v>
      </c>
      <c r="B108" s="38"/>
      <c r="C108" s="38"/>
      <c r="D108" s="38"/>
      <c r="E108" s="38"/>
      <c r="F108" s="38"/>
      <c r="G108" s="38"/>
      <c r="H108" s="38"/>
      <c r="I108" s="38"/>
      <c r="J108" s="38"/>
      <c r="AF108" s="2"/>
    </row>
    <row r="109" spans="1:32" x14ac:dyDescent="0.25">
      <c r="A109" t="s">
        <v>61</v>
      </c>
      <c r="B109" s="38"/>
      <c r="C109" s="38"/>
      <c r="D109" s="38"/>
      <c r="E109" s="38"/>
      <c r="F109" s="38"/>
      <c r="G109" s="38"/>
      <c r="H109" s="38"/>
      <c r="I109" s="38"/>
      <c r="J109" s="38"/>
      <c r="AF109" s="2"/>
    </row>
    <row r="110" spans="1:32" x14ac:dyDescent="0.25">
      <c r="A110" t="s">
        <v>61</v>
      </c>
      <c r="B110" s="38"/>
      <c r="C110" s="38"/>
      <c r="D110" s="38"/>
      <c r="E110" s="38"/>
      <c r="F110" s="38"/>
      <c r="G110" s="38"/>
      <c r="H110" s="38"/>
      <c r="I110" s="38"/>
      <c r="J110" s="38"/>
      <c r="AF110" s="2"/>
    </row>
    <row r="111" spans="1:32" x14ac:dyDescent="0.25">
      <c r="A111" t="s">
        <v>61</v>
      </c>
      <c r="B111" s="38"/>
      <c r="C111" s="38"/>
      <c r="D111" s="38"/>
      <c r="E111" s="38"/>
      <c r="F111" s="38"/>
      <c r="G111" s="38"/>
      <c r="H111" s="38"/>
      <c r="I111" s="38"/>
      <c r="J111" s="38"/>
      <c r="AF111" s="2"/>
    </row>
    <row r="112" spans="1:32" x14ac:dyDescent="0.25">
      <c r="A112" s="39" t="s">
        <v>63</v>
      </c>
      <c r="B112" s="38"/>
      <c r="C112" s="38"/>
      <c r="D112" s="38"/>
      <c r="E112" s="38"/>
      <c r="F112" s="38"/>
      <c r="G112" s="38"/>
      <c r="H112" s="38"/>
      <c r="I112" s="38"/>
      <c r="J112" s="38"/>
      <c r="AF112" s="2"/>
    </row>
    <row r="113" spans="1:32" x14ac:dyDescent="0.25">
      <c r="A113" s="38" t="s">
        <v>33</v>
      </c>
      <c r="B113" s="38"/>
      <c r="C113" s="38"/>
      <c r="D113" s="38"/>
      <c r="E113" s="38"/>
      <c r="F113" s="38"/>
      <c r="G113" s="38"/>
      <c r="H113" s="38"/>
      <c r="I113" s="38"/>
      <c r="J113" s="38"/>
      <c r="AF113" s="2"/>
    </row>
    <row r="114" spans="1:32" x14ac:dyDescent="0.25">
      <c r="A114" s="38" t="s">
        <v>34</v>
      </c>
      <c r="B114" s="38"/>
      <c r="C114" s="38"/>
      <c r="D114" s="38"/>
      <c r="E114" s="38"/>
      <c r="F114" s="38"/>
      <c r="G114" s="38"/>
      <c r="H114" s="38"/>
      <c r="I114" s="38"/>
      <c r="J114" s="38"/>
      <c r="AF114" s="2"/>
    </row>
    <row r="115" spans="1:32" x14ac:dyDescent="0.25">
      <c r="A115" s="38" t="s">
        <v>35</v>
      </c>
      <c r="B115" s="38"/>
      <c r="C115" s="38"/>
      <c r="D115" s="38"/>
      <c r="E115" s="38"/>
      <c r="F115" s="38"/>
      <c r="G115" s="38"/>
      <c r="H115" s="38"/>
      <c r="I115" s="38"/>
      <c r="J115" s="38"/>
      <c r="AF115" s="2"/>
    </row>
    <row r="116" spans="1:32" x14ac:dyDescent="0.25">
      <c r="A116" s="38" t="s">
        <v>36</v>
      </c>
      <c r="B116" s="38"/>
      <c r="C116" s="38"/>
      <c r="D116" s="38"/>
      <c r="E116" s="38"/>
      <c r="F116" s="38"/>
      <c r="G116" s="38"/>
      <c r="H116" s="38"/>
      <c r="I116" s="38"/>
      <c r="J116" s="38"/>
      <c r="AF116" s="2"/>
    </row>
    <row r="117" spans="1:32" x14ac:dyDescent="0.25">
      <c r="A117" s="38" t="s">
        <v>37</v>
      </c>
      <c r="B117" s="38"/>
      <c r="C117" s="38"/>
      <c r="D117" s="38"/>
      <c r="E117" s="38"/>
      <c r="F117" s="38"/>
      <c r="G117" s="38"/>
      <c r="H117" s="38"/>
      <c r="I117" s="38"/>
      <c r="J117" s="38"/>
      <c r="AF117" s="2"/>
    </row>
    <row r="118" spans="1:32" x14ac:dyDescent="0.25">
      <c r="A118" s="38" t="s">
        <v>6</v>
      </c>
      <c r="B118" s="38"/>
      <c r="C118" s="38"/>
      <c r="D118" s="38"/>
      <c r="E118" s="38"/>
      <c r="F118" s="38"/>
      <c r="G118" s="38"/>
      <c r="H118" s="38"/>
      <c r="I118" s="38"/>
      <c r="J118" s="38"/>
      <c r="AF118" s="2"/>
    </row>
    <row r="119" spans="1:32" x14ac:dyDescent="0.25">
      <c r="A119" s="38" t="s">
        <v>0</v>
      </c>
      <c r="B119" s="38"/>
      <c r="C119" s="38"/>
      <c r="D119" s="38"/>
      <c r="E119" s="38"/>
      <c r="F119" s="38"/>
      <c r="G119" s="38"/>
      <c r="H119" s="38"/>
      <c r="I119" s="38"/>
      <c r="J119" s="38"/>
      <c r="AF119" s="2"/>
    </row>
    <row r="120" spans="1:32" x14ac:dyDescent="0.25">
      <c r="A120" s="38" t="s">
        <v>38</v>
      </c>
      <c r="B120" s="38"/>
      <c r="C120" s="38"/>
      <c r="D120" s="38"/>
      <c r="E120" s="38"/>
      <c r="F120" s="38"/>
      <c r="G120" s="38"/>
      <c r="H120" s="38"/>
      <c r="I120" s="38"/>
      <c r="J120" s="38"/>
      <c r="AF120" s="2"/>
    </row>
    <row r="121" spans="1:32" x14ac:dyDescent="0.25">
      <c r="A121" s="38" t="s">
        <v>39</v>
      </c>
      <c r="B121" s="38"/>
      <c r="C121" s="38"/>
      <c r="D121" s="38"/>
      <c r="E121" s="38"/>
      <c r="F121" s="38"/>
      <c r="G121" s="38"/>
      <c r="H121" s="38"/>
      <c r="I121" s="38"/>
      <c r="J121" s="38"/>
      <c r="AF121" s="3"/>
    </row>
    <row r="122" spans="1:32" x14ac:dyDescent="0.25">
      <c r="A122" s="38" t="s">
        <v>40</v>
      </c>
      <c r="B122" s="38"/>
      <c r="C122" s="38"/>
      <c r="D122" s="38"/>
      <c r="E122" s="38"/>
      <c r="F122" s="38"/>
      <c r="G122" s="38"/>
      <c r="H122" s="38"/>
      <c r="I122" s="38"/>
      <c r="J122" s="38"/>
      <c r="AF122" s="3"/>
    </row>
    <row r="123" spans="1:32" x14ac:dyDescent="0.25">
      <c r="A123" s="38" t="s">
        <v>44</v>
      </c>
      <c r="B123" s="38"/>
      <c r="C123" s="38"/>
      <c r="D123" s="38"/>
      <c r="E123" s="38"/>
      <c r="F123" s="38"/>
      <c r="G123" s="38"/>
      <c r="H123" s="38"/>
      <c r="I123" s="38"/>
      <c r="J123" s="38"/>
      <c r="AF123" s="3"/>
    </row>
    <row r="124" spans="1:32" x14ac:dyDescent="0.25">
      <c r="A124" s="38" t="s">
        <v>46</v>
      </c>
      <c r="B124" s="38"/>
      <c r="C124" s="38"/>
      <c r="D124" s="38"/>
      <c r="E124" s="38"/>
      <c r="F124" s="38"/>
      <c r="G124" s="38"/>
      <c r="H124" s="38"/>
      <c r="I124" s="38"/>
      <c r="J124" s="38"/>
      <c r="AF124" s="3"/>
    </row>
    <row r="125" spans="1:32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AF125" s="3"/>
    </row>
    <row r="126" spans="1:32" x14ac:dyDescent="0.25">
      <c r="AF126" s="3"/>
    </row>
    <row r="127" spans="1:32" x14ac:dyDescent="0.25">
      <c r="AF127" s="3"/>
    </row>
    <row r="128" spans="1:32" x14ac:dyDescent="0.25">
      <c r="AF128" s="3"/>
    </row>
    <row r="129" spans="32:32" x14ac:dyDescent="0.25">
      <c r="AF129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A2"/>
  <sheetViews>
    <sheetView workbookViewId="0">
      <selection activeCell="C3" sqref="C3"/>
    </sheetView>
  </sheetViews>
  <sheetFormatPr defaultRowHeight="15" x14ac:dyDescent="0.25"/>
  <sheetData>
    <row r="2" spans="27:27" x14ac:dyDescent="0.25">
      <c r="AA2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3" activePane="bottomLeft" state="frozen"/>
      <selection pane="bottomLeft" activeCell="D102" sqref="D102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4" t="s">
        <v>41</v>
      </c>
      <c r="B1" s="5"/>
      <c r="C1" s="5"/>
      <c r="D1" s="5"/>
      <c r="E1" s="14" t="s">
        <v>42</v>
      </c>
      <c r="F1" s="5"/>
      <c r="G1" s="5"/>
      <c r="H1" s="5"/>
      <c r="I1" s="14" t="s">
        <v>43</v>
      </c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169" x14ac:dyDescent="0.25">
      <c r="A2" s="5" t="s">
        <v>13</v>
      </c>
      <c r="B2" s="5" t="s">
        <v>14</v>
      </c>
      <c r="C2" s="5" t="s">
        <v>15</v>
      </c>
      <c r="D2" s="5" t="s">
        <v>7</v>
      </c>
      <c r="E2" s="5" t="s">
        <v>13</v>
      </c>
      <c r="F2" s="5" t="s">
        <v>14</v>
      </c>
      <c r="G2" s="5" t="s">
        <v>15</v>
      </c>
      <c r="H2" s="5" t="s">
        <v>7</v>
      </c>
      <c r="I2" s="5" t="s">
        <v>13</v>
      </c>
      <c r="J2" s="5" t="s">
        <v>14</v>
      </c>
      <c r="K2" s="5" t="s">
        <v>15</v>
      </c>
      <c r="L2" s="5" t="s">
        <v>7</v>
      </c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</row>
    <row r="3" spans="1:169" x14ac:dyDescent="0.25">
      <c r="A3" s="19">
        <v>43586.259375000001</v>
      </c>
      <c r="B3" s="5">
        <v>10000</v>
      </c>
      <c r="C3" s="20"/>
      <c r="D3" s="5">
        <v>10000</v>
      </c>
      <c r="E3" s="22">
        <v>43587.180451388886</v>
      </c>
      <c r="F3" s="6">
        <v>50000</v>
      </c>
      <c r="G3" s="20"/>
      <c r="H3" s="6">
        <v>50000</v>
      </c>
      <c r="I3" s="19">
        <v>43587.187615740739</v>
      </c>
      <c r="J3" s="5">
        <v>20000</v>
      </c>
      <c r="K3" s="20"/>
      <c r="L3" s="5">
        <v>20000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</row>
    <row r="4" spans="1:169" x14ac:dyDescent="0.25">
      <c r="A4" s="19">
        <v>43586.259398148148</v>
      </c>
      <c r="B4" s="5">
        <v>0</v>
      </c>
      <c r="C4" s="21">
        <v>300</v>
      </c>
      <c r="D4" s="5">
        <v>10300</v>
      </c>
      <c r="E4" s="22">
        <v>43587.180474537039</v>
      </c>
      <c r="F4" s="6">
        <v>0</v>
      </c>
      <c r="G4" s="20">
        <v>1500</v>
      </c>
      <c r="H4" s="6">
        <v>53000</v>
      </c>
      <c r="I4" s="19">
        <v>43587.195613425924</v>
      </c>
      <c r="J4" s="5"/>
      <c r="K4" s="21">
        <v>600</v>
      </c>
      <c r="L4" s="5">
        <v>21200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</row>
    <row r="5" spans="1:169" ht="15.75" customHeight="1" x14ac:dyDescent="0.25">
      <c r="A5" s="19">
        <v>43586.259699074071</v>
      </c>
      <c r="B5" s="5">
        <v>0</v>
      </c>
      <c r="C5" s="5"/>
      <c r="D5" s="5">
        <v>10000</v>
      </c>
      <c r="E5" s="22">
        <v>43587.180474537039</v>
      </c>
      <c r="F5" s="6">
        <v>0</v>
      </c>
      <c r="G5" s="20">
        <v>1500</v>
      </c>
      <c r="H5" s="6">
        <v>56000</v>
      </c>
      <c r="I5" s="19">
        <v>43587.206620370373</v>
      </c>
      <c r="J5" s="5"/>
      <c r="K5" s="5"/>
      <c r="L5" s="5">
        <v>20000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169" x14ac:dyDescent="0.25">
      <c r="A6" s="19">
        <v>43586.260092592594</v>
      </c>
      <c r="B6" s="5"/>
      <c r="C6" s="21">
        <v>300</v>
      </c>
      <c r="D6" s="5">
        <v>10300</v>
      </c>
      <c r="E6" s="22">
        <v>43587.180486111109</v>
      </c>
      <c r="F6" s="6">
        <v>0</v>
      </c>
      <c r="G6" s="20">
        <v>1500</v>
      </c>
      <c r="H6" s="6">
        <v>59000</v>
      </c>
      <c r="I6" s="19">
        <v>43587.206643518519</v>
      </c>
      <c r="J6" s="5"/>
      <c r="K6" s="20">
        <v>600</v>
      </c>
      <c r="L6" s="5">
        <v>21200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</row>
    <row r="7" spans="1:169" x14ac:dyDescent="0.25">
      <c r="A7" s="19">
        <v>43586.26017361111</v>
      </c>
      <c r="B7" s="5"/>
      <c r="C7" s="5"/>
      <c r="D7" s="5">
        <v>10000</v>
      </c>
      <c r="E7" s="22">
        <v>43587.180509259262</v>
      </c>
      <c r="F7" s="6">
        <v>0</v>
      </c>
      <c r="G7" s="21">
        <v>1500</v>
      </c>
      <c r="H7" s="6">
        <v>62000</v>
      </c>
      <c r="I7" s="19">
        <v>43587.206666666665</v>
      </c>
      <c r="J7" s="5"/>
      <c r="K7" s="20">
        <v>600</v>
      </c>
      <c r="L7" s="5">
        <v>22400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</row>
    <row r="8" spans="1:169" x14ac:dyDescent="0.25">
      <c r="A8" s="19">
        <v>43586.260243055556</v>
      </c>
      <c r="B8" s="5">
        <v>-3000</v>
      </c>
      <c r="C8" s="20"/>
      <c r="D8" s="5">
        <v>7000</v>
      </c>
      <c r="E8" s="22">
        <v>43587.180567129632</v>
      </c>
      <c r="F8" s="6">
        <v>0</v>
      </c>
      <c r="G8" s="21"/>
      <c r="H8" s="6">
        <v>60500</v>
      </c>
      <c r="I8" s="19">
        <v>43587.206666666665</v>
      </c>
      <c r="J8" s="5"/>
      <c r="K8" s="21">
        <v>600</v>
      </c>
      <c r="L8" s="5">
        <v>23600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</row>
    <row r="9" spans="1:169" x14ac:dyDescent="0.25">
      <c r="A9" s="22">
        <v>43586.260254629633</v>
      </c>
      <c r="B9" s="6">
        <v>0</v>
      </c>
      <c r="C9" s="21">
        <v>210</v>
      </c>
      <c r="D9" s="6">
        <v>7210</v>
      </c>
      <c r="E9" s="22">
        <v>43587.181747685187</v>
      </c>
      <c r="F9" s="6"/>
      <c r="G9" s="6"/>
      <c r="H9" s="6">
        <v>56000</v>
      </c>
      <c r="I9" s="19">
        <v>43587.206712962965</v>
      </c>
      <c r="J9" s="5"/>
      <c r="K9" s="21"/>
      <c r="L9" s="5">
        <v>21600</v>
      </c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</row>
    <row r="10" spans="1:169" x14ac:dyDescent="0.25">
      <c r="A10" s="22">
        <v>43586.260347222225</v>
      </c>
      <c r="B10" s="6">
        <v>0</v>
      </c>
      <c r="C10" s="6"/>
      <c r="D10" s="6">
        <v>7000</v>
      </c>
      <c r="E10" s="22">
        <v>43587.181979166664</v>
      </c>
      <c r="F10" s="6"/>
      <c r="G10" s="21">
        <v>1500</v>
      </c>
      <c r="H10" s="6">
        <v>59000</v>
      </c>
      <c r="I10" s="22">
        <v>43587.206747685188</v>
      </c>
      <c r="J10" s="5"/>
      <c r="K10" s="5"/>
      <c r="L10" s="5">
        <v>20000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</row>
    <row r="11" spans="1:169" x14ac:dyDescent="0.25">
      <c r="A11" s="22">
        <v>43586.952615740738</v>
      </c>
      <c r="B11" s="6"/>
      <c r="C11" s="21">
        <v>210</v>
      </c>
      <c r="D11" s="6">
        <v>7210</v>
      </c>
      <c r="E11" s="22">
        <v>43587.182164351849</v>
      </c>
      <c r="F11" s="6"/>
      <c r="G11" s="6"/>
      <c r="H11" s="6">
        <v>57500</v>
      </c>
      <c r="I11" s="22">
        <v>43587.206805555557</v>
      </c>
      <c r="J11" s="6">
        <v>-5000</v>
      </c>
      <c r="K11" s="20"/>
      <c r="L11" s="6">
        <v>15000</v>
      </c>
      <c r="M11" s="6"/>
      <c r="N11" s="6"/>
      <c r="O11" s="6"/>
      <c r="P11" s="6"/>
      <c r="Q11" s="6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</row>
    <row r="12" spans="1:169" s="16" customFormat="1" x14ac:dyDescent="0.25">
      <c r="A12" s="22">
        <v>43586.952766203707</v>
      </c>
      <c r="B12" s="6"/>
      <c r="C12" s="6"/>
      <c r="D12" s="6">
        <v>7000</v>
      </c>
      <c r="E12" s="22">
        <v>43587.182233796295</v>
      </c>
      <c r="F12" s="6"/>
      <c r="G12" s="21">
        <v>1500</v>
      </c>
      <c r="H12" s="6">
        <v>60500</v>
      </c>
      <c r="I12" s="22">
        <v>43587.206817129627</v>
      </c>
      <c r="J12" s="6">
        <v>0</v>
      </c>
      <c r="K12" s="20">
        <v>450</v>
      </c>
      <c r="L12" s="6">
        <v>15900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</row>
    <row r="13" spans="1:169" x14ac:dyDescent="0.25">
      <c r="A13" s="19">
        <v>43586.952800925923</v>
      </c>
      <c r="B13" s="5"/>
      <c r="C13" s="21">
        <v>210</v>
      </c>
      <c r="D13" s="5">
        <v>7210</v>
      </c>
      <c r="E13" s="22">
        <v>43587.182303240741</v>
      </c>
      <c r="F13" s="6"/>
      <c r="G13" s="6"/>
      <c r="H13" s="6">
        <v>59000</v>
      </c>
      <c r="I13" s="19">
        <v>43587.20684027778</v>
      </c>
      <c r="J13" s="5">
        <v>0</v>
      </c>
      <c r="K13" s="21">
        <v>450</v>
      </c>
      <c r="L13" s="5">
        <v>16800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</row>
    <row r="14" spans="1:169" x14ac:dyDescent="0.25">
      <c r="A14" s="19">
        <v>43586.958854166667</v>
      </c>
      <c r="B14" s="5"/>
      <c r="C14" s="5"/>
      <c r="D14" s="5">
        <v>5770</v>
      </c>
      <c r="E14" s="22">
        <v>43587.186967592592</v>
      </c>
      <c r="F14" s="6"/>
      <c r="G14" s="20">
        <v>1500</v>
      </c>
      <c r="H14" s="6">
        <v>53000</v>
      </c>
      <c r="I14" s="19">
        <v>43587.206863425927</v>
      </c>
      <c r="J14" s="5">
        <v>0</v>
      </c>
      <c r="K14" s="21"/>
      <c r="L14" s="5">
        <v>16000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</row>
    <row r="15" spans="1:169" x14ac:dyDescent="0.25">
      <c r="A15" s="19">
        <v>43586.958958333336</v>
      </c>
      <c r="B15" s="5"/>
      <c r="C15" s="21">
        <v>210</v>
      </c>
      <c r="D15" s="5">
        <v>5980</v>
      </c>
      <c r="E15" s="22">
        <v>43587.186990740738</v>
      </c>
      <c r="F15" s="6"/>
      <c r="G15" s="20">
        <v>1500</v>
      </c>
      <c r="H15" s="6">
        <v>56000</v>
      </c>
      <c r="I15" s="19">
        <v>43587.206886574073</v>
      </c>
      <c r="J15" s="5">
        <v>0</v>
      </c>
      <c r="K15" s="5"/>
      <c r="L15" s="5">
        <v>15000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</row>
    <row r="16" spans="1:169" x14ac:dyDescent="0.25">
      <c r="A16" s="19">
        <v>43586.959027777775</v>
      </c>
      <c r="B16" s="5"/>
      <c r="C16" s="5"/>
      <c r="D16" s="5">
        <v>5560</v>
      </c>
      <c r="E16" s="22">
        <v>43587.186990740738</v>
      </c>
      <c r="F16" s="6"/>
      <c r="G16" s="20">
        <v>1500</v>
      </c>
      <c r="H16" s="6">
        <v>59000</v>
      </c>
      <c r="I16" s="19">
        <v>43587.206932870373</v>
      </c>
      <c r="J16" s="5">
        <v>2000</v>
      </c>
      <c r="K16" s="20"/>
      <c r="L16" s="5">
        <v>17000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</row>
    <row r="17" spans="1:185" x14ac:dyDescent="0.25">
      <c r="A17" s="19">
        <v>43586.961481481485</v>
      </c>
      <c r="B17" s="5"/>
      <c r="C17" s="21">
        <v>210</v>
      </c>
      <c r="D17" s="5">
        <v>7420</v>
      </c>
      <c r="E17" s="22">
        <v>43587.187013888892</v>
      </c>
      <c r="F17" s="6"/>
      <c r="G17" s="21">
        <v>1500</v>
      </c>
      <c r="H17" s="6">
        <v>62000</v>
      </c>
      <c r="I17" s="19">
        <v>43587.206944444442</v>
      </c>
      <c r="J17" s="5">
        <v>0</v>
      </c>
      <c r="K17" s="21">
        <v>510</v>
      </c>
      <c r="L17" s="5">
        <v>18020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</row>
    <row r="18" spans="1:185" x14ac:dyDescent="0.25">
      <c r="A18" s="19">
        <v>43586.961539351854</v>
      </c>
      <c r="B18" s="5"/>
      <c r="C18" s="5"/>
      <c r="D18" s="5">
        <v>7000</v>
      </c>
      <c r="E18" s="22">
        <v>43587.187060185184</v>
      </c>
      <c r="F18" s="6"/>
      <c r="G18" s="21"/>
      <c r="H18" s="6">
        <v>59000</v>
      </c>
      <c r="I18" s="19">
        <v>43587.206979166665</v>
      </c>
      <c r="J18" s="5">
        <v>0</v>
      </c>
      <c r="K18" s="5"/>
      <c r="L18" s="5">
        <v>17000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</row>
    <row r="19" spans="1:185" x14ac:dyDescent="0.25">
      <c r="A19" s="13">
        <v>43586.961597222224</v>
      </c>
      <c r="B19" s="6"/>
      <c r="C19" s="21">
        <v>210</v>
      </c>
      <c r="D19" s="6">
        <v>7420</v>
      </c>
      <c r="E19" s="22">
        <v>43587.187118055554</v>
      </c>
      <c r="F19" s="6"/>
      <c r="G19" s="6"/>
      <c r="H19" s="6">
        <v>50000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</row>
    <row r="20" spans="1:185" x14ac:dyDescent="0.25">
      <c r="A20" s="8">
        <v>43586.961863425924</v>
      </c>
      <c r="B20" s="6"/>
      <c r="C20" s="6"/>
      <c r="D20" s="11">
        <v>7000</v>
      </c>
      <c r="E20" s="13">
        <v>43587.18712962963</v>
      </c>
      <c r="F20" s="6"/>
      <c r="G20" s="21">
        <v>1500</v>
      </c>
      <c r="H20" s="6">
        <v>53000</v>
      </c>
      <c r="I20" s="6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</row>
    <row r="21" spans="1:185" x14ac:dyDescent="0.25">
      <c r="A21" s="8">
        <v>43586.962094907409</v>
      </c>
      <c r="B21" s="6"/>
      <c r="C21" s="21">
        <v>210</v>
      </c>
      <c r="D21" s="11">
        <v>7420</v>
      </c>
      <c r="E21" s="13">
        <v>43587.187175925923</v>
      </c>
      <c r="F21" s="6"/>
      <c r="G21" s="6"/>
      <c r="H21" s="6">
        <v>50000</v>
      </c>
      <c r="I21" s="6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</row>
    <row r="22" spans="1:185" x14ac:dyDescent="0.25">
      <c r="A22" s="8">
        <v>43586.971516203703</v>
      </c>
      <c r="B22" s="6"/>
      <c r="C22" s="6"/>
      <c r="D22" s="11">
        <v>7000</v>
      </c>
      <c r="E22" s="13">
        <v>43587.187476851854</v>
      </c>
      <c r="F22" s="6">
        <v>-20000</v>
      </c>
      <c r="G22" s="20"/>
      <c r="H22" s="6">
        <v>30000</v>
      </c>
      <c r="I22" s="6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</row>
    <row r="23" spans="1:185" x14ac:dyDescent="0.25">
      <c r="A23" s="8">
        <v>43586.971550925926</v>
      </c>
      <c r="B23" s="6"/>
      <c r="C23" s="20">
        <v>210</v>
      </c>
      <c r="D23" s="11">
        <v>7420</v>
      </c>
      <c r="E23" s="12">
        <v>43587.1875</v>
      </c>
      <c r="F23" s="5">
        <v>0</v>
      </c>
      <c r="G23" s="21">
        <v>900</v>
      </c>
      <c r="H23" s="5">
        <v>31800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</row>
    <row r="24" spans="1:185" x14ac:dyDescent="0.25">
      <c r="A24" s="8">
        <v>43586.971550925926</v>
      </c>
      <c r="B24" s="6"/>
      <c r="C24" s="20">
        <v>210</v>
      </c>
      <c r="D24" s="11">
        <v>7840</v>
      </c>
      <c r="E24" s="12">
        <v>43587.1875462963</v>
      </c>
      <c r="F24" s="5">
        <v>0</v>
      </c>
      <c r="G24" s="5"/>
      <c r="H24" s="5">
        <v>30000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</row>
    <row r="25" spans="1:185" x14ac:dyDescent="0.25">
      <c r="A25" s="8">
        <v>43586.971562500003</v>
      </c>
      <c r="B25" s="6"/>
      <c r="C25" s="21">
        <v>210</v>
      </c>
      <c r="D25" s="11">
        <v>8260</v>
      </c>
      <c r="E25" s="12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</row>
    <row r="26" spans="1:185" x14ac:dyDescent="0.25">
      <c r="A26" s="8">
        <v>43586.971620370372</v>
      </c>
      <c r="B26" s="6"/>
      <c r="C26" s="6"/>
      <c r="D26" s="11">
        <v>7000</v>
      </c>
      <c r="E26" s="12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</row>
    <row r="27" spans="1:185" x14ac:dyDescent="0.25">
      <c r="A27" s="8">
        <v>43587.008402777778</v>
      </c>
      <c r="B27" s="6"/>
      <c r="C27" s="21">
        <v>210</v>
      </c>
      <c r="D27" s="11">
        <v>7420</v>
      </c>
      <c r="E27" s="12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</row>
    <row r="28" spans="1:185" x14ac:dyDescent="0.25">
      <c r="A28" s="8">
        <v>43587.178761574076</v>
      </c>
      <c r="B28" s="6"/>
      <c r="C28" s="6"/>
      <c r="D28" s="11">
        <v>7000</v>
      </c>
      <c r="E28" s="12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</row>
    <row r="29" spans="1:185" x14ac:dyDescent="0.25">
      <c r="A29" s="8">
        <v>43587.186921296299</v>
      </c>
      <c r="B29" s="6"/>
      <c r="C29" s="20">
        <v>210</v>
      </c>
      <c r="D29" s="11">
        <v>7420</v>
      </c>
      <c r="E29" s="12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</row>
    <row r="30" spans="1:185" x14ac:dyDescent="0.25">
      <c r="A30" s="8">
        <v>43587.187326388892</v>
      </c>
      <c r="B30" s="6">
        <v>-2000</v>
      </c>
      <c r="C30" s="21"/>
      <c r="D30" s="11">
        <v>5420</v>
      </c>
      <c r="E30" s="12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</row>
    <row r="31" spans="1:185" x14ac:dyDescent="0.25">
      <c r="A31" s="8">
        <v>43587.187372685185</v>
      </c>
      <c r="B31" s="6">
        <v>0</v>
      </c>
      <c r="C31" s="6"/>
      <c r="D31" s="11">
        <v>5000</v>
      </c>
      <c r="E31" s="12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</row>
    <row r="32" spans="1:185" x14ac:dyDescent="0.25">
      <c r="A32" s="8"/>
      <c r="B32" s="6"/>
      <c r="C32" s="6"/>
      <c r="D32" s="11"/>
      <c r="E32" s="12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</row>
    <row r="33" spans="1:185" x14ac:dyDescent="0.25">
      <c r="A33" s="8"/>
      <c r="B33" s="6"/>
      <c r="C33" s="6"/>
      <c r="D33" s="11"/>
      <c r="E33" s="12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</row>
    <row r="34" spans="1:185" x14ac:dyDescent="0.25">
      <c r="A34" s="8"/>
      <c r="B34" s="6"/>
      <c r="C34" s="6"/>
      <c r="D34" s="11"/>
      <c r="E34" s="12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</row>
    <row r="35" spans="1:185" x14ac:dyDescent="0.25">
      <c r="A35" s="8"/>
      <c r="B35" s="6"/>
      <c r="C35" s="6"/>
      <c r="D35" s="11"/>
      <c r="E35" s="12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</row>
    <row r="36" spans="1:185" x14ac:dyDescent="0.25">
      <c r="A36" s="8"/>
      <c r="B36" s="6"/>
      <c r="C36" s="6"/>
      <c r="D36" s="11"/>
      <c r="E36" s="12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</row>
    <row r="37" spans="1:185" x14ac:dyDescent="0.25">
      <c r="A37" s="8"/>
      <c r="B37" s="6"/>
      <c r="C37" s="6"/>
      <c r="D37" s="11"/>
      <c r="E37" s="12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</row>
    <row r="38" spans="1:185" x14ac:dyDescent="0.25">
      <c r="A38" s="8"/>
      <c r="B38" s="6"/>
      <c r="C38" s="6"/>
      <c r="D38" s="11"/>
      <c r="E38" s="12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</row>
    <row r="39" spans="1:185" x14ac:dyDescent="0.25">
      <c r="A39" s="8"/>
      <c r="B39" s="6"/>
      <c r="C39" s="6"/>
      <c r="D39" s="11"/>
      <c r="E39" s="12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</row>
    <row r="40" spans="1:185" x14ac:dyDescent="0.25">
      <c r="A40" s="8"/>
      <c r="B40" s="6"/>
      <c r="C40" s="6"/>
      <c r="D40" s="11"/>
      <c r="E40" s="12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</row>
    <row r="41" spans="1:185" x14ac:dyDescent="0.25">
      <c r="A41" s="8"/>
      <c r="B41" s="6"/>
      <c r="C41" s="6"/>
      <c r="D41" s="11"/>
      <c r="E41" s="1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</row>
    <row r="42" spans="1:185" x14ac:dyDescent="0.25">
      <c r="A42" s="8"/>
      <c r="B42" s="6"/>
      <c r="C42" s="6"/>
      <c r="D42" s="11"/>
      <c r="E42" s="12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</row>
    <row r="43" spans="1:185" x14ac:dyDescent="0.25">
      <c r="A43" s="8"/>
      <c r="B43" s="6"/>
      <c r="C43" s="6"/>
      <c r="D43" s="11"/>
      <c r="E43" s="1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</row>
    <row r="44" spans="1:185" x14ac:dyDescent="0.25">
      <c r="A44" s="8"/>
      <c r="B44" s="6"/>
      <c r="C44" s="6"/>
      <c r="D44" s="11"/>
      <c r="E44" s="1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</row>
    <row r="45" spans="1:185" x14ac:dyDescent="0.25">
      <c r="A45" s="8"/>
      <c r="B45" s="6"/>
      <c r="C45" s="6"/>
      <c r="D45" s="11"/>
      <c r="E45" s="12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</row>
    <row r="46" spans="1:185" x14ac:dyDescent="0.25">
      <c r="A46" s="8"/>
      <c r="B46" s="6"/>
      <c r="C46" s="6"/>
      <c r="D46" s="11"/>
      <c r="E46" s="12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</row>
    <row r="47" spans="1:185" x14ac:dyDescent="0.25">
      <c r="A47" s="8"/>
      <c r="B47" s="6"/>
      <c r="C47" s="6"/>
      <c r="D47" s="11"/>
      <c r="E47" s="12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</row>
    <row r="48" spans="1:185" x14ac:dyDescent="0.25">
      <c r="A48" s="8"/>
      <c r="B48" s="6"/>
      <c r="C48" s="6"/>
      <c r="D48" s="11"/>
      <c r="E48" s="12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</row>
    <row r="49" spans="1:185" x14ac:dyDescent="0.25">
      <c r="A49" s="8"/>
      <c r="B49" s="6"/>
      <c r="C49" s="6"/>
      <c r="D49" s="11"/>
      <c r="E49" s="12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</row>
    <row r="50" spans="1:185" x14ac:dyDescent="0.25">
      <c r="A50" s="8"/>
      <c r="B50" s="6"/>
      <c r="C50" s="6"/>
      <c r="D50" s="11"/>
      <c r="E50" s="12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</row>
    <row r="51" spans="1:185" x14ac:dyDescent="0.25">
      <c r="A51" s="8"/>
      <c r="B51" s="6"/>
      <c r="C51" s="6"/>
      <c r="D51" s="11"/>
      <c r="E51" s="12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</row>
    <row r="52" spans="1:185" x14ac:dyDescent="0.25">
      <c r="A52" s="8"/>
      <c r="B52" s="6"/>
      <c r="C52" s="6"/>
      <c r="D52" s="11"/>
      <c r="E52" s="12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</row>
    <row r="53" spans="1:185" x14ac:dyDescent="0.25">
      <c r="A53" s="8"/>
      <c r="B53" s="6"/>
      <c r="C53" s="6"/>
      <c r="D53" s="11"/>
      <c r="E53" s="12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</row>
    <row r="54" spans="1:185" x14ac:dyDescent="0.25">
      <c r="A54" s="8"/>
      <c r="B54" s="6"/>
      <c r="C54" s="6"/>
      <c r="D54" s="11"/>
      <c r="E54" s="12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</row>
    <row r="55" spans="1:185" x14ac:dyDescent="0.25">
      <c r="A55" s="8"/>
      <c r="B55" s="6"/>
      <c r="C55" s="6"/>
      <c r="D55" s="11"/>
      <c r="E55" s="12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</row>
    <row r="56" spans="1:185" x14ac:dyDescent="0.25">
      <c r="A56" s="8"/>
      <c r="B56" s="6"/>
      <c r="C56" s="6"/>
      <c r="D56" s="11"/>
      <c r="E56" s="12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</row>
    <row r="57" spans="1:185" x14ac:dyDescent="0.25">
      <c r="A57" s="8"/>
      <c r="B57" s="6"/>
      <c r="C57" s="6"/>
      <c r="D57" s="11"/>
      <c r="E57" s="12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</row>
    <row r="58" spans="1:185" x14ac:dyDescent="0.25">
      <c r="A58" s="8"/>
      <c r="B58" s="6"/>
      <c r="C58" s="6"/>
      <c r="D58" s="11"/>
      <c r="E58" s="1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</row>
    <row r="59" spans="1:185" x14ac:dyDescent="0.25">
      <c r="A59" s="8"/>
      <c r="B59" s="6"/>
      <c r="C59" s="6"/>
      <c r="D59" s="11"/>
      <c r="E59" s="12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</row>
    <row r="60" spans="1:185" x14ac:dyDescent="0.25">
      <c r="A60" s="8"/>
      <c r="B60" s="6"/>
      <c r="C60" s="6"/>
      <c r="D60" s="11"/>
      <c r="E60" s="12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</row>
    <row r="61" spans="1:185" x14ac:dyDescent="0.25">
      <c r="A61" s="8"/>
      <c r="B61" s="6"/>
      <c r="C61" s="6"/>
      <c r="D61" s="11"/>
      <c r="E61" s="1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</row>
    <row r="62" spans="1:185" x14ac:dyDescent="0.25">
      <c r="A62" s="8"/>
      <c r="B62" s="6"/>
      <c r="C62" s="6"/>
      <c r="D62" s="11"/>
      <c r="E62" s="12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</row>
    <row r="63" spans="1:185" x14ac:dyDescent="0.25">
      <c r="A63" s="8"/>
      <c r="B63" s="6"/>
      <c r="C63" s="6"/>
      <c r="D63" s="11"/>
      <c r="E63" s="12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</row>
    <row r="64" spans="1:185" x14ac:dyDescent="0.25">
      <c r="A64" s="7"/>
      <c r="B64" s="6"/>
      <c r="C64" s="6"/>
      <c r="D64" s="11"/>
      <c r="E64" s="12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</row>
    <row r="65" spans="2:185" x14ac:dyDescent="0.25">
      <c r="B65" s="6"/>
      <c r="C65" s="4"/>
      <c r="D65" s="11"/>
      <c r="E65" s="12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</row>
    <row r="66" spans="2:185" x14ac:dyDescent="0.25">
      <c r="B66" s="4"/>
      <c r="C66" s="4"/>
      <c r="D66" s="4"/>
      <c r="E66" s="12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</row>
    <row r="67" spans="2:185" x14ac:dyDescent="0.25">
      <c r="B67" s="4"/>
      <c r="C67" s="4"/>
      <c r="D67" s="4"/>
      <c r="E67" s="12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</row>
    <row r="68" spans="2:185" x14ac:dyDescent="0.25">
      <c r="B68" s="4"/>
      <c r="C68" s="4"/>
      <c r="D68" s="4"/>
      <c r="E68" s="12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</row>
    <row r="69" spans="2:185" x14ac:dyDescent="0.25">
      <c r="B69" s="4"/>
      <c r="C69" s="4"/>
      <c r="D69" s="4"/>
      <c r="E69" s="12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</row>
    <row r="70" spans="2:185" x14ac:dyDescent="0.25">
      <c r="B70" s="4"/>
      <c r="D70" s="4"/>
      <c r="E70" s="12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</row>
    <row r="71" spans="2:185" x14ac:dyDescent="0.25">
      <c r="E71" s="12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</row>
    <row r="72" spans="2:185" x14ac:dyDescent="0.25">
      <c r="E72" s="12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</row>
    <row r="73" spans="2:185" x14ac:dyDescent="0.25">
      <c r="E73" s="12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</row>
    <row r="74" spans="2:185" x14ac:dyDescent="0.25">
      <c r="E74" s="12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</row>
    <row r="75" spans="2:185" x14ac:dyDescent="0.25">
      <c r="E75" s="12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</row>
    <row r="76" spans="2:185" x14ac:dyDescent="0.25">
      <c r="E76" s="12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</row>
    <row r="77" spans="2:185" x14ac:dyDescent="0.25">
      <c r="E77" s="12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</row>
    <row r="78" spans="2:185" x14ac:dyDescent="0.25">
      <c r="E78" s="12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</row>
    <row r="79" spans="2:185" x14ac:dyDescent="0.25">
      <c r="E79" s="12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</row>
    <row r="80" spans="2:185" x14ac:dyDescent="0.25">
      <c r="E80" s="12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</row>
    <row r="81" spans="5:185" x14ac:dyDescent="0.25">
      <c r="E81" s="12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</row>
    <row r="82" spans="5:185" x14ac:dyDescent="0.25">
      <c r="E82" s="12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</row>
    <row r="83" spans="5:185" x14ac:dyDescent="0.25">
      <c r="E83" s="12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</row>
    <row r="84" spans="5:185" x14ac:dyDescent="0.25">
      <c r="E84" s="12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</row>
    <row r="85" spans="5:185" x14ac:dyDescent="0.25">
      <c r="E85" s="12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</row>
    <row r="86" spans="5:185" x14ac:dyDescent="0.25">
      <c r="E86" s="12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</row>
    <row r="87" spans="5:185" x14ac:dyDescent="0.25">
      <c r="E87" s="12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</row>
    <row r="88" spans="5:185" x14ac:dyDescent="0.25">
      <c r="E88" s="12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</row>
    <row r="89" spans="5:185" x14ac:dyDescent="0.25">
      <c r="E89" s="12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</row>
    <row r="90" spans="5:185" x14ac:dyDescent="0.25">
      <c r="E90" s="12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</row>
    <row r="91" spans="5:185" x14ac:dyDescent="0.25">
      <c r="E91" s="12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</row>
    <row r="92" spans="5:185" x14ac:dyDescent="0.25">
      <c r="E92" s="12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</row>
    <row r="93" spans="5:185" x14ac:dyDescent="0.25">
      <c r="E93" s="12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</row>
    <row r="94" spans="5:185" x14ac:dyDescent="0.25">
      <c r="E94" s="12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</row>
    <row r="95" spans="5:185" x14ac:dyDescent="0.25">
      <c r="E95" s="12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</row>
    <row r="96" spans="5:185" x14ac:dyDescent="0.25">
      <c r="E96" s="10"/>
    </row>
    <row r="97" spans="1:8" x14ac:dyDescent="0.25">
      <c r="E97" s="10"/>
    </row>
    <row r="99" spans="1:8" x14ac:dyDescent="0.25">
      <c r="A99" s="9" t="s">
        <v>10</v>
      </c>
      <c r="B99" s="9" t="s">
        <v>8</v>
      </c>
      <c r="C99" s="9" t="s">
        <v>9</v>
      </c>
      <c r="D99" s="9" t="s">
        <v>7</v>
      </c>
      <c r="E99" s="9" t="s">
        <v>11</v>
      </c>
      <c r="F99" s="9" t="s">
        <v>12</v>
      </c>
      <c r="G99" s="9" t="s">
        <v>18</v>
      </c>
      <c r="H99" s="9" t="s">
        <v>16</v>
      </c>
    </row>
    <row r="100" spans="1:8" x14ac:dyDescent="0.25">
      <c r="A100" t="s">
        <v>41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42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43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topLeftCell="A7" workbookViewId="0">
      <selection activeCell="Y3" sqref="Y3"/>
    </sheetView>
  </sheetViews>
  <sheetFormatPr defaultRowHeight="15" x14ac:dyDescent="0.25"/>
  <sheetData>
    <row r="2" spans="2:26" x14ac:dyDescent="0.25"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2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2:26" x14ac:dyDescent="0.25"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Savings</vt:lpstr>
      <vt:lpstr>data</vt:lpstr>
      <vt:lpstr>Borrowers</vt:lpstr>
      <vt:lpstr>Revenues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2025-02-15T22:03:33Z</dcterms:modified>
</cp:coreProperties>
</file>