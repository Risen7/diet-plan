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D39B4066-C66E-4313-A68F-F75C23E615D3}" xr6:coauthVersionLast="47" xr6:coauthVersionMax="47" xr10:uidLastSave="{00000000-0000-0000-0000-000000000000}"/>
  <bookViews>
    <workbookView xWindow="-120" yWindow="-120" windowWidth="24240" windowHeight="13020" tabRatio="593" xr2:uid="{00000000-000D-0000-FFFF-FFFF00000000}"/>
  </bookViews>
  <sheets>
    <sheet name="Borrowers2" sheetId="9" r:id="rId1"/>
    <sheet name="Home" sheetId="1" r:id="rId2"/>
    <sheet name="Overview" sheetId="8" r:id="rId3"/>
    <sheet name="Savings" sheetId="2" r:id="rId4"/>
    <sheet name="Borrowers" sheetId="4" r:id="rId5"/>
    <sheet name="Revenues" sheetId="5" r:id="rId6"/>
    <sheet name="da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9" l="1"/>
  <c r="G6" i="9"/>
  <c r="G4" i="9"/>
  <c r="G3" i="9"/>
  <c r="G2" i="9"/>
  <c r="G8" i="9" l="1"/>
  <c r="G5" i="9"/>
  <c r="G9" i="9" s="1"/>
  <c r="B9" i="9"/>
  <c r="B8" i="9"/>
  <c r="B7" i="9"/>
  <c r="B6" i="9"/>
  <c r="B3" i="9"/>
  <c r="B5" i="9"/>
  <c r="B4" i="9"/>
  <c r="B2" i="9"/>
  <c r="F148" i="9" l="1"/>
  <c r="H148" i="9" s="1"/>
  <c r="E148" i="9"/>
  <c r="D148" i="9" s="1"/>
  <c r="C148" i="9"/>
  <c r="H147" i="9"/>
  <c r="D147" i="9" s="1"/>
  <c r="F147" i="9"/>
  <c r="E147" i="9"/>
  <c r="C147" i="9"/>
  <c r="H146" i="9"/>
  <c r="D146" i="9" s="1"/>
  <c r="F146" i="9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H137" i="9"/>
  <c r="F137" i="9"/>
  <c r="E137" i="9"/>
  <c r="C137" i="9"/>
  <c r="F136" i="9"/>
  <c r="H136" i="9" s="1"/>
  <c r="D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H129" i="9"/>
  <c r="F129" i="9"/>
  <c r="E129" i="9"/>
  <c r="C129" i="9"/>
  <c r="F128" i="9"/>
  <c r="H128" i="9" s="1"/>
  <c r="D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H121" i="9"/>
  <c r="F121" i="9"/>
  <c r="E121" i="9"/>
  <c r="C121" i="9"/>
  <c r="F120" i="9"/>
  <c r="H120" i="9" s="1"/>
  <c r="D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H113" i="9"/>
  <c r="D113" i="9" s="1"/>
  <c r="F113" i="9"/>
  <c r="E113" i="9"/>
  <c r="C113" i="9"/>
  <c r="F112" i="9"/>
  <c r="H112" i="9" s="1"/>
  <c r="D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D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D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72" i="2"/>
  <c r="B71" i="2"/>
  <c r="B70" i="2"/>
  <c r="B69" i="2"/>
  <c r="B51" i="2"/>
  <c r="B54" i="2"/>
  <c r="D102" i="9" l="1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L10" i="7" l="1"/>
  <c r="L9" i="7"/>
  <c r="L8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S4" i="7" l="1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U10" i="1" l="1"/>
  <c r="N51" i="2"/>
  <c r="O51" i="2"/>
  <c r="G3" i="7"/>
  <c r="H3" i="7" s="1"/>
  <c r="E3" i="7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B52" i="2" s="1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C53" i="2" s="1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V17" i="2" l="1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B53" i="2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<sst xmlns="http://schemas.openxmlformats.org/spreadsheetml/2006/main" count="280" uniqueCount="98">
  <si>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</si>
  <si>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</si>
  <si>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</si>
  <si>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</si>
  <si>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</si>
  <si>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</si>
  <si>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</si>
  <si>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</si>
  <si>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</si>
  <si>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</si>
  <si>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</si>
  <si>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</si>
  <si>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</si>
  <si>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</si>
  <si>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</si>
  <si>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</si>
  <si>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</si>
  <si>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</si>
  <si>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</si>
  <si>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</si>
  <si>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</si>
  <si>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</si>
  <si>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</si>
  <si>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</si>
  <si>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</si>
  <si>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</si>
  <si>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</si>
  <si>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</si>
  <si>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</si>
  <si>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</si>
  <si>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</si>
  <si>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</si>
  <si>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</si>
  <si>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</si>
  <si>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</si>
  <si>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</si>
  <si>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</si>
  <si>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</si>
  <si>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</si>
  <si>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</si>
  <si>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</si>
  <si>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</si>
  <si>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</si>
  <si>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</si>
  <si>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</si>
  <si>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</si>
  <si>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</si>
  <si>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</si>
  <si>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</si>
  <si>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</si>
  <si>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</si>
  <si>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</si>
  <si>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</si>
  <si>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</si>
  <si>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</si>
  <si>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</si>
  <si>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</si>
  <si>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</si>
  <si>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</si>
  <si>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</si>
  <si>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</si>
  <si>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</si>
  <si>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</si>
  <si>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</si>
  <si>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</si>
  <si>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</si>
  <si>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</si>
  <si>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</si>
  <si>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</si>
  <si>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</si>
  <si>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</si>
  <si>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</si>
  <si>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</si>
  <si>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</si>
  <si>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</si>
  <si>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</si>
  <si>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</si>
  <si>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</si>
  <si>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</si>
  <si>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</si>
  <si>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</si>
  <si>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</si>
  <si>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</si>
  <si>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</si>
  <si>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</si>
  <si>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PROFIT----------&gt;</t>
  </si>
  <si>
    <t>DATE OF CUT-OFF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</si>
  <si>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</si>
  <si>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</si>
  <si>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</si>
  <si>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</si>
  <si>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</si>
  <si>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</si>
  <si>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</si>
  <si>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Add Interest</t>
  </si>
  <si>
    <t>Paid Interest</t>
  </si>
  <si>
    <t>s</t>
  </si>
  <si>
    <t>Principal 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</si>
</sst>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2" fillId="21" borderId="28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8" borderId="1" xfId="0" applyFill="1" applyBorder="1" applyAlignment="1">
      <alignment horizontal="center" vertical="center"/>
    </xf>
    <xf numFmtId="4" fontId="20" fillId="31" borderId="1" xfId="0" applyNumberFormat="1" applyFont="1" applyFill="1" applyBorder="1" applyAlignment="1">
      <alignment horizontal="center" vertical="center"/>
    </xf>
    <xf numFmtId="4" fontId="20" fillId="30" borderId="1" xfId="0" applyNumberFormat="1" applyFont="1" applyFill="1" applyBorder="1" applyAlignment="1">
      <alignment horizontal="center" vertical="center"/>
    </xf>
    <xf numFmtId="10" fontId="19" fillId="29" borderId="1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0" fillId="26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2" borderId="0" xfId="0" applyFill="1"/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5" borderId="18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6" borderId="42" xfId="0" applyFill="1" applyBorder="1"/>
    <xf numFmtId="0" fontId="0" fillId="0" borderId="43" xfId="0" applyBorder="1"/>
    <xf numFmtId="0" fontId="0" fillId="0" borderId="44" xfId="0" applyBorder="1"/>
    <xf numFmtId="22" fontId="0" fillId="5" borderId="7" xfId="0" applyNumberFormat="1" applyFill="1" applyBorder="1"/>
    <xf numFmtId="0" fontId="0" fillId="0" borderId="22" xfId="0" applyFill="1" applyBorder="1"/>
    <xf numFmtId="164" fontId="0" fillId="5" borderId="7" xfId="0" applyNumberFormat="1" applyFill="1" applyBorder="1"/>
    <xf numFmtId="164" fontId="2" fillId="5" borderId="7" xfId="0" applyNumberFormat="1" applyFont="1" applyFill="1" applyBorder="1" applyAlignment="1">
      <alignment horizontal="center"/>
    </xf>
    <xf numFmtId="0" fontId="0" fillId="4" borderId="23" xfId="0" applyFill="1" applyBorder="1"/>
    <xf numFmtId="22" fontId="0" fillId="5" borderId="18" xfId="0" applyNumberFormat="1" applyFill="1" applyBorder="1"/>
    <xf numFmtId="164" fontId="0" fillId="5" borderId="18" xfId="0" applyNumberFormat="1" applyFill="1" applyBorder="1"/>
    <xf numFmtId="164" fontId="0" fillId="0" borderId="30" xfId="0" applyNumberFormat="1" applyBorder="1"/>
    <xf numFmtId="0" fontId="0" fillId="2" borderId="1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4" borderId="7" xfId="0" applyFill="1" applyBorder="1"/>
    <xf numFmtId="0" fontId="0" fillId="24" borderId="22" xfId="0" applyFill="1" applyBorder="1"/>
    <xf numFmtId="164" fontId="2" fillId="5" borderId="40" xfId="0" applyNumberFormat="1" applyFont="1" applyFill="1" applyBorder="1" applyAlignment="1">
      <alignment horizontal="center"/>
    </xf>
    <xf numFmtId="0" fontId="0" fillId="0" borderId="23" xfId="0" applyFill="1" applyBorder="1"/>
    <xf numFmtId="0" fontId="0" fillId="0" borderId="24" xfId="0" applyFill="1" applyBorder="1"/>
    <xf numFmtId="0" fontId="0" fillId="6" borderId="4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tabSelected="1" zoomScale="85" zoomScaleNormal="85" workbookViewId="0">
      <pane ySplit="9" topLeftCell="A10" activePane="bottomLeft" state="frozen"/>
      <selection pane="bottomLeft" activeCell="E11" sqref="E11"/>
    </sheetView>
  </sheetViews>
  <sheetFormatPr defaultRowHeight="15" x14ac:dyDescent="0.25"/>
  <cols>
    <col min="1" max="1" width="16.28515625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16.7109375" customWidth="1"/>
    <col min="7" max="7" width="15.5703125" customWidth="1"/>
    <col min="8" max="8" width="13.5703125" customWidth="1"/>
    <col min="9" max="9" width="19.28515625" customWidth="1"/>
    <col min="10" max="10" width="16.285156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x14ac:dyDescent="0.25">
      <c r="A1" s="212" t="s">
        <v>89</v>
      </c>
      <c r="B1" s="213"/>
      <c r="C1" s="213"/>
      <c r="D1" s="213"/>
      <c r="E1" s="214"/>
      <c r="F1" s="231" t="s">
        <v>90</v>
      </c>
      <c r="G1" s="4"/>
      <c r="H1" s="4"/>
      <c r="I1" s="98"/>
      <c r="J1" s="98"/>
      <c r="K1" s="98"/>
      <c r="L1" s="98"/>
      <c r="M1" s="98"/>
      <c r="N1" s="98"/>
      <c r="O1" s="98"/>
      <c r="P1" s="201"/>
      <c r="Q1" s="204"/>
      <c r="R1" s="204"/>
      <c r="S1" s="204"/>
      <c r="T1" s="204"/>
      <c r="U1" s="204"/>
      <c r="V1" s="204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</row>
    <row r="2" spans="1:214" x14ac:dyDescent="0.25">
      <c r="A2" s="93" t="s">
        <v>93</v>
      </c>
      <c r="B2" s="4">
        <f>B12</f>
        <v>10000</v>
      </c>
      <c r="C2" s="4"/>
      <c r="D2" s="4"/>
      <c r="E2" s="91"/>
      <c r="F2" t="s">
        <v>93</v>
      </c>
      <c r="G2" s="4">
        <f>G12</f>
        <v>20000</v>
      </c>
      <c r="H2" s="4"/>
      <c r="I2" s="98"/>
      <c r="J2" s="98"/>
      <c r="K2" s="98"/>
      <c r="L2" s="98"/>
      <c r="M2" s="98"/>
      <c r="N2" s="98"/>
      <c r="O2" s="98"/>
      <c r="P2" s="201"/>
      <c r="Q2" s="204"/>
      <c r="R2" s="204"/>
      <c r="S2" s="204"/>
      <c r="T2" s="204"/>
      <c r="U2" s="204"/>
      <c r="V2" s="204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</row>
    <row r="3" spans="1:214" x14ac:dyDescent="0.25">
      <c r="A3" s="93" t="s">
        <v>92</v>
      </c>
      <c r="B3" s="4">
        <f>SUM(B12:B62)</f>
        <v>30000</v>
      </c>
      <c r="C3" s="4"/>
      <c r="D3" s="4"/>
      <c r="E3" s="91"/>
      <c r="F3" t="s">
        <v>92</v>
      </c>
      <c r="G3" s="4">
        <f>SUM(G13:G63)</f>
        <v>2007</v>
      </c>
      <c r="H3" s="4"/>
      <c r="I3" s="98"/>
      <c r="J3" s="98"/>
      <c r="K3" s="98"/>
      <c r="L3" s="98"/>
      <c r="M3" s="98"/>
      <c r="N3" s="98"/>
      <c r="O3" s="98"/>
      <c r="P3" s="201"/>
      <c r="Q3" s="204"/>
      <c r="R3" s="204"/>
      <c r="S3" s="204"/>
      <c r="T3" s="204"/>
      <c r="U3" s="204"/>
      <c r="V3" s="204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</row>
    <row r="4" spans="1:214" x14ac:dyDescent="0.25">
      <c r="A4" s="93" t="s">
        <v>91</v>
      </c>
      <c r="B4" s="4">
        <f>SUM(C12:C48)</f>
        <v>5000</v>
      </c>
      <c r="C4" s="4"/>
      <c r="D4" s="4"/>
      <c r="E4" s="91"/>
      <c r="F4" t="s">
        <v>91</v>
      </c>
      <c r="G4" s="4">
        <f>SUM(H11:H47)</f>
        <v>7000</v>
      </c>
      <c r="H4" s="4"/>
      <c r="I4" s="98"/>
      <c r="J4" s="98"/>
      <c r="K4" s="98"/>
      <c r="L4" s="98"/>
      <c r="M4" s="98"/>
      <c r="N4" s="98"/>
      <c r="O4" s="98"/>
      <c r="P4" s="201"/>
      <c r="Q4" s="204"/>
      <c r="R4" s="204"/>
      <c r="S4" s="204"/>
      <c r="T4" s="204"/>
      <c r="U4" s="204"/>
      <c r="V4" s="204"/>
      <c r="W4" s="204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</row>
    <row r="5" spans="1:214" ht="15.75" customHeight="1" x14ac:dyDescent="0.25">
      <c r="A5" s="225" t="s">
        <v>97</v>
      </c>
      <c r="B5" s="223">
        <f>SUM(B2:B3) - B4</f>
        <v>35000</v>
      </c>
      <c r="C5" s="4"/>
      <c r="D5" s="4"/>
      <c r="E5" s="91"/>
      <c r="F5" s="118" t="s">
        <v>97</v>
      </c>
      <c r="G5" s="223">
        <f>SUM(G2:G3) - G4</f>
        <v>15007</v>
      </c>
      <c r="H5" s="4"/>
      <c r="I5" s="98"/>
      <c r="J5" s="98"/>
      <c r="K5" s="98"/>
      <c r="L5" s="98"/>
      <c r="M5" s="98"/>
      <c r="N5" s="98"/>
      <c r="O5" s="98"/>
      <c r="P5" s="201"/>
      <c r="Q5" s="204"/>
      <c r="R5" s="204"/>
      <c r="S5" s="204"/>
      <c r="T5" s="204"/>
      <c r="U5" s="204"/>
      <c r="V5" s="204"/>
      <c r="W5" s="204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</row>
    <row r="6" spans="1:214" x14ac:dyDescent="0.25">
      <c r="A6" s="93" t="s">
        <v>15</v>
      </c>
      <c r="B6" s="4">
        <f>SUM(D12:D46)</f>
        <v>6570</v>
      </c>
      <c r="C6" s="4"/>
      <c r="D6" s="4"/>
      <c r="E6" s="91"/>
      <c r="F6" t="s">
        <v>15</v>
      </c>
      <c r="G6" s="4">
        <f>SUM(I12:I46)</f>
        <v>7710</v>
      </c>
      <c r="H6" s="4"/>
      <c r="I6" s="98"/>
      <c r="J6" s="98"/>
      <c r="K6" s="98"/>
      <c r="L6" s="98"/>
      <c r="M6" s="98"/>
      <c r="N6" s="98"/>
      <c r="O6" s="98"/>
      <c r="P6" s="201"/>
      <c r="Q6" s="204"/>
      <c r="R6" s="204"/>
      <c r="S6" s="204"/>
      <c r="T6" s="204"/>
      <c r="U6" s="204"/>
      <c r="V6" s="204"/>
      <c r="W6" s="204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</row>
    <row r="7" spans="1:214" x14ac:dyDescent="0.25">
      <c r="A7" s="93" t="s">
        <v>88</v>
      </c>
      <c r="B7" s="4">
        <f>SUM(E12:E46)</f>
        <v>3870</v>
      </c>
      <c r="C7" s="4"/>
      <c r="D7" s="4"/>
      <c r="E7" s="91"/>
      <c r="F7" t="s">
        <v>88</v>
      </c>
      <c r="G7" s="4">
        <f>SUM(J12:J46)</f>
        <v>7710</v>
      </c>
      <c r="H7" s="4"/>
      <c r="I7" s="98"/>
      <c r="J7" s="98"/>
      <c r="K7" s="98"/>
      <c r="L7" s="98"/>
      <c r="M7" s="98"/>
      <c r="N7" s="98"/>
      <c r="O7" s="98"/>
      <c r="P7" s="201"/>
      <c r="Q7" s="204"/>
      <c r="R7" s="204"/>
      <c r="S7" s="204"/>
      <c r="T7" s="204"/>
      <c r="U7" s="204"/>
      <c r="V7" s="204"/>
      <c r="W7" s="204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</row>
    <row r="8" spans="1:214" x14ac:dyDescent="0.25">
      <c r="A8" s="93" t="s">
        <v>16</v>
      </c>
      <c r="B8" s="4">
        <f>B6-B7</f>
        <v>2700</v>
      </c>
      <c r="C8" s="4"/>
      <c r="D8" s="4"/>
      <c r="E8" s="91"/>
      <c r="F8" t="s">
        <v>16</v>
      </c>
      <c r="G8" s="4">
        <f>G6-G7</f>
        <v>0</v>
      </c>
      <c r="H8" s="4"/>
      <c r="I8" s="98"/>
      <c r="J8" s="98"/>
      <c r="K8" s="98"/>
      <c r="L8" s="98"/>
      <c r="M8" s="98"/>
      <c r="N8" s="98"/>
      <c r="O8" s="98"/>
      <c r="P8" s="201"/>
      <c r="Q8" s="204"/>
      <c r="R8" s="204"/>
      <c r="S8" s="204"/>
      <c r="T8" s="204"/>
      <c r="U8" s="204"/>
      <c r="V8" s="204"/>
      <c r="W8" s="204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</row>
    <row r="9" spans="1:214" x14ac:dyDescent="0.25">
      <c r="A9" s="225" t="s">
        <v>87</v>
      </c>
      <c r="B9" s="223">
        <f>B5 + B8</f>
        <v>37700</v>
      </c>
      <c r="C9" s="98"/>
      <c r="D9" s="98"/>
      <c r="E9" s="91"/>
      <c r="F9" s="118" t="s">
        <v>87</v>
      </c>
      <c r="G9" s="223">
        <f>G5 + G8</f>
        <v>15007</v>
      </c>
      <c r="H9" s="98"/>
      <c r="I9" s="98"/>
      <c r="J9" s="98"/>
      <c r="K9" s="98"/>
      <c r="L9" s="98"/>
      <c r="M9" s="98"/>
      <c r="N9" s="98"/>
      <c r="O9" s="98"/>
      <c r="P9" s="201"/>
      <c r="Q9" s="204"/>
      <c r="R9" s="204"/>
      <c r="S9" s="204"/>
      <c r="T9" s="204"/>
      <c r="U9" s="204"/>
      <c r="V9" s="204"/>
      <c r="W9" s="204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</row>
    <row r="10" spans="1:214" s="113" customFormat="1" x14ac:dyDescent="0.25">
      <c r="A10" s="226"/>
      <c r="B10" s="208"/>
      <c r="C10" s="208"/>
      <c r="D10" s="208"/>
      <c r="E10" s="227"/>
      <c r="K10" s="208"/>
      <c r="L10" s="208"/>
      <c r="M10" s="208"/>
      <c r="N10" s="208"/>
      <c r="O10" s="208"/>
      <c r="P10" s="209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D10" s="210"/>
      <c r="AE10" s="210"/>
      <c r="AF10" s="210"/>
      <c r="AG10" s="210"/>
      <c r="AH10" s="210"/>
      <c r="AI10" s="210"/>
      <c r="AJ10" s="210"/>
      <c r="AK10" s="210"/>
      <c r="AL10" s="210"/>
      <c r="AM10" s="210"/>
      <c r="AN10" s="210"/>
      <c r="AO10" s="210"/>
      <c r="AP10" s="210"/>
      <c r="AQ10" s="210"/>
      <c r="AR10" s="210"/>
      <c r="AS10" s="210"/>
      <c r="AT10" s="210"/>
      <c r="AU10" s="210"/>
      <c r="AV10" s="210"/>
      <c r="AW10" s="210"/>
      <c r="AX10" s="210"/>
      <c r="AY10" s="210"/>
      <c r="AZ10" s="210"/>
      <c r="BA10" s="210"/>
      <c r="BB10" s="210"/>
      <c r="BC10" s="210"/>
      <c r="BD10" s="210"/>
      <c r="BE10" s="210"/>
      <c r="BF10" s="210"/>
      <c r="BG10" s="210"/>
      <c r="BH10" s="210"/>
      <c r="BI10" s="210"/>
      <c r="BJ10" s="210"/>
      <c r="BK10" s="210"/>
      <c r="BL10" s="210"/>
      <c r="BM10" s="210"/>
      <c r="BN10" s="210"/>
      <c r="BO10" s="210"/>
      <c r="BP10" s="210"/>
      <c r="BQ10" s="210"/>
      <c r="BR10" s="210"/>
      <c r="BS10" s="210"/>
      <c r="BT10" s="210"/>
      <c r="BU10" s="210"/>
      <c r="BV10" s="210"/>
      <c r="BW10" s="210"/>
      <c r="BX10" s="210"/>
      <c r="BY10" s="210"/>
      <c r="BZ10" s="210"/>
      <c r="CA10" s="210"/>
      <c r="CB10" s="210"/>
      <c r="CC10" s="210"/>
      <c r="CD10" s="210"/>
      <c r="CE10" s="210"/>
      <c r="CF10" s="210"/>
      <c r="CG10" s="210"/>
      <c r="CH10" s="210"/>
      <c r="CI10" s="210"/>
      <c r="CJ10" s="210"/>
      <c r="CK10" s="210"/>
      <c r="CL10" s="210"/>
      <c r="CM10" s="210"/>
      <c r="CN10" s="210"/>
      <c r="CO10" s="210"/>
      <c r="CP10" s="210"/>
      <c r="CQ10" s="210"/>
      <c r="CR10" s="210"/>
      <c r="CS10" s="210"/>
      <c r="CT10" s="210"/>
      <c r="CU10" s="210"/>
      <c r="CV10" s="210"/>
      <c r="CW10" s="210"/>
      <c r="CX10" s="210"/>
      <c r="CY10" s="210"/>
      <c r="CZ10" s="210"/>
      <c r="DA10" s="210"/>
      <c r="DB10" s="210"/>
      <c r="DC10" s="210"/>
      <c r="DD10" s="210"/>
      <c r="DE10" s="210"/>
      <c r="DF10" s="210"/>
      <c r="DG10" s="210"/>
      <c r="DH10" s="210"/>
      <c r="DI10" s="210"/>
      <c r="DJ10" s="210"/>
      <c r="DK10" s="210"/>
      <c r="DL10" s="210"/>
      <c r="DM10" s="210"/>
      <c r="DN10" s="210"/>
      <c r="DO10" s="210"/>
      <c r="DP10" s="210"/>
      <c r="DQ10" s="210"/>
      <c r="DR10" s="210"/>
      <c r="DS10" s="210"/>
      <c r="DT10" s="210"/>
      <c r="DU10" s="210"/>
      <c r="DV10" s="210"/>
      <c r="DW10" s="210"/>
      <c r="DX10" s="210"/>
      <c r="DY10" s="210"/>
      <c r="DZ10" s="210"/>
      <c r="EA10" s="210"/>
      <c r="EB10" s="210"/>
      <c r="EC10" s="210"/>
      <c r="ED10" s="210"/>
      <c r="EE10" s="210"/>
      <c r="EF10" s="210"/>
      <c r="EG10" s="210"/>
      <c r="EH10" s="210"/>
      <c r="EI10" s="210"/>
      <c r="EJ10" s="210"/>
      <c r="EK10" s="210"/>
      <c r="EL10" s="210"/>
      <c r="EM10" s="210"/>
      <c r="EN10" s="210"/>
      <c r="EO10" s="210"/>
      <c r="EP10" s="210"/>
      <c r="EQ10" s="210"/>
      <c r="ER10" s="210"/>
      <c r="ES10" s="210"/>
      <c r="ET10" s="210"/>
      <c r="EU10" s="210"/>
      <c r="EV10" s="210"/>
      <c r="EW10" s="210"/>
      <c r="EX10" s="210"/>
      <c r="EY10" s="210"/>
      <c r="EZ10" s="210"/>
      <c r="FA10" s="210"/>
      <c r="FB10" s="210"/>
      <c r="FC10" s="210"/>
      <c r="FD10" s="210"/>
      <c r="FE10" s="210"/>
      <c r="FF10" s="210"/>
      <c r="FG10" s="210"/>
      <c r="FH10" s="210"/>
      <c r="FI10" s="210"/>
      <c r="FJ10" s="210"/>
      <c r="FK10" s="210"/>
      <c r="FL10" s="210"/>
      <c r="FM10" s="210"/>
      <c r="FN10" s="210"/>
      <c r="FO10" s="210"/>
      <c r="FP10" s="210"/>
    </row>
    <row r="11" spans="1:214" x14ac:dyDescent="0.25">
      <c r="A11" s="93" t="s">
        <v>13</v>
      </c>
      <c r="B11" s="4" t="s">
        <v>92</v>
      </c>
      <c r="C11" s="4" t="s">
        <v>91</v>
      </c>
      <c r="D11" s="4" t="s">
        <v>15</v>
      </c>
      <c r="E11" s="91" t="s">
        <v>95</v>
      </c>
      <c r="F11" s="101" t="s">
        <v>13</v>
      </c>
      <c r="G11" s="4" t="s">
        <v>92</v>
      </c>
      <c r="H11" s="4" t="s">
        <v>91</v>
      </c>
      <c r="I11" s="4" t="s">
        <v>94</v>
      </c>
      <c r="J11" s="4" t="s">
        <v>95</v>
      </c>
      <c r="K11" s="98"/>
      <c r="L11" s="98"/>
      <c r="M11" s="98"/>
      <c r="N11" s="98"/>
      <c r="O11" s="98"/>
      <c r="P11" s="201"/>
      <c r="Q11" s="204"/>
      <c r="R11" s="204"/>
      <c r="S11" s="204"/>
      <c r="T11" s="204"/>
      <c r="U11" s="204"/>
      <c r="V11" s="204"/>
      <c r="W11" s="204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215">
        <v>43586.259375000001</v>
      </c>
      <c r="B12" s="4">
        <v>10000</v>
      </c>
      <c r="C12" s="5"/>
      <c r="D12" s="98"/>
      <c r="E12" s="91"/>
      <c r="F12" s="220">
        <v>43587.187615740739</v>
      </c>
      <c r="G12" s="4">
        <v>20000</v>
      </c>
      <c r="H12" s="5"/>
      <c r="I12" s="98"/>
      <c r="J12" s="98"/>
      <c r="K12" s="98"/>
      <c r="L12" s="98"/>
      <c r="M12" s="98"/>
      <c r="N12" s="98"/>
      <c r="O12" s="98"/>
      <c r="P12" s="201"/>
      <c r="Q12" s="204"/>
      <c r="R12" s="204"/>
      <c r="S12" s="204"/>
      <c r="T12" s="204"/>
      <c r="U12" s="204"/>
      <c r="V12" s="204"/>
      <c r="W12" s="204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5"/>
      <c r="AJ12" s="205"/>
      <c r="AK12" s="205"/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  <c r="BY12" s="205"/>
      <c r="BZ12" s="205"/>
      <c r="CA12" s="205"/>
      <c r="CB12" s="205"/>
      <c r="CC12" s="205"/>
      <c r="CD12" s="205"/>
      <c r="CE12" s="205"/>
      <c r="CF12" s="205"/>
      <c r="CG12" s="205"/>
      <c r="CH12" s="205"/>
      <c r="CI12" s="205"/>
      <c r="CJ12" s="205"/>
      <c r="CK12" s="205"/>
      <c r="CL12" s="205"/>
      <c r="CM12" s="205"/>
      <c r="CN12" s="205"/>
      <c r="CO12" s="205"/>
      <c r="CP12" s="205"/>
      <c r="CQ12" s="205"/>
      <c r="CR12" s="205"/>
      <c r="CS12" s="205"/>
      <c r="CT12" s="205"/>
      <c r="CU12" s="205"/>
      <c r="CV12" s="205"/>
      <c r="CW12" s="205"/>
      <c r="CX12" s="205"/>
      <c r="CY12" s="205"/>
      <c r="CZ12" s="205"/>
      <c r="DA12" s="205"/>
      <c r="DB12" s="205"/>
      <c r="DC12" s="205"/>
      <c r="DD12" s="205"/>
      <c r="DE12" s="205"/>
      <c r="DF12" s="205"/>
      <c r="DG12" s="205"/>
      <c r="DH12" s="205"/>
      <c r="DI12" s="205"/>
      <c r="DJ12" s="205"/>
      <c r="DK12" s="205"/>
      <c r="DL12" s="205"/>
      <c r="DM12" s="205"/>
      <c r="DN12" s="205"/>
      <c r="DO12" s="205"/>
      <c r="DP12" s="205"/>
      <c r="DQ12" s="205"/>
      <c r="DR12" s="205"/>
      <c r="DS12" s="205"/>
      <c r="DT12" s="205"/>
      <c r="DU12" s="205"/>
      <c r="DV12" s="205"/>
      <c r="DW12" s="205"/>
      <c r="DX12" s="205"/>
      <c r="DY12" s="205"/>
      <c r="DZ12" s="205"/>
      <c r="EA12" s="205"/>
      <c r="EB12" s="205"/>
      <c r="EC12" s="205"/>
      <c r="ED12" s="205"/>
      <c r="EE12" s="205"/>
      <c r="EF12" s="205"/>
      <c r="EG12" s="205"/>
      <c r="EH12" s="205"/>
      <c r="EI12" s="205"/>
      <c r="EJ12" s="205"/>
      <c r="EK12" s="205"/>
      <c r="EL12" s="205"/>
      <c r="EM12" s="205"/>
      <c r="EN12" s="205"/>
      <c r="EO12" s="205"/>
      <c r="EP12" s="205"/>
      <c r="EQ12" s="205"/>
      <c r="ER12" s="205"/>
      <c r="ES12" s="205"/>
      <c r="ET12" s="205"/>
      <c r="EU12" s="205"/>
      <c r="EV12" s="205"/>
      <c r="EW12" s="205"/>
      <c r="EX12" s="205"/>
      <c r="EY12" s="205"/>
      <c r="EZ12" s="205"/>
      <c r="FA12" s="205"/>
      <c r="FB12" s="205"/>
      <c r="FC12" s="205"/>
      <c r="FD12" s="205"/>
      <c r="FE12" s="205"/>
      <c r="FF12" s="205"/>
      <c r="FG12" s="205"/>
      <c r="FH12" s="205"/>
      <c r="FI12" s="205"/>
      <c r="FJ12" s="205"/>
      <c r="FK12" s="205"/>
      <c r="FL12" s="205"/>
      <c r="FM12" s="205"/>
      <c r="FN12" s="205"/>
      <c r="FO12" s="205"/>
      <c r="FP12" s="205"/>
    </row>
    <row r="13" spans="1:214" x14ac:dyDescent="0.25">
      <c r="A13" s="215">
        <v>43600.259398148148</v>
      </c>
      <c r="B13" s="4">
        <v>0</v>
      </c>
      <c r="C13" s="4"/>
      <c r="D13" s="98">
        <v>300</v>
      </c>
      <c r="E13" s="216">
        <v>300</v>
      </c>
      <c r="F13" s="220">
        <v>43587.195613425924</v>
      </c>
      <c r="G13" s="4"/>
      <c r="H13" s="4"/>
      <c r="I13" s="98">
        <v>600</v>
      </c>
      <c r="J13" s="98">
        <v>600</v>
      </c>
      <c r="K13" s="98"/>
      <c r="L13" s="98"/>
      <c r="M13" s="98"/>
      <c r="N13" s="98"/>
      <c r="O13" s="98"/>
      <c r="P13" s="201"/>
      <c r="Q13" s="204"/>
      <c r="R13" s="204"/>
      <c r="S13" s="204"/>
      <c r="T13" s="204"/>
      <c r="U13" s="204"/>
      <c r="V13" s="204"/>
      <c r="W13" s="204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215">
        <v>43615.259699074071</v>
      </c>
      <c r="B14" s="4">
        <v>0</v>
      </c>
      <c r="C14" s="4"/>
      <c r="D14" s="98"/>
      <c r="E14" s="216"/>
      <c r="F14" s="220">
        <v>43587.206620370373</v>
      </c>
      <c r="G14" s="4"/>
      <c r="H14" s="4"/>
      <c r="I14" s="98"/>
      <c r="J14" s="98"/>
      <c r="K14" s="98"/>
      <c r="L14" s="98"/>
      <c r="M14" s="98"/>
      <c r="N14" s="98" t="s">
        <v>96</v>
      </c>
      <c r="O14" s="98"/>
      <c r="P14" s="201"/>
      <c r="Q14" s="204"/>
      <c r="R14" s="204"/>
      <c r="S14" s="204"/>
      <c r="T14" s="204"/>
      <c r="U14" s="204"/>
      <c r="V14" s="204"/>
      <c r="W14" s="204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215">
        <v>43586.260092592594</v>
      </c>
      <c r="B15" s="4"/>
      <c r="C15" s="4"/>
      <c r="D15" s="98">
        <v>300</v>
      </c>
      <c r="E15" s="216">
        <v>300</v>
      </c>
      <c r="F15" s="220">
        <v>43587.206643518519</v>
      </c>
      <c r="G15" s="4"/>
      <c r="H15" s="4"/>
      <c r="I15" s="98">
        <v>600</v>
      </c>
      <c r="J15" s="98">
        <v>600</v>
      </c>
      <c r="K15" s="98"/>
      <c r="L15" s="98"/>
      <c r="M15" s="98"/>
      <c r="N15" s="98"/>
      <c r="O15" s="98"/>
      <c r="P15" s="201"/>
      <c r="Q15" s="204"/>
      <c r="R15" s="204"/>
      <c r="S15" s="204"/>
      <c r="T15" s="204"/>
      <c r="U15" s="204"/>
      <c r="V15" s="204"/>
      <c r="W15" s="204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215">
        <v>43586.26017361111</v>
      </c>
      <c r="B16" s="4"/>
      <c r="C16" s="4"/>
      <c r="D16" s="98"/>
      <c r="E16" s="216"/>
      <c r="F16" s="220">
        <v>43587.206666666665</v>
      </c>
      <c r="G16" s="4"/>
      <c r="H16" s="4"/>
      <c r="I16" s="98">
        <v>600</v>
      </c>
      <c r="J16" s="98">
        <v>600</v>
      </c>
      <c r="K16" s="98"/>
      <c r="L16" s="98"/>
      <c r="M16" s="98"/>
      <c r="N16" s="98"/>
      <c r="O16" s="98"/>
      <c r="P16" s="201"/>
      <c r="Q16" s="204"/>
      <c r="R16" s="204"/>
      <c r="S16" s="204"/>
      <c r="T16" s="204"/>
      <c r="U16" s="204"/>
      <c r="V16" s="204"/>
      <c r="W16" s="204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215">
        <v>43586.260243055556</v>
      </c>
      <c r="B17" s="4">
        <v>0</v>
      </c>
      <c r="C17" s="4">
        <v>3000</v>
      </c>
      <c r="D17" s="98"/>
      <c r="E17" s="216"/>
      <c r="F17" s="220">
        <v>43587.206666666665</v>
      </c>
      <c r="G17" s="4"/>
      <c r="H17" s="4"/>
      <c r="I17" s="98">
        <v>600</v>
      </c>
      <c r="J17" s="98">
        <v>600</v>
      </c>
      <c r="K17" s="98"/>
      <c r="L17" s="98"/>
      <c r="M17" s="98"/>
      <c r="N17" s="98"/>
      <c r="O17" s="98"/>
      <c r="P17" s="201"/>
      <c r="Q17" s="204"/>
      <c r="R17" s="204"/>
      <c r="S17" s="204"/>
      <c r="T17" s="204"/>
      <c r="U17" s="204"/>
      <c r="V17" s="204"/>
      <c r="W17" s="204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215">
        <v>43586.260254629633</v>
      </c>
      <c r="B18" s="5">
        <v>0</v>
      </c>
      <c r="C18" s="4"/>
      <c r="D18" s="98">
        <v>210</v>
      </c>
      <c r="E18" s="216">
        <v>210</v>
      </c>
      <c r="F18" s="220">
        <v>43587.206712962965</v>
      </c>
      <c r="G18" s="4"/>
      <c r="H18" s="4"/>
      <c r="I18" s="98"/>
      <c r="J18" s="98"/>
      <c r="K18" s="98"/>
      <c r="L18" s="98"/>
      <c r="M18" s="98"/>
      <c r="N18" s="98"/>
      <c r="O18" s="98"/>
      <c r="P18" s="201"/>
      <c r="Q18" s="204"/>
      <c r="R18" s="204"/>
      <c r="S18" s="204"/>
      <c r="T18" s="204"/>
      <c r="U18" s="204"/>
      <c r="V18" s="204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215">
        <v>43586.260347222225</v>
      </c>
      <c r="B19" s="5">
        <v>0</v>
      </c>
      <c r="C19" s="4"/>
      <c r="D19" s="98"/>
      <c r="E19" s="216"/>
      <c r="F19" s="220">
        <v>43587.206747685188</v>
      </c>
      <c r="G19" s="4"/>
      <c r="H19" s="4"/>
      <c r="I19" s="98"/>
      <c r="J19" s="98"/>
      <c r="K19" s="98"/>
      <c r="L19" s="98"/>
      <c r="M19" s="98"/>
      <c r="N19" s="98"/>
      <c r="O19" s="98"/>
      <c r="P19" s="201"/>
      <c r="Q19" s="204"/>
      <c r="R19" s="204"/>
      <c r="S19" s="204"/>
      <c r="T19" s="204"/>
      <c r="U19" s="204"/>
      <c r="V19" s="204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215">
        <v>43586.952615740738</v>
      </c>
      <c r="B20" s="5"/>
      <c r="C20" s="4"/>
      <c r="D20" s="98">
        <v>210</v>
      </c>
      <c r="E20" s="216">
        <v>210</v>
      </c>
      <c r="F20" s="220">
        <v>43587.206805555557</v>
      </c>
      <c r="G20" s="5">
        <v>0</v>
      </c>
      <c r="H20" s="4">
        <v>5000</v>
      </c>
      <c r="I20" s="98"/>
      <c r="J20" s="98"/>
      <c r="K20" s="98"/>
      <c r="L20" s="98"/>
      <c r="M20" s="98"/>
      <c r="N20" s="98"/>
      <c r="O20" s="98"/>
      <c r="P20" s="201"/>
      <c r="Q20" s="204"/>
      <c r="R20" s="204"/>
      <c r="S20" s="204"/>
      <c r="T20" s="204"/>
      <c r="U20" s="204"/>
      <c r="V20" s="204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215">
        <v>43586.952766203707</v>
      </c>
      <c r="B21" s="5"/>
      <c r="C21" s="4"/>
      <c r="D21" s="98"/>
      <c r="E21" s="216"/>
      <c r="F21" s="220">
        <v>43587.206817129627</v>
      </c>
      <c r="G21" s="5">
        <v>0</v>
      </c>
      <c r="H21" s="4"/>
      <c r="I21" s="98">
        <v>450</v>
      </c>
      <c r="J21" s="98">
        <v>450</v>
      </c>
      <c r="K21" s="98"/>
      <c r="L21" s="98"/>
      <c r="M21" s="98"/>
      <c r="N21" s="98"/>
      <c r="O21" s="98"/>
      <c r="P21" s="201"/>
      <c r="Q21" s="204"/>
      <c r="R21" s="204"/>
      <c r="S21" s="204"/>
      <c r="T21" s="204"/>
      <c r="U21" s="204"/>
      <c r="V21" s="204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215">
        <v>43586.952800925923</v>
      </c>
      <c r="B22" s="4"/>
      <c r="C22" s="4"/>
      <c r="D22" s="98">
        <v>210</v>
      </c>
      <c r="E22" s="216">
        <v>210</v>
      </c>
      <c r="F22" s="220">
        <v>43587.20684027778</v>
      </c>
      <c r="G22" s="4">
        <v>0</v>
      </c>
      <c r="H22" s="4"/>
      <c r="I22" s="98">
        <v>450</v>
      </c>
      <c r="J22" s="98">
        <v>450</v>
      </c>
      <c r="K22" s="98"/>
      <c r="L22" s="98"/>
      <c r="M22" s="98"/>
      <c r="N22" s="98"/>
      <c r="O22" s="98"/>
      <c r="P22" s="201"/>
      <c r="Q22" s="204"/>
      <c r="R22" s="204"/>
      <c r="S22" s="204"/>
      <c r="T22" s="204"/>
      <c r="U22" s="204"/>
      <c r="V22" s="204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215">
        <v>43586.958854166667</v>
      </c>
      <c r="B23" s="4"/>
      <c r="C23" s="4"/>
      <c r="D23" s="98"/>
      <c r="E23" s="216"/>
      <c r="F23" s="220">
        <v>43587.206863425927</v>
      </c>
      <c r="G23" s="4">
        <v>0</v>
      </c>
      <c r="H23" s="4"/>
      <c r="I23" s="98"/>
      <c r="J23" s="98"/>
      <c r="K23" s="98"/>
      <c r="L23" s="98"/>
      <c r="M23" s="98"/>
      <c r="N23" s="98"/>
      <c r="O23" s="98"/>
      <c r="P23" s="201"/>
      <c r="Q23" s="204"/>
      <c r="R23" s="204"/>
      <c r="S23" s="204"/>
      <c r="T23" s="204"/>
      <c r="U23" s="204"/>
      <c r="V23" s="204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215">
        <v>43586.958958333336</v>
      </c>
      <c r="B24" s="4"/>
      <c r="C24" s="4"/>
      <c r="D24" s="98">
        <v>210</v>
      </c>
      <c r="E24" s="216">
        <v>210</v>
      </c>
      <c r="F24" s="220">
        <v>43587.206886574073</v>
      </c>
      <c r="G24" s="4">
        <v>0</v>
      </c>
      <c r="H24" s="4"/>
      <c r="I24" s="98"/>
      <c r="J24" s="98"/>
      <c r="K24" s="98"/>
      <c r="L24" s="98"/>
      <c r="M24" s="98"/>
      <c r="N24" s="98"/>
      <c r="O24" s="98"/>
      <c r="P24" s="201"/>
      <c r="Q24" s="204"/>
      <c r="R24" s="204"/>
      <c r="S24" s="204"/>
      <c r="T24" s="204"/>
      <c r="U24" s="204"/>
      <c r="V24" s="204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215">
        <v>43586.959027777775</v>
      </c>
      <c r="B25" s="4"/>
      <c r="C25" s="4"/>
      <c r="D25" s="98"/>
      <c r="E25" s="216"/>
      <c r="F25" s="220">
        <v>43587.206932870373</v>
      </c>
      <c r="G25" s="4">
        <v>2000</v>
      </c>
      <c r="H25" s="4"/>
      <c r="I25" s="98"/>
      <c r="J25" s="98"/>
      <c r="K25" s="98"/>
      <c r="L25" s="98"/>
      <c r="M25" s="98"/>
      <c r="N25" s="98"/>
      <c r="O25" s="98"/>
      <c r="P25" s="201"/>
      <c r="Q25" s="204"/>
      <c r="R25" s="204"/>
      <c r="S25" s="204"/>
      <c r="T25" s="204"/>
      <c r="U25" s="204"/>
      <c r="V25" s="204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215">
        <v>43586.961481481485</v>
      </c>
      <c r="B26" s="4"/>
      <c r="C26" s="4"/>
      <c r="D26" s="98">
        <v>210</v>
      </c>
      <c r="E26" s="216">
        <v>210</v>
      </c>
      <c r="F26" s="220">
        <v>43587.206944444442</v>
      </c>
      <c r="G26" s="4">
        <v>0</v>
      </c>
      <c r="H26" s="4"/>
      <c r="I26" s="98">
        <v>510</v>
      </c>
      <c r="J26" s="98">
        <v>510</v>
      </c>
      <c r="K26" s="98"/>
      <c r="L26" s="98"/>
      <c r="M26" s="98"/>
      <c r="N26" s="98"/>
      <c r="O26" s="98"/>
      <c r="P26" s="201"/>
      <c r="Q26" s="204"/>
      <c r="R26" s="204"/>
      <c r="S26" s="204"/>
      <c r="T26" s="204"/>
      <c r="U26" s="204"/>
      <c r="V26" s="20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215">
        <v>43586.961539351854</v>
      </c>
      <c r="B27" s="4"/>
      <c r="C27" s="4"/>
      <c r="D27" s="98"/>
      <c r="E27" s="216"/>
      <c r="F27" s="220">
        <v>43587.206979166665</v>
      </c>
      <c r="G27" s="4">
        <v>0</v>
      </c>
      <c r="H27" s="4"/>
      <c r="I27" s="98"/>
      <c r="J27" s="98"/>
      <c r="K27" s="98"/>
      <c r="L27" s="98"/>
      <c r="M27" s="98"/>
      <c r="N27" s="98"/>
      <c r="O27" s="98"/>
      <c r="P27" s="201"/>
      <c r="Q27" s="204"/>
      <c r="R27" s="204"/>
      <c r="S27" s="204"/>
      <c r="T27" s="204"/>
      <c r="U27" s="204"/>
      <c r="V27" s="204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217">
        <v>43586.961597222224</v>
      </c>
      <c r="B28" s="5"/>
      <c r="C28" s="4"/>
      <c r="D28" s="98">
        <v>210</v>
      </c>
      <c r="E28" s="216">
        <v>210</v>
      </c>
      <c r="F28" s="207"/>
      <c r="G28" s="4">
        <v>0</v>
      </c>
      <c r="H28" s="4"/>
      <c r="I28" s="98"/>
      <c r="J28" s="98"/>
      <c r="K28" s="98"/>
      <c r="L28" s="98"/>
      <c r="M28" s="98"/>
      <c r="N28" s="98"/>
      <c r="O28" s="98"/>
      <c r="P28" s="201"/>
      <c r="Q28" s="204"/>
      <c r="R28" s="204"/>
      <c r="S28" s="204"/>
      <c r="T28" s="204"/>
      <c r="U28" s="204"/>
      <c r="V28" s="204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218">
        <v>43586.961863425924</v>
      </c>
      <c r="B29" s="5"/>
      <c r="C29" s="4"/>
      <c r="D29" s="98"/>
      <c r="E29" s="216"/>
      <c r="F29" s="221">
        <v>43587.18712962963</v>
      </c>
      <c r="G29" s="5">
        <v>0</v>
      </c>
      <c r="H29" s="4"/>
      <c r="I29" s="98">
        <v>1500</v>
      </c>
      <c r="J29" s="98">
        <v>1500</v>
      </c>
      <c r="K29" s="4"/>
      <c r="L29" s="4"/>
      <c r="M29" s="4"/>
      <c r="N29" s="4"/>
      <c r="O29" s="4"/>
      <c r="P29" s="202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218">
        <v>43586.962094907409</v>
      </c>
      <c r="B30" s="5"/>
      <c r="C30" s="4"/>
      <c r="D30" s="98">
        <v>210</v>
      </c>
      <c r="E30" s="216">
        <v>210</v>
      </c>
      <c r="F30" s="221">
        <v>43587.187175925923</v>
      </c>
      <c r="G30" s="5">
        <v>0</v>
      </c>
      <c r="H30" s="4"/>
      <c r="I30" s="98"/>
      <c r="J30" s="98"/>
      <c r="K30" s="4"/>
      <c r="L30" s="4"/>
      <c r="M30" s="4"/>
      <c r="N30" s="4"/>
      <c r="O30" s="4"/>
      <c r="P30" s="202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218">
        <v>43586.971516203703</v>
      </c>
      <c r="B31" s="5"/>
      <c r="C31" s="4"/>
      <c r="D31" s="98"/>
      <c r="E31" s="216"/>
      <c r="F31" s="221">
        <v>43587.187476851854</v>
      </c>
      <c r="G31" s="5">
        <v>0</v>
      </c>
      <c r="H31" s="4">
        <v>2000</v>
      </c>
      <c r="I31" s="98"/>
      <c r="J31" s="98"/>
      <c r="K31" s="4"/>
      <c r="L31" s="4"/>
      <c r="M31" s="4"/>
      <c r="N31" s="4"/>
      <c r="O31" s="4"/>
      <c r="P31" s="202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218">
        <v>43586.971550925926</v>
      </c>
      <c r="B32" s="5"/>
      <c r="C32" s="4"/>
      <c r="D32" s="98">
        <v>210</v>
      </c>
      <c r="E32" s="216">
        <v>210</v>
      </c>
      <c r="F32" s="221">
        <v>43587.1875</v>
      </c>
      <c r="G32" s="4">
        <v>0</v>
      </c>
      <c r="H32" s="4"/>
      <c r="I32" s="98">
        <v>900</v>
      </c>
      <c r="J32" s="98">
        <v>900</v>
      </c>
      <c r="K32" s="4"/>
      <c r="L32" s="4"/>
      <c r="M32" s="4"/>
      <c r="N32" s="4"/>
      <c r="O32" s="4"/>
      <c r="P32" s="202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218">
        <v>43586.971550925926</v>
      </c>
      <c r="B33" s="5"/>
      <c r="C33" s="4"/>
      <c r="D33" s="98">
        <v>210</v>
      </c>
      <c r="E33" s="216">
        <v>210</v>
      </c>
      <c r="F33" s="221">
        <v>43587.1875462963</v>
      </c>
      <c r="G33" s="4">
        <v>0</v>
      </c>
      <c r="H33" s="4"/>
      <c r="I33" s="98">
        <v>1500</v>
      </c>
      <c r="J33" s="98">
        <v>1500</v>
      </c>
      <c r="K33" s="4"/>
      <c r="L33" s="4"/>
      <c r="M33" s="4"/>
      <c r="N33" s="4"/>
      <c r="O33" s="4"/>
      <c r="P33" s="202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218">
        <v>43586.971562500003</v>
      </c>
      <c r="B34" s="5"/>
      <c r="C34" s="4"/>
      <c r="D34" s="98">
        <v>210</v>
      </c>
      <c r="E34" s="216">
        <v>210</v>
      </c>
      <c r="F34" s="221"/>
      <c r="G34" s="4"/>
      <c r="H34" s="4"/>
      <c r="I34" s="4"/>
      <c r="J34" s="4"/>
      <c r="K34" s="4"/>
      <c r="L34" s="4"/>
      <c r="M34" s="4"/>
      <c r="N34" s="4"/>
      <c r="O34" s="4"/>
      <c r="P34" s="202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218">
        <v>43586.971620370372</v>
      </c>
      <c r="B35" s="5"/>
      <c r="C35" s="4"/>
      <c r="D35" s="98"/>
      <c r="E35" s="216"/>
      <c r="F35" s="211"/>
      <c r="G35" s="4"/>
      <c r="H35" s="4"/>
      <c r="I35" s="4"/>
      <c r="J35" s="4"/>
      <c r="K35" s="4"/>
      <c r="L35" s="4"/>
      <c r="M35" s="4"/>
      <c r="N35" s="4"/>
      <c r="O35" s="4"/>
      <c r="P35" s="202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218">
        <v>43587.008402777778</v>
      </c>
      <c r="B36" s="5"/>
      <c r="C36" s="4"/>
      <c r="D36" s="98">
        <v>210</v>
      </c>
      <c r="E36" s="216">
        <v>210</v>
      </c>
      <c r="F36" s="211"/>
      <c r="G36" s="4"/>
      <c r="H36" s="4"/>
      <c r="I36" s="4"/>
      <c r="J36" s="4"/>
      <c r="K36" s="4"/>
      <c r="L36" s="4"/>
      <c r="M36" s="4"/>
      <c r="N36" s="4"/>
      <c r="O36" s="4"/>
      <c r="P36" s="202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218">
        <v>43587.178761574076</v>
      </c>
      <c r="B37" s="5"/>
      <c r="C37" s="4"/>
      <c r="D37" s="98"/>
      <c r="E37" s="216"/>
      <c r="F37" s="211"/>
      <c r="G37" s="4"/>
      <c r="H37" s="4"/>
      <c r="I37" s="4"/>
      <c r="J37" s="4"/>
      <c r="K37" s="4"/>
      <c r="L37" s="4"/>
      <c r="M37" s="4"/>
      <c r="N37" s="4"/>
      <c r="O37" s="4"/>
      <c r="P37" s="202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218">
        <v>43587.186921296299</v>
      </c>
      <c r="B38" s="5"/>
      <c r="C38" s="4"/>
      <c r="D38" s="98">
        <v>210</v>
      </c>
      <c r="E38" s="216">
        <v>210</v>
      </c>
      <c r="F38" s="211"/>
      <c r="G38" s="4"/>
      <c r="H38" s="4"/>
      <c r="I38" s="4"/>
      <c r="J38" s="4"/>
      <c r="K38" s="4"/>
      <c r="L38" s="4"/>
      <c r="M38" s="4"/>
      <c r="N38" s="4"/>
      <c r="O38" s="4"/>
      <c r="P38" s="202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218">
        <v>43587.187326388892</v>
      </c>
      <c r="B39" s="5">
        <v>0</v>
      </c>
      <c r="C39" s="4">
        <v>2000</v>
      </c>
      <c r="D39" s="98"/>
      <c r="E39" s="216"/>
      <c r="F39" s="211"/>
      <c r="G39" s="4"/>
      <c r="H39" s="4"/>
      <c r="I39" s="4"/>
      <c r="J39" s="4"/>
      <c r="K39" s="4"/>
      <c r="L39" s="4"/>
      <c r="M39" s="4"/>
      <c r="N39" s="4"/>
      <c r="O39" s="4"/>
      <c r="P39" s="202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218">
        <v>43587.187372685185</v>
      </c>
      <c r="B40" s="5">
        <v>0</v>
      </c>
      <c r="C40" s="4"/>
      <c r="D40" s="98"/>
      <c r="E40" s="216"/>
      <c r="F40" s="211"/>
      <c r="G40" s="4"/>
      <c r="H40" s="4"/>
      <c r="I40" s="4"/>
      <c r="J40" s="4"/>
      <c r="K40" s="4"/>
      <c r="L40" s="4"/>
      <c r="M40" s="4"/>
      <c r="N40" s="4"/>
      <c r="O40" s="4"/>
      <c r="P40" s="202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218">
        <v>45708.459594907406</v>
      </c>
      <c r="B41" s="5">
        <v>20000</v>
      </c>
      <c r="C41" s="4"/>
      <c r="D41" s="98"/>
      <c r="E41" s="216"/>
      <c r="F41" s="222"/>
      <c r="G41" s="116"/>
      <c r="H41" s="116"/>
      <c r="I41" s="116"/>
      <c r="J41" s="116"/>
      <c r="K41" s="4"/>
      <c r="L41" s="4"/>
      <c r="M41" s="4"/>
      <c r="N41" s="4"/>
      <c r="O41" s="4"/>
      <c r="P41" s="202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218">
        <v>45708.45994212963</v>
      </c>
      <c r="B42" s="5">
        <v>0</v>
      </c>
      <c r="C42" s="4"/>
      <c r="D42" s="98">
        <v>750</v>
      </c>
      <c r="E42" s="216">
        <v>750</v>
      </c>
      <c r="F42" s="211"/>
      <c r="G42" s="4"/>
      <c r="H42" s="4"/>
      <c r="I42" s="4"/>
      <c r="J42" s="4"/>
      <c r="K42" s="4"/>
      <c r="L42" s="4"/>
      <c r="M42" s="4"/>
      <c r="N42" s="4"/>
      <c r="O42" s="4"/>
      <c r="P42" s="202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218">
        <v>45708.459988425922</v>
      </c>
      <c r="B43" s="5">
        <v>0</v>
      </c>
      <c r="C43" s="4"/>
      <c r="D43" s="98">
        <v>750</v>
      </c>
      <c r="E43" s="216"/>
      <c r="F43" s="211"/>
      <c r="G43" s="4"/>
      <c r="H43" s="4"/>
      <c r="I43" s="4"/>
      <c r="J43" s="4"/>
      <c r="K43" s="4"/>
      <c r="L43" s="4"/>
      <c r="M43" s="4"/>
      <c r="N43" s="4"/>
      <c r="O43" s="4"/>
      <c r="P43" s="202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218">
        <v>45708.460011574076</v>
      </c>
      <c r="B44" s="5">
        <v>0</v>
      </c>
      <c r="C44" s="4"/>
      <c r="D44" s="98">
        <v>750</v>
      </c>
      <c r="E44" s="216"/>
      <c r="F44" s="211"/>
      <c r="G44" s="4"/>
      <c r="H44" s="4"/>
      <c r="I44" s="4"/>
      <c r="J44" s="4"/>
      <c r="K44" s="4"/>
      <c r="L44" s="4"/>
      <c r="M44" s="4"/>
      <c r="N44" s="4"/>
      <c r="O44" s="4"/>
      <c r="P44" s="202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228">
        <v>45708.460104166668</v>
      </c>
      <c r="B45" s="219">
        <v>0</v>
      </c>
      <c r="C45" s="95"/>
      <c r="D45" s="229">
        <v>1200</v>
      </c>
      <c r="E45" s="230"/>
      <c r="F45" s="211"/>
      <c r="G45" s="4"/>
      <c r="H45" s="4"/>
      <c r="I45" s="4"/>
      <c r="J45" s="4"/>
      <c r="K45" s="4"/>
      <c r="L45" s="4"/>
      <c r="M45" s="4"/>
      <c r="N45" s="4"/>
      <c r="O45" s="4"/>
      <c r="P45" s="202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224"/>
      <c r="B46" s="114"/>
      <c r="C46" s="116"/>
      <c r="D46" s="117"/>
      <c r="E46" s="114"/>
      <c r="F46" s="211"/>
      <c r="G46" s="4"/>
      <c r="H46" s="4"/>
      <c r="I46" s="4"/>
      <c r="J46" s="4"/>
      <c r="K46" s="4"/>
      <c r="L46" s="4"/>
      <c r="M46" s="4"/>
      <c r="N46" s="4"/>
      <c r="O46" s="4"/>
      <c r="P46" s="202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202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202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202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202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202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9">
        <v>1</v>
      </c>
      <c r="B52" s="5"/>
      <c r="C52" s="5">
        <v>3</v>
      </c>
      <c r="D52" s="5">
        <v>4</v>
      </c>
      <c r="E52" s="99">
        <v>5</v>
      </c>
      <c r="F52" s="203">
        <v>6</v>
      </c>
      <c r="G52" s="5">
        <v>7</v>
      </c>
      <c r="H52" s="5">
        <v>8</v>
      </c>
      <c r="I52" s="99">
        <v>9</v>
      </c>
      <c r="J52" s="5">
        <v>10</v>
      </c>
      <c r="K52" s="5">
        <v>11</v>
      </c>
      <c r="L52" s="5">
        <v>12</v>
      </c>
      <c r="M52" s="99">
        <v>13</v>
      </c>
      <c r="N52" s="5">
        <v>14</v>
      </c>
      <c r="O52" s="5">
        <v>15</v>
      </c>
      <c r="P52" s="10">
        <v>16</v>
      </c>
      <c r="Q52" s="206">
        <v>17</v>
      </c>
      <c r="R52" s="205">
        <v>18</v>
      </c>
      <c r="S52" s="205">
        <v>19</v>
      </c>
      <c r="T52" s="205">
        <v>20</v>
      </c>
      <c r="U52" s="206">
        <v>21</v>
      </c>
      <c r="V52" s="205">
        <v>22</v>
      </c>
      <c r="W52" s="205">
        <v>23</v>
      </c>
      <c r="X52" s="205">
        <v>24</v>
      </c>
      <c r="Y52" s="206">
        <v>25</v>
      </c>
      <c r="Z52" s="205">
        <v>26</v>
      </c>
      <c r="AA52" s="205">
        <v>27</v>
      </c>
      <c r="AB52" s="205">
        <v>28</v>
      </c>
      <c r="AC52" s="206">
        <v>29</v>
      </c>
      <c r="AD52" s="3">
        <v>30</v>
      </c>
      <c r="AE52" s="205">
        <v>31</v>
      </c>
      <c r="AF52" s="205">
        <v>32</v>
      </c>
      <c r="AG52" s="206">
        <v>33</v>
      </c>
      <c r="AH52" s="204">
        <v>34</v>
      </c>
      <c r="AI52" s="3">
        <v>35</v>
      </c>
      <c r="AJ52" s="205">
        <v>36</v>
      </c>
      <c r="AK52" s="206">
        <v>37</v>
      </c>
      <c r="AL52" s="205">
        <v>38</v>
      </c>
      <c r="AM52" s="204">
        <v>39</v>
      </c>
      <c r="AN52" s="3">
        <v>40</v>
      </c>
      <c r="AO52" s="206">
        <v>41</v>
      </c>
      <c r="AP52" s="205">
        <v>42</v>
      </c>
      <c r="AQ52" s="205">
        <v>43</v>
      </c>
      <c r="AR52" s="204">
        <v>44</v>
      </c>
      <c r="AS52" s="206">
        <v>45</v>
      </c>
      <c r="AT52" s="205">
        <v>46</v>
      </c>
      <c r="AU52" s="205">
        <v>47</v>
      </c>
      <c r="AV52" s="205">
        <v>48</v>
      </c>
      <c r="AW52" s="206">
        <v>49</v>
      </c>
      <c r="AX52" s="3">
        <v>50</v>
      </c>
      <c r="AY52" s="205">
        <v>51</v>
      </c>
      <c r="AZ52" s="205">
        <v>52</v>
      </c>
      <c r="BA52" s="206">
        <v>53</v>
      </c>
      <c r="BB52" s="204">
        <v>54</v>
      </c>
      <c r="BC52" s="3">
        <v>55</v>
      </c>
      <c r="BD52" s="205">
        <v>56</v>
      </c>
      <c r="BE52" s="206">
        <v>57</v>
      </c>
      <c r="BF52" s="205">
        <v>58</v>
      </c>
      <c r="BG52" s="204">
        <v>59</v>
      </c>
      <c r="BH52" s="3">
        <v>60</v>
      </c>
      <c r="BI52" s="206">
        <v>61</v>
      </c>
      <c r="BJ52" s="205">
        <v>62</v>
      </c>
      <c r="BK52" s="205">
        <v>63</v>
      </c>
      <c r="BL52" s="204">
        <v>64</v>
      </c>
      <c r="BM52" s="206">
        <v>65</v>
      </c>
      <c r="BN52" s="205">
        <v>66</v>
      </c>
      <c r="BO52" s="205">
        <v>67</v>
      </c>
      <c r="BP52" s="205">
        <v>68</v>
      </c>
      <c r="BQ52" s="206">
        <v>69</v>
      </c>
      <c r="BR52" s="3">
        <v>70</v>
      </c>
      <c r="BS52" s="205">
        <v>71</v>
      </c>
      <c r="BT52" s="205">
        <v>72</v>
      </c>
      <c r="BU52" s="206">
        <v>73</v>
      </c>
      <c r="BV52" s="204">
        <v>74</v>
      </c>
      <c r="BW52" s="3">
        <v>75</v>
      </c>
      <c r="BX52" s="205">
        <v>76</v>
      </c>
      <c r="BY52" s="206">
        <v>77</v>
      </c>
      <c r="BZ52" s="205">
        <v>78</v>
      </c>
      <c r="CA52" s="204">
        <v>79</v>
      </c>
      <c r="CB52" s="3">
        <v>80</v>
      </c>
      <c r="CC52" s="206">
        <v>81</v>
      </c>
      <c r="CD52" s="205">
        <v>82</v>
      </c>
      <c r="CE52" s="205">
        <v>83</v>
      </c>
      <c r="CF52" s="204">
        <v>84</v>
      </c>
      <c r="CG52" s="206">
        <v>85</v>
      </c>
      <c r="CH52" s="205">
        <v>86</v>
      </c>
      <c r="CI52" s="205">
        <v>87</v>
      </c>
      <c r="CJ52" s="205">
        <v>88</v>
      </c>
      <c r="CK52" s="206">
        <v>89</v>
      </c>
      <c r="CL52" s="3">
        <v>90</v>
      </c>
      <c r="CM52" s="205">
        <v>91</v>
      </c>
      <c r="CN52" s="205">
        <v>92</v>
      </c>
      <c r="CO52" s="206">
        <v>93</v>
      </c>
      <c r="CP52" s="204">
        <v>94</v>
      </c>
      <c r="CQ52" s="3">
        <v>95</v>
      </c>
      <c r="CR52" s="205">
        <v>96</v>
      </c>
      <c r="CS52" s="206">
        <v>97</v>
      </c>
      <c r="CT52" s="205">
        <v>98</v>
      </c>
      <c r="CU52" s="204">
        <v>99</v>
      </c>
      <c r="CV52" s="3">
        <v>100</v>
      </c>
      <c r="CW52" s="206">
        <v>101</v>
      </c>
      <c r="CX52" s="205">
        <v>102</v>
      </c>
      <c r="CY52" s="205">
        <v>103</v>
      </c>
      <c r="CZ52" s="204">
        <v>104</v>
      </c>
      <c r="DA52" s="206">
        <v>105</v>
      </c>
      <c r="DB52" s="205">
        <v>106</v>
      </c>
      <c r="DC52" s="205">
        <v>107</v>
      </c>
      <c r="DD52" s="205">
        <v>108</v>
      </c>
      <c r="DE52" s="206">
        <v>109</v>
      </c>
      <c r="DF52" s="3">
        <v>110</v>
      </c>
      <c r="DG52" s="205">
        <v>111</v>
      </c>
      <c r="DH52" s="205">
        <v>112</v>
      </c>
      <c r="DI52" s="206">
        <v>113</v>
      </c>
      <c r="DJ52" s="204">
        <v>114</v>
      </c>
      <c r="DK52" s="3">
        <v>115</v>
      </c>
      <c r="DL52" s="205">
        <v>116</v>
      </c>
      <c r="DM52" s="206">
        <v>117</v>
      </c>
      <c r="DN52" s="205">
        <v>118</v>
      </c>
      <c r="DO52" s="204">
        <v>119</v>
      </c>
      <c r="DP52" s="3">
        <v>120</v>
      </c>
      <c r="DQ52" s="206">
        <v>121</v>
      </c>
      <c r="DR52" s="205">
        <v>122</v>
      </c>
      <c r="DS52" s="205">
        <v>123</v>
      </c>
      <c r="DT52" s="204">
        <v>124</v>
      </c>
      <c r="DU52" s="206">
        <v>125</v>
      </c>
      <c r="DV52" s="205">
        <v>126</v>
      </c>
      <c r="DW52" s="205">
        <v>127</v>
      </c>
      <c r="DX52" s="205">
        <v>128</v>
      </c>
      <c r="DY52" s="206">
        <v>129</v>
      </c>
      <c r="DZ52" s="3">
        <v>130</v>
      </c>
      <c r="EA52" s="205">
        <v>131</v>
      </c>
      <c r="EB52" s="205">
        <v>132</v>
      </c>
      <c r="EC52" s="206">
        <v>133</v>
      </c>
      <c r="ED52" s="204">
        <v>134</v>
      </c>
      <c r="EE52" s="3">
        <v>135</v>
      </c>
      <c r="EF52" s="205">
        <v>136</v>
      </c>
      <c r="EG52" s="206">
        <v>137</v>
      </c>
      <c r="EH52" s="205">
        <v>138</v>
      </c>
      <c r="EI52" s="204">
        <v>139</v>
      </c>
      <c r="EJ52" s="3">
        <v>140</v>
      </c>
      <c r="EK52" s="206">
        <v>141</v>
      </c>
      <c r="EL52" s="205">
        <v>142</v>
      </c>
      <c r="EM52" s="205">
        <v>143</v>
      </c>
      <c r="EN52" s="204">
        <v>144</v>
      </c>
      <c r="EO52" s="206">
        <v>145</v>
      </c>
      <c r="EP52" s="205">
        <v>146</v>
      </c>
      <c r="EQ52" s="205">
        <v>147</v>
      </c>
      <c r="ER52" s="205">
        <v>148</v>
      </c>
      <c r="ES52" s="206">
        <v>149</v>
      </c>
      <c r="ET52" s="3">
        <v>150</v>
      </c>
      <c r="EU52" s="205">
        <v>151</v>
      </c>
      <c r="EV52" s="205">
        <v>152</v>
      </c>
      <c r="EW52" s="206">
        <v>153</v>
      </c>
      <c r="EX52" s="204">
        <v>154</v>
      </c>
      <c r="EY52" s="3">
        <v>155</v>
      </c>
      <c r="EZ52" s="205">
        <v>156</v>
      </c>
      <c r="FA52" s="206">
        <v>157</v>
      </c>
      <c r="FB52" s="205">
        <v>158</v>
      </c>
      <c r="FC52" s="204">
        <v>159</v>
      </c>
      <c r="FD52" s="3">
        <v>160</v>
      </c>
      <c r="FE52" s="206">
        <v>161</v>
      </c>
      <c r="FF52" s="205">
        <v>162</v>
      </c>
      <c r="FG52" s="205">
        <v>163</v>
      </c>
      <c r="FH52" s="204">
        <v>164</v>
      </c>
      <c r="FI52" s="206">
        <v>165</v>
      </c>
      <c r="FJ52" s="205">
        <v>166</v>
      </c>
      <c r="FK52" s="205">
        <v>167</v>
      </c>
      <c r="FL52" s="205">
        <v>168</v>
      </c>
      <c r="FM52" s="206">
        <v>169</v>
      </c>
      <c r="FN52" s="3">
        <v>170</v>
      </c>
      <c r="FO52" s="205">
        <v>171</v>
      </c>
      <c r="FP52" s="205">
        <v>172</v>
      </c>
      <c r="FQ52" s="206">
        <v>173</v>
      </c>
      <c r="FR52" s="204">
        <v>174</v>
      </c>
      <c r="FS52" s="3">
        <v>175</v>
      </c>
      <c r="FT52" s="205">
        <v>176</v>
      </c>
      <c r="FU52" s="206">
        <v>177</v>
      </c>
      <c r="FV52" s="205">
        <v>178</v>
      </c>
      <c r="FW52" s="204">
        <v>179</v>
      </c>
      <c r="FX52" s="3">
        <v>180</v>
      </c>
      <c r="FY52" s="206">
        <v>181</v>
      </c>
      <c r="FZ52" s="205">
        <v>182</v>
      </c>
      <c r="GA52" s="205">
        <v>183</v>
      </c>
      <c r="GB52" s="204">
        <v>184</v>
      </c>
      <c r="GC52" s="206">
        <v>185</v>
      </c>
      <c r="GD52" s="205">
        <v>186</v>
      </c>
      <c r="GE52" s="205">
        <v>187</v>
      </c>
      <c r="GF52" s="205">
        <v>188</v>
      </c>
      <c r="GG52" s="206">
        <v>189</v>
      </c>
      <c r="GH52" s="3">
        <v>190</v>
      </c>
      <c r="GI52" s="205">
        <v>191</v>
      </c>
      <c r="GJ52" s="205">
        <v>192</v>
      </c>
      <c r="GK52" s="206">
        <v>193</v>
      </c>
      <c r="GL52" s="204">
        <v>194</v>
      </c>
      <c r="GM52" s="3">
        <v>195</v>
      </c>
      <c r="GN52" s="205">
        <v>196</v>
      </c>
      <c r="GO52" s="206">
        <v>197</v>
      </c>
      <c r="GP52" s="205">
        <v>198</v>
      </c>
      <c r="GQ52" s="204">
        <v>199</v>
      </c>
      <c r="GR52" s="3">
        <v>200</v>
      </c>
      <c r="GS52" s="206">
        <v>201</v>
      </c>
      <c r="GT52" s="205">
        <v>202</v>
      </c>
      <c r="GU52" s="205">
        <v>203</v>
      </c>
      <c r="GV52" s="204">
        <v>204</v>
      </c>
      <c r="GW52" s="206">
        <v>205</v>
      </c>
      <c r="GX52" s="205">
        <v>206</v>
      </c>
      <c r="GY52" s="205">
        <v>207</v>
      </c>
      <c r="GZ52" s="205">
        <v>208</v>
      </c>
      <c r="HA52" s="206">
        <v>209</v>
      </c>
      <c r="HB52" s="3">
        <v>210</v>
      </c>
      <c r="HC52" s="205">
        <v>211</v>
      </c>
      <c r="HD52" s="205">
        <v>212</v>
      </c>
      <c r="HE52" s="206">
        <v>213</v>
      </c>
      <c r="HF52" s="3"/>
    </row>
    <row r="53" spans="1:214" x14ac:dyDescent="0.25">
      <c r="A53" s="7"/>
      <c r="B53" s="5"/>
      <c r="C53" s="5"/>
      <c r="D53" s="5"/>
      <c r="E53" s="11"/>
      <c r="F53" s="101"/>
      <c r="G53" s="4"/>
      <c r="H53" s="4"/>
      <c r="I53" s="4"/>
      <c r="J53" s="4"/>
      <c r="K53" s="4"/>
      <c r="L53" s="4"/>
      <c r="M53" s="4"/>
      <c r="N53" s="4"/>
      <c r="O53" s="4"/>
      <c r="P53" s="202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1"/>
      <c r="G54" s="4"/>
      <c r="H54" s="4"/>
      <c r="I54" s="4"/>
      <c r="J54" s="4"/>
      <c r="K54" s="4"/>
      <c r="L54" s="4"/>
      <c r="M54" s="4"/>
      <c r="N54" s="4"/>
      <c r="O54" s="4"/>
      <c r="P54" s="202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1"/>
      <c r="G55" s="4"/>
      <c r="H55" s="4"/>
      <c r="I55" s="4"/>
      <c r="J55" s="4"/>
      <c r="K55" s="4"/>
      <c r="L55" s="4"/>
      <c r="M55" s="4"/>
      <c r="N55" s="4"/>
      <c r="O55" s="4"/>
      <c r="P55" s="202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1"/>
      <c r="G56" s="4"/>
      <c r="H56" s="4"/>
      <c r="I56" s="4"/>
      <c r="J56" s="4"/>
      <c r="K56" s="4"/>
      <c r="L56" s="4"/>
      <c r="M56" s="4"/>
      <c r="N56" s="4"/>
      <c r="O56" s="4"/>
      <c r="P56" s="202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1"/>
      <c r="G57" s="4"/>
      <c r="H57" s="4"/>
      <c r="I57" s="4"/>
      <c r="J57" s="4"/>
      <c r="K57" s="4"/>
      <c r="L57" s="4"/>
      <c r="M57" s="4"/>
      <c r="N57" s="4"/>
      <c r="O57" s="4"/>
      <c r="P57" s="202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1"/>
      <c r="G58" s="4"/>
      <c r="H58" s="4"/>
      <c r="I58" s="4"/>
      <c r="J58" s="4"/>
      <c r="K58" s="4"/>
      <c r="L58" s="4"/>
      <c r="M58" s="4"/>
      <c r="N58" s="4"/>
      <c r="O58" s="4"/>
      <c r="P58" s="202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1"/>
      <c r="G59" s="4"/>
      <c r="H59" s="4"/>
      <c r="I59" s="4"/>
      <c r="J59" s="4"/>
      <c r="K59" s="4"/>
      <c r="L59" s="4"/>
      <c r="M59" s="4"/>
      <c r="N59" s="4"/>
      <c r="O59" s="4"/>
      <c r="P59" s="202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1"/>
      <c r="G60" s="4"/>
      <c r="H60" s="4"/>
      <c r="I60" s="4"/>
      <c r="J60" s="4"/>
      <c r="K60" s="4"/>
      <c r="L60" s="4"/>
      <c r="M60" s="4"/>
      <c r="N60" s="4"/>
      <c r="O60" s="4"/>
      <c r="P60" s="202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1"/>
      <c r="G61" s="4"/>
      <c r="H61" s="4"/>
      <c r="I61" s="4"/>
      <c r="J61" s="4"/>
      <c r="K61" s="4"/>
      <c r="L61" s="4"/>
      <c r="M61" s="4"/>
      <c r="N61" s="4"/>
      <c r="O61" s="4"/>
      <c r="P61" s="202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1"/>
      <c r="G62" s="4"/>
      <c r="H62" s="4"/>
      <c r="I62" s="4"/>
      <c r="J62" s="4"/>
      <c r="K62" s="4"/>
      <c r="L62" s="4"/>
      <c r="M62" s="4"/>
      <c r="N62" s="4"/>
      <c r="O62" s="4"/>
      <c r="P62" s="202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1"/>
      <c r="G63" s="4"/>
      <c r="H63" s="4"/>
      <c r="I63" s="4"/>
      <c r="J63" s="4"/>
      <c r="K63" s="4"/>
      <c r="L63" s="4"/>
      <c r="M63" s="4"/>
      <c r="N63" s="4"/>
      <c r="O63" s="4"/>
      <c r="P63" s="202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1"/>
      <c r="G64" s="4"/>
      <c r="H64" s="4"/>
      <c r="I64" s="4"/>
      <c r="J64" s="4"/>
      <c r="K64" s="4"/>
      <c r="L64" s="4"/>
      <c r="M64" s="4"/>
      <c r="N64" s="4"/>
      <c r="O64" s="4"/>
      <c r="P64" s="202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1"/>
      <c r="G65" s="4"/>
      <c r="H65" s="4"/>
      <c r="I65" s="4"/>
      <c r="J65" s="4"/>
      <c r="K65" s="4"/>
      <c r="L65" s="4"/>
      <c r="M65" s="4"/>
      <c r="N65" s="4"/>
      <c r="O65" s="4"/>
      <c r="P65" s="202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1"/>
      <c r="G66" s="4"/>
      <c r="H66" s="4"/>
      <c r="I66" s="4"/>
      <c r="J66" s="4"/>
      <c r="K66" s="4"/>
      <c r="L66" s="4"/>
      <c r="M66" s="4"/>
      <c r="N66" s="4"/>
      <c r="O66" s="4"/>
      <c r="P66" s="202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1"/>
      <c r="G67" s="4"/>
      <c r="H67" s="4"/>
      <c r="I67" s="4"/>
      <c r="J67" s="4"/>
      <c r="K67" s="4"/>
      <c r="L67" s="4"/>
      <c r="M67" s="4"/>
      <c r="N67" s="4"/>
      <c r="O67" s="4"/>
      <c r="P67" s="202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1"/>
      <c r="G68" s="4"/>
      <c r="H68" s="4"/>
      <c r="I68" s="4"/>
      <c r="J68" s="4"/>
      <c r="K68" s="4"/>
      <c r="L68" s="4"/>
      <c r="M68" s="4"/>
      <c r="N68" s="4"/>
      <c r="O68" s="4"/>
      <c r="P68" s="202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1"/>
      <c r="G69" s="4"/>
      <c r="H69" s="4"/>
      <c r="I69" s="4"/>
      <c r="J69" s="4"/>
      <c r="K69" s="4"/>
      <c r="L69" s="4"/>
      <c r="M69" s="4"/>
      <c r="N69" s="4"/>
      <c r="O69" s="4"/>
      <c r="P69" s="202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1"/>
      <c r="G70" s="4"/>
      <c r="H70" s="4"/>
      <c r="I70" s="4"/>
      <c r="J70" s="4"/>
      <c r="K70" s="4"/>
      <c r="L70" s="4"/>
      <c r="M70" s="4"/>
      <c r="N70" s="4"/>
      <c r="O70" s="4"/>
      <c r="P70" s="202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15"/>
      <c r="F71" s="4"/>
      <c r="G71" s="4"/>
      <c r="H71" s="4"/>
      <c r="I71" s="4"/>
      <c r="J71" s="4"/>
      <c r="K71" s="4"/>
      <c r="L71" s="4"/>
      <c r="M71" s="4"/>
      <c r="N71" s="4"/>
      <c r="O71" s="4"/>
      <c r="P71" s="202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202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202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202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202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202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202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202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202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202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202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202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202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202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202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202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202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202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202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202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202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202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202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202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202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45</v>
      </c>
      <c r="D100">
        <f>SUM(E100,H100)</f>
        <v>29633</v>
      </c>
      <c r="E100">
        <f>SUM(B12:B95)</f>
        <v>30000</v>
      </c>
      <c r="F100">
        <f>SUM(C12:C95)</f>
        <v>5003</v>
      </c>
      <c r="G100">
        <v>5370</v>
      </c>
      <c r="H100">
        <f>F100-G100</f>
        <v>-367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17</v>
      </c>
      <c r="D101">
        <f>SUM(E101,H101)</f>
        <v>933534.2151851852</v>
      </c>
      <c r="E101">
        <f>SUM(F12:F95)</f>
        <v>915337.2151851852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0"/>
        <v>77</v>
      </c>
      <c r="E109">
        <f>SUM(AL3:AL95)</f>
        <v>38</v>
      </c>
      <c r="F109">
        <f>SUM(AM3:AM95)</f>
        <v>39</v>
      </c>
      <c r="H109">
        <f t="shared" si="1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0"/>
        <v>85</v>
      </c>
      <c r="E110">
        <f>SUM(AP3:AP95)</f>
        <v>42</v>
      </c>
      <c r="F110">
        <f>SUM(AQ3:AQ95)</f>
        <v>43</v>
      </c>
      <c r="H110">
        <f t="shared" si="1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0"/>
        <v>93</v>
      </c>
      <c r="E111">
        <f>SUM(AT3:AT95)</f>
        <v>46</v>
      </c>
      <c r="F111">
        <f>SUM(AU3:AU95)</f>
        <v>47</v>
      </c>
      <c r="H111">
        <f t="shared" si="1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0"/>
        <v>101</v>
      </c>
      <c r="E112">
        <f>SUM(AX3:AX95)</f>
        <v>50</v>
      </c>
      <c r="F112">
        <f>SUM(AY3:AY95)</f>
        <v>51</v>
      </c>
      <c r="H112">
        <f t="shared" si="1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0"/>
        <v>109</v>
      </c>
      <c r="E113">
        <f>SUM(BB3:BB95)</f>
        <v>54</v>
      </c>
      <c r="F113">
        <f>SUM(BC3:BC95)</f>
        <v>55</v>
      </c>
      <c r="H113">
        <f t="shared" si="1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0"/>
        <v>117</v>
      </c>
      <c r="E114">
        <f>SUM(BF3:BF95)</f>
        <v>58</v>
      </c>
      <c r="F114">
        <f>SUM(BG3:BG95)</f>
        <v>59</v>
      </c>
      <c r="H114">
        <f t="shared" si="1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0"/>
        <v>125</v>
      </c>
      <c r="E115">
        <f>SUM(BJ3:BJ95)</f>
        <v>62</v>
      </c>
      <c r="F115">
        <f>SUM(BK3:BK95)</f>
        <v>63</v>
      </c>
      <c r="H115">
        <f t="shared" si="1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0"/>
        <v>133</v>
      </c>
      <c r="E116">
        <f>SUM(BN3:BN95)</f>
        <v>66</v>
      </c>
      <c r="F116">
        <f>SUM(BO3:BO95)</f>
        <v>67</v>
      </c>
      <c r="H116">
        <f t="shared" si="1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0"/>
        <v>141</v>
      </c>
      <c r="E117">
        <f>SUM(BR3:BR95)</f>
        <v>70</v>
      </c>
      <c r="F117">
        <f>SUM(BS3:BS95)</f>
        <v>71</v>
      </c>
      <c r="H117">
        <f t="shared" si="1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0"/>
        <v>149</v>
      </c>
      <c r="E118">
        <f>SUM(BV3:BV95)</f>
        <v>74</v>
      </c>
      <c r="F118">
        <f>SUM(BW3:BW95)</f>
        <v>75</v>
      </c>
      <c r="H118">
        <f t="shared" si="1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0"/>
        <v>157</v>
      </c>
      <c r="E119">
        <f>SUM(BZ3:BZ95)</f>
        <v>78</v>
      </c>
      <c r="F119">
        <f>SUM(CA3:CA95)</f>
        <v>79</v>
      </c>
      <c r="H119">
        <f t="shared" si="1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0"/>
        <v>165</v>
      </c>
      <c r="E120">
        <f>SUM(CD3:CD95)</f>
        <v>82</v>
      </c>
      <c r="F120">
        <f>SUM(CE3:CE95)</f>
        <v>83</v>
      </c>
      <c r="H120">
        <f t="shared" si="1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0"/>
        <v>173</v>
      </c>
      <c r="E121">
        <f>SUM(CH3:CH95)</f>
        <v>86</v>
      </c>
      <c r="F121">
        <f>SUM(CI3:CI95)</f>
        <v>87</v>
      </c>
      <c r="H121">
        <f t="shared" si="1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0"/>
        <v>181</v>
      </c>
      <c r="E122">
        <f>SUM(CL3:CL95)</f>
        <v>90</v>
      </c>
      <c r="F122">
        <f>SUM(CM3:CM95)</f>
        <v>91</v>
      </c>
      <c r="H122">
        <f t="shared" si="1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0"/>
        <v>189</v>
      </c>
      <c r="E123">
        <f>SUM(CP3:CP95)</f>
        <v>94</v>
      </c>
      <c r="F123">
        <f>SUM(CQ3:CQ95)</f>
        <v>95</v>
      </c>
      <c r="H123">
        <f t="shared" si="1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0"/>
        <v>197</v>
      </c>
      <c r="E124">
        <f>SUM(CT3:CT95)</f>
        <v>98</v>
      </c>
      <c r="F124">
        <f>SUM(CU3:CU95)</f>
        <v>99</v>
      </c>
      <c r="H124">
        <f t="shared" si="1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0"/>
        <v>205</v>
      </c>
      <c r="E125">
        <f>SUM(CX3:CX95)</f>
        <v>102</v>
      </c>
      <c r="F125">
        <f>SUM(CY3:CY95)</f>
        <v>103</v>
      </c>
      <c r="H125">
        <f t="shared" si="1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0"/>
        <v>213</v>
      </c>
      <c r="E126">
        <f>SUM(DB3:DB95)</f>
        <v>106</v>
      </c>
      <c r="F126">
        <f>SUM(DC3:DC95)</f>
        <v>107</v>
      </c>
      <c r="H126">
        <f t="shared" si="1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0"/>
        <v>221</v>
      </c>
      <c r="E127">
        <f>SUM(DF3:DF95)</f>
        <v>110</v>
      </c>
      <c r="F127">
        <f>SUM(DG3:DG95)</f>
        <v>111</v>
      </c>
      <c r="H127">
        <f t="shared" si="1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0"/>
        <v>229</v>
      </c>
      <c r="E128">
        <f>SUM(DJ3:DJ95)</f>
        <v>114</v>
      </c>
      <c r="F128">
        <f>SUM(DK3:DK95)</f>
        <v>115</v>
      </c>
      <c r="H128">
        <f t="shared" si="1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0"/>
        <v>237</v>
      </c>
      <c r="E129">
        <f>SUM(DN3:DN95)</f>
        <v>118</v>
      </c>
      <c r="F129">
        <f>SUM(DO3:DO95)</f>
        <v>119</v>
      </c>
      <c r="H129">
        <f t="shared" si="1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0"/>
        <v>245</v>
      </c>
      <c r="E130">
        <f>SUM(DR3:DR95)</f>
        <v>122</v>
      </c>
      <c r="F130">
        <f>SUM(DS3:DS95)</f>
        <v>123</v>
      </c>
      <c r="H130">
        <f t="shared" si="1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0"/>
        <v>253</v>
      </c>
      <c r="E131">
        <f>SUM(DV3:DV95)</f>
        <v>126</v>
      </c>
      <c r="F131">
        <f>SUM(DW3:DW95)</f>
        <v>127</v>
      </c>
      <c r="H131">
        <f t="shared" ref="H131:H148" si="2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0"/>
        <v>257</v>
      </c>
      <c r="E132">
        <f>SUM(DX3:DX95)</f>
        <v>128</v>
      </c>
      <c r="F132">
        <f>SUM(DY3:DY95)</f>
        <v>129</v>
      </c>
      <c r="H132">
        <f t="shared" si="2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0"/>
        <v>269</v>
      </c>
      <c r="E133">
        <f>SUM(ED3:ED95)</f>
        <v>134</v>
      </c>
      <c r="F133">
        <f>SUM(EE3:EE95)</f>
        <v>135</v>
      </c>
      <c r="H133">
        <f t="shared" si="2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0"/>
        <v>277</v>
      </c>
      <c r="E134">
        <f>SUM(EH3:EH95)</f>
        <v>138</v>
      </c>
      <c r="F134">
        <f>SUM(EI3:EI95)</f>
        <v>139</v>
      </c>
      <c r="H134">
        <f t="shared" si="2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0"/>
        <v>285</v>
      </c>
      <c r="E135">
        <f>SUM(EL3:EL95)</f>
        <v>142</v>
      </c>
      <c r="F135">
        <f>SUM(EM3:EM95)</f>
        <v>143</v>
      </c>
      <c r="H135">
        <f t="shared" si="2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0"/>
        <v>293</v>
      </c>
      <c r="E136">
        <f>SUM(EP3:EP95)</f>
        <v>146</v>
      </c>
      <c r="F136">
        <f>SUM(EQ3:EQ95)</f>
        <v>147</v>
      </c>
      <c r="H136">
        <f t="shared" si="2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0"/>
        <v>301</v>
      </c>
      <c r="E137">
        <f>SUM(ET3:ET95)</f>
        <v>150</v>
      </c>
      <c r="F137">
        <f>SUM(EU3:EU95)</f>
        <v>151</v>
      </c>
      <c r="H137">
        <f t="shared" si="2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0"/>
        <v>309</v>
      </c>
      <c r="E138">
        <f>SUM(EX3:EX95)</f>
        <v>154</v>
      </c>
      <c r="F138">
        <f>SUM(EY3:EY95)</f>
        <v>155</v>
      </c>
      <c r="H138">
        <f t="shared" si="2"/>
        <v>155</v>
      </c>
    </row>
    <row r="139" spans="3:214" x14ac:dyDescent="0.25">
      <c r="C139">
        <f>COUNTA(FA1:FA95)</f>
        <v>1</v>
      </c>
      <c r="D139">
        <f t="shared" si="0"/>
        <v>317</v>
      </c>
      <c r="E139">
        <f>SUM(FB3:FB95)</f>
        <v>158</v>
      </c>
      <c r="F139">
        <f>SUM(FC3:FC95)</f>
        <v>159</v>
      </c>
      <c r="H139">
        <f t="shared" si="2"/>
        <v>159</v>
      </c>
    </row>
    <row r="140" spans="3:214" x14ac:dyDescent="0.25">
      <c r="C140">
        <f>COUNTA(FE1:FE95)</f>
        <v>1</v>
      </c>
      <c r="D140">
        <f t="shared" si="0"/>
        <v>325</v>
      </c>
      <c r="E140">
        <f>SUM(FF3:FF95)</f>
        <v>162</v>
      </c>
      <c r="F140">
        <f>SUM(FG3:FG95)</f>
        <v>163</v>
      </c>
      <c r="H140">
        <f t="shared" si="2"/>
        <v>163</v>
      </c>
    </row>
    <row r="141" spans="3:214" x14ac:dyDescent="0.25">
      <c r="C141">
        <f>COUNTA(FI1:FI95)</f>
        <v>1</v>
      </c>
      <c r="D141">
        <f t="shared" si="0"/>
        <v>333</v>
      </c>
      <c r="E141">
        <f>SUM(FJ3:FJ95)</f>
        <v>166</v>
      </c>
      <c r="F141">
        <f>SUM(FK3:FK95)</f>
        <v>167</v>
      </c>
      <c r="H141">
        <f t="shared" si="2"/>
        <v>167</v>
      </c>
    </row>
    <row r="142" spans="3:214" x14ac:dyDescent="0.25">
      <c r="C142">
        <f>COUNTA(FM1:FM95)</f>
        <v>1</v>
      </c>
      <c r="D142">
        <f t="shared" si="0"/>
        <v>341</v>
      </c>
      <c r="E142">
        <f>SUM(FN3:FN95)</f>
        <v>170</v>
      </c>
      <c r="F142">
        <f>SUM(FO3:FO95)</f>
        <v>171</v>
      </c>
      <c r="H142">
        <f t="shared" si="2"/>
        <v>171</v>
      </c>
    </row>
    <row r="143" spans="3:214" x14ac:dyDescent="0.25">
      <c r="C143">
        <f>COUNTA(FQ1:FQ95)</f>
        <v>1</v>
      </c>
      <c r="D143">
        <f t="shared" si="0"/>
        <v>349</v>
      </c>
      <c r="E143">
        <f>SUM(FR3:FR95)</f>
        <v>174</v>
      </c>
      <c r="F143">
        <f>SUM(FS3:FS95)</f>
        <v>175</v>
      </c>
      <c r="H143">
        <f t="shared" si="2"/>
        <v>175</v>
      </c>
    </row>
    <row r="144" spans="3:214" x14ac:dyDescent="0.25">
      <c r="C144">
        <f>COUNTA(FU1:FU95)</f>
        <v>1</v>
      </c>
      <c r="D144">
        <f t="shared" si="0"/>
        <v>357</v>
      </c>
      <c r="E144">
        <f>SUM(FV3:FV95)</f>
        <v>178</v>
      </c>
      <c r="F144">
        <f>SUM(FW3:FW95)</f>
        <v>179</v>
      </c>
      <c r="H144">
        <f t="shared" si="2"/>
        <v>179</v>
      </c>
    </row>
    <row r="145" spans="3:8" x14ac:dyDescent="0.25">
      <c r="C145">
        <f>COUNTA(FY1:FY95)</f>
        <v>1</v>
      </c>
      <c r="D145">
        <f t="shared" si="0"/>
        <v>365</v>
      </c>
      <c r="E145">
        <f>SUM(FZ3:FZ95)</f>
        <v>182</v>
      </c>
      <c r="F145">
        <f>SUM(GA3:GA95)</f>
        <v>183</v>
      </c>
      <c r="H145">
        <f t="shared" si="2"/>
        <v>183</v>
      </c>
    </row>
    <row r="146" spans="3:8" x14ac:dyDescent="0.25">
      <c r="C146">
        <f>COUNTA(GC1:GC95)</f>
        <v>1</v>
      </c>
      <c r="D146">
        <f t="shared" si="0"/>
        <v>373</v>
      </c>
      <c r="E146">
        <f>SUM(GD3:GD95)</f>
        <v>186</v>
      </c>
      <c r="F146">
        <f>SUM(GE3:GE95)</f>
        <v>187</v>
      </c>
      <c r="H146">
        <f t="shared" si="2"/>
        <v>187</v>
      </c>
    </row>
    <row r="147" spans="3:8" x14ac:dyDescent="0.25">
      <c r="C147">
        <f>COUNTA(GG1:GG95)</f>
        <v>1</v>
      </c>
      <c r="D147">
        <f t="shared" si="0"/>
        <v>381</v>
      </c>
      <c r="E147">
        <f>SUM(GH3:GH95)</f>
        <v>190</v>
      </c>
      <c r="F147">
        <f>SUM(GI3:GI95)</f>
        <v>191</v>
      </c>
      <c r="H147">
        <f t="shared" si="2"/>
        <v>191</v>
      </c>
    </row>
    <row r="148" spans="3:8" x14ac:dyDescent="0.25">
      <c r="C148">
        <f>COUNTA(GK1:GK95)</f>
        <v>1</v>
      </c>
      <c r="D148">
        <f t="shared" si="0"/>
        <v>389</v>
      </c>
      <c r="E148">
        <f>SUM(GL3:GL95)</f>
        <v>194</v>
      </c>
      <c r="F148">
        <f>SUM(GM3:GM95)</f>
        <v>195</v>
      </c>
      <c r="H148">
        <f t="shared" si="2"/>
        <v>195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topLeftCell="A4" workbookViewId="0">
      <selection activeCell="S26" sqref="S26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</row>
    <row r="2" spans="1:39" ht="15" customHeight="1" x14ac:dyDescent="0.25">
      <c r="A2" s="30"/>
      <c r="B2" s="14"/>
      <c r="C2" s="14"/>
      <c r="D2" s="14"/>
      <c r="E2" s="14"/>
      <c r="F2" s="119" t="s">
        <v>79</v>
      </c>
      <c r="G2" s="119"/>
      <c r="H2" s="119"/>
      <c r="I2" s="119"/>
      <c r="J2" s="119"/>
      <c r="K2" s="14"/>
      <c r="L2" s="14"/>
      <c r="M2" s="30"/>
      <c r="O2" s="30"/>
      <c r="P2" s="32"/>
      <c r="Q2" s="32"/>
      <c r="R2" s="152" t="s">
        <v>80</v>
      </c>
      <c r="S2" s="152"/>
      <c r="T2" s="152"/>
      <c r="U2" s="152"/>
      <c r="V2" s="152"/>
      <c r="W2" s="152"/>
      <c r="X2" s="32"/>
      <c r="Y2" s="32"/>
      <c r="Z2" s="30"/>
      <c r="AB2" s="74"/>
      <c r="AC2" s="32"/>
      <c r="AD2" s="32"/>
      <c r="AE2" s="152" t="s">
        <v>70</v>
      </c>
      <c r="AF2" s="152"/>
      <c r="AG2" s="152"/>
      <c r="AH2" s="152"/>
      <c r="AI2" s="152"/>
      <c r="AJ2" s="152"/>
      <c r="AK2" s="32"/>
      <c r="AL2" s="32"/>
      <c r="AM2" s="74"/>
    </row>
    <row r="3" spans="1:39" ht="15.75" customHeight="1" thickBot="1" x14ac:dyDescent="0.3">
      <c r="A3" s="30"/>
      <c r="B3" s="14"/>
      <c r="C3" s="14"/>
      <c r="D3" s="14"/>
      <c r="E3" s="14"/>
      <c r="F3" s="119"/>
      <c r="G3" s="119"/>
      <c r="H3" s="119"/>
      <c r="I3" s="119"/>
      <c r="J3" s="119"/>
      <c r="K3" s="14"/>
      <c r="L3" s="14"/>
      <c r="M3" s="30"/>
      <c r="O3" s="30"/>
      <c r="P3" s="32"/>
      <c r="Q3" s="32"/>
      <c r="R3" s="154"/>
      <c r="S3" s="154"/>
      <c r="T3" s="154"/>
      <c r="U3" s="154"/>
      <c r="V3" s="154"/>
      <c r="W3" s="154"/>
      <c r="X3" s="32"/>
      <c r="Y3" s="32"/>
      <c r="Z3" s="30"/>
      <c r="AB3" s="74"/>
      <c r="AC3" s="32"/>
      <c r="AD3" s="32"/>
      <c r="AE3" s="153"/>
      <c r="AF3" s="153"/>
      <c r="AG3" s="153"/>
      <c r="AH3" s="153"/>
      <c r="AI3" s="153"/>
      <c r="AJ3" s="153"/>
      <c r="AK3" s="32"/>
      <c r="AL3" s="32"/>
      <c r="AM3" s="74"/>
    </row>
    <row r="4" spans="1:39" ht="15" customHeight="1" x14ac:dyDescent="0.25">
      <c r="A4" s="30"/>
      <c r="B4" s="14"/>
      <c r="C4" s="14"/>
      <c r="D4" s="14"/>
      <c r="E4" s="14"/>
      <c r="F4" s="120">
        <f>U4+AH6+AH10</f>
        <v>2223000</v>
      </c>
      <c r="G4" s="121"/>
      <c r="H4" s="121"/>
      <c r="I4" s="121"/>
      <c r="J4" s="122"/>
      <c r="L4" s="14"/>
      <c r="M4" s="30"/>
      <c r="O4" s="30"/>
      <c r="P4" s="32"/>
      <c r="Q4" s="132" t="s">
        <v>59</v>
      </c>
      <c r="R4" s="133"/>
      <c r="S4" s="133"/>
      <c r="T4" s="134"/>
      <c r="U4" s="138">
        <f>U7 +U10</f>
        <v>1143000</v>
      </c>
      <c r="V4" s="139"/>
      <c r="W4" s="139"/>
      <c r="X4" s="140"/>
      <c r="Y4" s="32"/>
      <c r="Z4" s="30"/>
      <c r="AB4" s="74"/>
      <c r="AC4" s="32"/>
      <c r="AD4" s="32"/>
      <c r="AE4" s="84"/>
      <c r="AF4" s="84"/>
      <c r="AG4" s="84"/>
      <c r="AH4" s="84"/>
      <c r="AI4" s="84"/>
      <c r="AJ4" s="84"/>
      <c r="AK4" s="32"/>
      <c r="AL4" s="32"/>
      <c r="AM4" s="74"/>
    </row>
    <row r="5" spans="1:39" ht="15.75" customHeight="1" thickBot="1" x14ac:dyDescent="0.3">
      <c r="A5" s="30"/>
      <c r="B5" s="14"/>
      <c r="C5" s="14"/>
      <c r="D5" s="14"/>
      <c r="E5" s="14"/>
      <c r="F5" s="123"/>
      <c r="G5" s="124"/>
      <c r="H5" s="124"/>
      <c r="I5" s="124"/>
      <c r="J5" s="125"/>
      <c r="K5" s="14"/>
      <c r="L5" s="14"/>
      <c r="M5" s="30"/>
      <c r="O5" s="30"/>
      <c r="P5" s="32"/>
      <c r="Q5" s="135"/>
      <c r="R5" s="136"/>
      <c r="S5" s="136"/>
      <c r="T5" s="137"/>
      <c r="U5" s="141"/>
      <c r="V5" s="142"/>
      <c r="W5" s="142"/>
      <c r="X5" s="143"/>
      <c r="Y5" s="32"/>
      <c r="Z5" s="30"/>
      <c r="AB5" s="74"/>
      <c r="AC5" s="32"/>
      <c r="AD5" s="32"/>
      <c r="AE5" s="84"/>
      <c r="AF5" s="84"/>
      <c r="AG5" s="84"/>
      <c r="AH5" s="84"/>
      <c r="AI5" s="84"/>
      <c r="AJ5" s="84"/>
      <c r="AK5" s="32"/>
      <c r="AL5" s="32"/>
      <c r="AM5" s="74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151"/>
      <c r="W6" s="150"/>
      <c r="X6" s="32"/>
      <c r="Y6" s="32"/>
      <c r="Z6" s="30"/>
      <c r="AB6" s="74"/>
      <c r="AC6" s="32"/>
      <c r="AD6" s="132" t="s">
        <v>69</v>
      </c>
      <c r="AE6" s="133"/>
      <c r="AF6" s="133"/>
      <c r="AG6" s="134"/>
      <c r="AH6" s="138">
        <v>980000</v>
      </c>
      <c r="AI6" s="139"/>
      <c r="AJ6" s="139"/>
      <c r="AK6" s="140"/>
      <c r="AL6" s="32"/>
      <c r="AM6" s="74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144" t="s">
        <v>54</v>
      </c>
      <c r="R7" s="145"/>
      <c r="S7" s="145"/>
      <c r="T7" s="146"/>
      <c r="U7" s="138">
        <v>243000</v>
      </c>
      <c r="V7" s="139"/>
      <c r="W7" s="139"/>
      <c r="X7" s="140"/>
      <c r="Y7" s="32"/>
      <c r="Z7" s="30"/>
      <c r="AB7" s="74"/>
      <c r="AC7" s="32"/>
      <c r="AD7" s="135"/>
      <c r="AE7" s="136"/>
      <c r="AF7" s="136"/>
      <c r="AG7" s="137"/>
      <c r="AH7" s="141"/>
      <c r="AI7" s="142"/>
      <c r="AJ7" s="142"/>
      <c r="AK7" s="143"/>
      <c r="AL7" s="32"/>
      <c r="AM7" s="74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147"/>
      <c r="R8" s="148"/>
      <c r="S8" s="148"/>
      <c r="T8" s="149"/>
      <c r="U8" s="141"/>
      <c r="V8" s="142"/>
      <c r="W8" s="142"/>
      <c r="X8" s="143"/>
      <c r="Y8" s="32"/>
      <c r="Z8" s="30"/>
      <c r="AB8" s="74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4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150"/>
      <c r="W9" s="150"/>
      <c r="X9" s="32"/>
      <c r="Y9" s="32"/>
      <c r="Z9" s="30"/>
      <c r="AB9" s="74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4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144" t="s">
        <v>55</v>
      </c>
      <c r="R10" s="145"/>
      <c r="S10" s="145"/>
      <c r="T10" s="146"/>
      <c r="U10" s="138">
        <f>SUM(U13,U15,U17)</f>
        <v>900000</v>
      </c>
      <c r="V10" s="139"/>
      <c r="W10" s="139"/>
      <c r="X10" s="140"/>
      <c r="Y10" s="32"/>
      <c r="Z10" s="30"/>
      <c r="AB10" s="74"/>
      <c r="AC10" s="32"/>
      <c r="AD10" s="155" t="s">
        <v>77</v>
      </c>
      <c r="AE10" s="156"/>
      <c r="AF10" s="156"/>
      <c r="AG10" s="157"/>
      <c r="AH10" s="138">
        <v>100000</v>
      </c>
      <c r="AI10" s="139"/>
      <c r="AJ10" s="139"/>
      <c r="AK10" s="140"/>
      <c r="AL10" s="32"/>
      <c r="AM10" s="74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147"/>
      <c r="R11" s="148"/>
      <c r="S11" s="148"/>
      <c r="T11" s="149"/>
      <c r="U11" s="141"/>
      <c r="V11" s="142"/>
      <c r="W11" s="142"/>
      <c r="X11" s="143"/>
      <c r="Y11" s="32"/>
      <c r="Z11" s="30"/>
      <c r="AB11" s="74"/>
      <c r="AC11" s="32"/>
      <c r="AD11" s="158"/>
      <c r="AE11" s="159"/>
      <c r="AF11" s="159"/>
      <c r="AG11" s="160"/>
      <c r="AH11" s="164"/>
      <c r="AI11" s="165"/>
      <c r="AJ11" s="165"/>
      <c r="AK11" s="166"/>
      <c r="AL11" s="32"/>
      <c r="AM11" s="74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4"/>
      <c r="AC12" s="32"/>
      <c r="AD12" s="161"/>
      <c r="AE12" s="162"/>
      <c r="AF12" s="162"/>
      <c r="AG12" s="163"/>
      <c r="AH12" s="141"/>
      <c r="AI12" s="142"/>
      <c r="AJ12" s="142"/>
      <c r="AK12" s="143"/>
      <c r="AL12" s="32"/>
      <c r="AM12" s="74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26" t="s">
        <v>58</v>
      </c>
      <c r="S13" s="127"/>
      <c r="T13" s="128"/>
      <c r="U13" s="129">
        <v>300000</v>
      </c>
      <c r="V13" s="130"/>
      <c r="W13" s="131"/>
      <c r="X13" s="32"/>
      <c r="Y13" s="32"/>
      <c r="Z13" s="30"/>
      <c r="AB13" s="74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4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4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4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26" t="s">
        <v>56</v>
      </c>
      <c r="S15" s="127"/>
      <c r="T15" s="128"/>
      <c r="U15" s="129">
        <v>300000</v>
      </c>
      <c r="V15" s="130"/>
      <c r="W15" s="131"/>
      <c r="X15" s="32"/>
      <c r="Y15" s="32"/>
      <c r="Z15" s="30"/>
      <c r="AB15" s="74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4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4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4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26" t="s">
        <v>57</v>
      </c>
      <c r="S17" s="127"/>
      <c r="T17" s="128"/>
      <c r="U17" s="129">
        <v>300000</v>
      </c>
      <c r="V17" s="130"/>
      <c r="W17" s="131"/>
      <c r="X17" s="32"/>
      <c r="Y17" s="32"/>
      <c r="Z17" s="30"/>
      <c r="AB17" s="74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4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4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4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4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4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4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4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A14" sqref="A14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175" t="s">
        <v>64</v>
      </c>
      <c r="B1" s="176"/>
      <c r="C1" s="176"/>
      <c r="D1" s="176"/>
      <c r="E1" s="176"/>
      <c r="F1" s="176"/>
      <c r="G1" s="176"/>
      <c r="H1" s="176"/>
      <c r="I1" s="177"/>
    </row>
    <row r="2" spans="1:9" ht="15.75" thickBot="1" x14ac:dyDescent="0.3">
      <c r="A2" s="178"/>
      <c r="B2" s="179"/>
      <c r="C2" s="179"/>
      <c r="D2" s="179"/>
      <c r="E2" s="179"/>
      <c r="F2" s="180"/>
      <c r="G2" s="180"/>
      <c r="H2" s="180"/>
      <c r="I2" s="181"/>
    </row>
    <row r="3" spans="1:9" x14ac:dyDescent="0.25">
      <c r="A3" s="73" t="s">
        <v>65</v>
      </c>
      <c r="B3" s="73" t="s">
        <v>61</v>
      </c>
      <c r="C3" s="73" t="s">
        <v>66</v>
      </c>
      <c r="D3" s="73" t="s">
        <v>67</v>
      </c>
      <c r="E3" s="75" t="s">
        <v>68</v>
      </c>
      <c r="F3" s="182" t="s">
        <v>78</v>
      </c>
      <c r="G3" s="183"/>
      <c r="H3" s="183"/>
      <c r="I3" s="184"/>
    </row>
    <row r="4" spans="1:9" ht="15.75" thickBot="1" x14ac:dyDescent="0.3">
      <c r="A4" s="44" t="str">
        <f>Savings!C2</f>
        <v>ken</v>
      </c>
      <c r="B4" s="71">
        <f>Savings!C16</f>
        <v>0.16427671426858256</v>
      </c>
      <c r="C4" s="72">
        <f>Savings!C17</f>
        <v>138096.75569916991</v>
      </c>
      <c r="D4" s="44">
        <v>200</v>
      </c>
      <c r="E4" s="76">
        <f>C4-D4</f>
        <v>137896.75569916991</v>
      </c>
      <c r="F4" s="185"/>
      <c r="G4" s="186"/>
      <c r="H4" s="186"/>
      <c r="I4" s="187"/>
    </row>
    <row r="5" spans="1:9" x14ac:dyDescent="0.25">
      <c r="A5" s="44" t="str">
        <f>Savings!D2</f>
        <v>gian</v>
      </c>
      <c r="B5" s="71">
        <f>Savings!D16</f>
        <v>1.112153355598304E-2</v>
      </c>
      <c r="C5" s="72">
        <f>Savings!D17</f>
        <v>9349.1503608338026</v>
      </c>
      <c r="D5" s="44">
        <v>200</v>
      </c>
      <c r="E5" s="76">
        <f t="shared" ref="E5:E28" si="0">C5-D5</f>
        <v>9149.1503608338026</v>
      </c>
      <c r="F5" s="188" t="s">
        <v>71</v>
      </c>
      <c r="G5" s="189"/>
      <c r="H5" s="189"/>
      <c r="I5" s="190"/>
    </row>
    <row r="6" spans="1:9" ht="15.75" thickBot="1" x14ac:dyDescent="0.3">
      <c r="A6" s="44" t="str">
        <f>Savings!E2</f>
        <v>donque</v>
      </c>
      <c r="B6" s="71">
        <f>Savings!E16</f>
        <v>3.1343997082445556E-2</v>
      </c>
      <c r="C6" s="72">
        <f>Savings!E17</f>
        <v>26348.860987401618</v>
      </c>
      <c r="D6" s="44">
        <v>200</v>
      </c>
      <c r="E6" s="76">
        <f t="shared" si="0"/>
        <v>26148.860987401618</v>
      </c>
      <c r="F6" s="191"/>
      <c r="G6" s="192"/>
      <c r="H6" s="192"/>
      <c r="I6" s="193"/>
    </row>
    <row r="7" spans="1:9" x14ac:dyDescent="0.25">
      <c r="A7" s="44" t="str">
        <f>Savings!F2</f>
        <v>bernard</v>
      </c>
      <c r="B7" s="71">
        <f>Savings!F16</f>
        <v>5.5166858596627837E-2</v>
      </c>
      <c r="C7" s="72">
        <f>Savings!F17</f>
        <v>46375.192176376244</v>
      </c>
      <c r="D7" s="44">
        <v>100</v>
      </c>
      <c r="E7" s="72">
        <f t="shared" si="0"/>
        <v>46275.192176376244</v>
      </c>
      <c r="F7" s="77"/>
      <c r="G7" s="77"/>
      <c r="H7" s="77"/>
      <c r="I7" s="77"/>
    </row>
    <row r="8" spans="1:9" x14ac:dyDescent="0.25">
      <c r="A8" s="44" t="str">
        <f>Savings!G2</f>
        <v>gina</v>
      </c>
      <c r="B8" s="71">
        <f>Savings!G16</f>
        <v>6.1183767051238458E-2</v>
      </c>
      <c r="C8" s="72">
        <f>Savings!G17</f>
        <v>51433.21601511784</v>
      </c>
      <c r="D8" s="44">
        <v>200</v>
      </c>
      <c r="E8" s="72">
        <f t="shared" si="0"/>
        <v>51233.21601511784</v>
      </c>
      <c r="F8" s="77"/>
      <c r="G8" s="77"/>
      <c r="H8" s="77"/>
      <c r="I8" s="77"/>
    </row>
    <row r="9" spans="1:9" x14ac:dyDescent="0.25">
      <c r="A9" s="44" t="str">
        <f>Savings!H2</f>
        <v>rowel</v>
      </c>
      <c r="B9" s="71">
        <f>Savings!H16</f>
        <v>3.7053708081373926E-2</v>
      </c>
      <c r="C9" s="72">
        <f>Savings!H17</f>
        <v>31148.643892985769</v>
      </c>
      <c r="D9" s="44">
        <v>200</v>
      </c>
      <c r="E9" s="72">
        <f t="shared" si="0"/>
        <v>30948.643892985769</v>
      </c>
      <c r="F9" s="77"/>
      <c r="G9" s="77"/>
      <c r="H9" s="77"/>
      <c r="I9" s="77"/>
    </row>
    <row r="10" spans="1:9" x14ac:dyDescent="0.25">
      <c r="A10" s="44" t="str">
        <f>Savings!I2</f>
        <v>leo j.</v>
      </c>
      <c r="B10" s="71">
        <f>Savings!I16</f>
        <v>0.10416567416151797</v>
      </c>
      <c r="C10" s="72">
        <f>Savings!I17</f>
        <v>87565.311498767653</v>
      </c>
      <c r="D10" s="44">
        <v>100</v>
      </c>
      <c r="E10" s="72">
        <f t="shared" si="0"/>
        <v>87465.311498767653</v>
      </c>
      <c r="F10" s="77"/>
      <c r="G10" s="77"/>
      <c r="H10" s="77"/>
      <c r="I10" s="77"/>
    </row>
    <row r="11" spans="1:9" x14ac:dyDescent="0.25">
      <c r="A11" s="44" t="str">
        <f>Savings!J2</f>
        <v>emman r.</v>
      </c>
      <c r="B11" s="71">
        <f>Savings!J16</f>
        <v>2.6470454559144271E-3</v>
      </c>
      <c r="C11" s="72">
        <f>Savings!J17</f>
        <v>2225.1990568326246</v>
      </c>
      <c r="D11" s="44">
        <v>200</v>
      </c>
      <c r="E11" s="72">
        <f t="shared" si="0"/>
        <v>2025.1990568326246</v>
      </c>
      <c r="F11" s="77"/>
      <c r="G11" s="77"/>
      <c r="H11" s="77"/>
      <c r="I11" s="77"/>
    </row>
    <row r="12" spans="1:9" x14ac:dyDescent="0.25">
      <c r="A12" s="44" t="str">
        <f>Savings!K2</f>
        <v>jeff</v>
      </c>
      <c r="B12" s="71">
        <f>Savings!K16</f>
        <v>9.161438560235069E-2</v>
      </c>
      <c r="C12" s="72">
        <f>Savings!K17</f>
        <v>77014.259040832068</v>
      </c>
      <c r="D12" s="44">
        <v>100</v>
      </c>
      <c r="E12" s="72">
        <f t="shared" si="0"/>
        <v>76914.259040832068</v>
      </c>
      <c r="F12" s="77"/>
      <c r="G12" s="77"/>
      <c r="H12" s="77"/>
      <c r="I12" s="77"/>
    </row>
    <row r="13" spans="1:9" ht="15.75" thickBot="1" x14ac:dyDescent="0.3">
      <c r="A13" s="44" t="str">
        <f>Savings!L2</f>
        <v>rubin</v>
      </c>
      <c r="B13" s="71">
        <f>Savings!L16</f>
        <v>2.714125114240765E-2</v>
      </c>
      <c r="C13" s="72">
        <f>Savings!L17</f>
        <v>22815.885654097856</v>
      </c>
      <c r="D13" s="44">
        <v>200</v>
      </c>
      <c r="E13" s="72">
        <f t="shared" si="0"/>
        <v>22615.885654097856</v>
      </c>
      <c r="F13" s="77"/>
      <c r="G13" s="77"/>
      <c r="H13" s="77"/>
      <c r="I13" s="77"/>
    </row>
    <row r="14" spans="1:9" x14ac:dyDescent="0.25">
      <c r="A14" s="44" t="str">
        <f>Savings!M2</f>
        <v>rommel c.</v>
      </c>
      <c r="B14" s="71">
        <f>Savings!M16</f>
        <v>2.7379452378097094E-2</v>
      </c>
      <c r="C14" s="72">
        <f>Savings!M17</f>
        <v>23016.125949861649</v>
      </c>
      <c r="D14" s="44">
        <v>200</v>
      </c>
      <c r="E14" s="76">
        <f t="shared" si="0"/>
        <v>22816.125949861649</v>
      </c>
      <c r="F14" s="167" t="s">
        <v>72</v>
      </c>
      <c r="G14" s="168"/>
      <c r="H14" s="194">
        <f>SUM(B4:B28)</f>
        <v>1.0000000000000002</v>
      </c>
      <c r="I14" s="195"/>
    </row>
    <row r="15" spans="1:9" ht="15.75" thickBot="1" x14ac:dyDescent="0.3">
      <c r="A15" s="44" t="str">
        <f>Savings!N2</f>
        <v>guilly</v>
      </c>
      <c r="B15" s="71">
        <f>Savings!N16</f>
        <v>1.4879089600353085E-2</v>
      </c>
      <c r="C15" s="72">
        <f>Savings!N17</f>
        <v>12507.883486192815</v>
      </c>
      <c r="D15" s="44">
        <v>200</v>
      </c>
      <c r="E15" s="76">
        <f t="shared" si="0"/>
        <v>12307.883486192815</v>
      </c>
      <c r="F15" s="169"/>
      <c r="G15" s="170"/>
      <c r="H15" s="196"/>
      <c r="I15" s="197"/>
    </row>
    <row r="16" spans="1:9" x14ac:dyDescent="0.25">
      <c r="A16" s="44" t="str">
        <f>Savings!O2</f>
        <v>edward</v>
      </c>
      <c r="B16" s="71">
        <f>Savings!O16</f>
        <v>3.2855342853716513E-3</v>
      </c>
      <c r="C16" s="72">
        <f>Savings!O17</f>
        <v>2761.935113983398</v>
      </c>
      <c r="D16" s="44">
        <v>200</v>
      </c>
      <c r="E16" s="76">
        <f t="shared" si="0"/>
        <v>2561.935113983398</v>
      </c>
      <c r="F16" s="167" t="s">
        <v>73</v>
      </c>
      <c r="G16" s="168"/>
      <c r="H16" s="171">
        <f>SUM(C4:C28)</f>
        <v>840635</v>
      </c>
      <c r="I16" s="172"/>
    </row>
    <row r="17" spans="1:9" ht="15.75" thickBot="1" x14ac:dyDescent="0.3">
      <c r="A17" s="44" t="str">
        <f>Savings!P2</f>
        <v>kc</v>
      </c>
      <c r="B17" s="71">
        <f>Savings!P16</f>
        <v>7.7045778991965226E-3</v>
      </c>
      <c r="C17" s="72">
        <f>Savings!P17</f>
        <v>6476.7378422910688</v>
      </c>
      <c r="D17" s="44">
        <v>200</v>
      </c>
      <c r="E17" s="76">
        <f t="shared" si="0"/>
        <v>6276.7378422910688</v>
      </c>
      <c r="F17" s="169"/>
      <c r="G17" s="170"/>
      <c r="H17" s="173"/>
      <c r="I17" s="174"/>
    </row>
    <row r="18" spans="1:9" x14ac:dyDescent="0.25">
      <c r="A18" s="44" t="str">
        <f>Savings!Q2</f>
        <v>paulo</v>
      </c>
      <c r="B18" s="71">
        <f>Savings!Q16</f>
        <v>0.11424295540380038</v>
      </c>
      <c r="C18" s="72">
        <f>Savings!Q17</f>
        <v>96036.626815873722</v>
      </c>
      <c r="D18" s="44">
        <v>200</v>
      </c>
      <c r="E18" s="72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1">
        <f>Savings!R16</f>
        <v>5.7496849994003903E-3</v>
      </c>
      <c r="C19" s="72">
        <f>Savings!R17</f>
        <v>4833.3864494709469</v>
      </c>
      <c r="D19" s="44">
        <v>200</v>
      </c>
      <c r="E19" s="72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1">
        <f>Savings!S16</f>
        <v>9.912840251299565E-2</v>
      </c>
      <c r="C20" s="72">
        <f>Savings!S17</f>
        <v>83330.804646512101</v>
      </c>
      <c r="D20" s="44">
        <v>200</v>
      </c>
      <c r="E20" s="72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1">
        <f>Savings!T16</f>
        <v>4.8277640789251043E-2</v>
      </c>
      <c r="C21" s="72">
        <f>Savings!T17</f>
        <v>40583.874564872051</v>
      </c>
      <c r="D21" s="44">
        <v>200</v>
      </c>
      <c r="E21" s="72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1">
        <f>Savings!U16</f>
        <v>1.4784904284172432E-2</v>
      </c>
      <c r="C22" s="72">
        <f>Savings!U17</f>
        <v>12428.708012925292</v>
      </c>
      <c r="D22" s="44">
        <v>200</v>
      </c>
      <c r="E22" s="72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1">
        <f>Savings!V16</f>
        <v>1.2594548093924664E-2</v>
      </c>
      <c r="C23" s="72">
        <f>Savings!V17</f>
        <v>10587.417936936359</v>
      </c>
      <c r="D23" s="44">
        <v>200</v>
      </c>
      <c r="E23" s="72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1">
        <f>Savings!W16</f>
        <v>1.6427671426858258E-2</v>
      </c>
      <c r="C24" s="72">
        <f>Savings!W17</f>
        <v>13809.675569916992</v>
      </c>
      <c r="D24" s="44">
        <v>200</v>
      </c>
      <c r="E24" s="72">
        <f t="shared" si="0"/>
        <v>13609.675569916992</v>
      </c>
      <c r="F24" s="41"/>
      <c r="G24" s="41"/>
      <c r="H24" s="41"/>
      <c r="I24" s="41"/>
    </row>
    <row r="25" spans="1:9" x14ac:dyDescent="0.25">
      <c r="A25" s="72" t="str">
        <f>Savings!X2</f>
        <v>kero</v>
      </c>
      <c r="B25" s="71">
        <f>Savings!X16</f>
        <v>2.0808383807353791E-2</v>
      </c>
      <c r="C25" s="72">
        <f>Savings!X17</f>
        <v>17492.255721894853</v>
      </c>
      <c r="D25" s="44">
        <v>200</v>
      </c>
      <c r="E25" s="72">
        <f t="shared" si="0"/>
        <v>17292.255721894853</v>
      </c>
    </row>
    <row r="26" spans="1:9" x14ac:dyDescent="0.25">
      <c r="A26" s="44" t="str">
        <f>Savings!Y2</f>
        <v>gef</v>
      </c>
      <c r="B26" s="71">
        <f>Savings!Y16</f>
        <v>2.0808383807353791E-2</v>
      </c>
      <c r="C26" s="72">
        <f>Savings!Y17</f>
        <v>17492.255721894853</v>
      </c>
      <c r="D26" s="44">
        <v>200</v>
      </c>
      <c r="E26" s="72">
        <f t="shared" si="0"/>
        <v>17292.255721894853</v>
      </c>
    </row>
    <row r="27" spans="1:9" x14ac:dyDescent="0.25">
      <c r="A27" s="44" t="str">
        <f>Savings!Z2</f>
        <v>alvin</v>
      </c>
      <c r="B27" s="71">
        <f>Savings!Z16</f>
        <v>8.2138357134291292E-3</v>
      </c>
      <c r="C27" s="72">
        <f>Savings!Z17</f>
        <v>6904.8377849584958</v>
      </c>
      <c r="D27" s="44">
        <v>200</v>
      </c>
      <c r="E27" s="72">
        <f t="shared" si="0"/>
        <v>6704.8377849584958</v>
      </c>
    </row>
    <row r="28" spans="1:9" x14ac:dyDescent="0.25">
      <c r="A28" s="44" t="str">
        <f>Savings!AA2</f>
        <v>gugu</v>
      </c>
      <c r="B28" s="71">
        <f>Savings!AA16</f>
        <v>0</v>
      </c>
      <c r="C28" s="72">
        <f>Savings!AA17</f>
        <v>0</v>
      </c>
      <c r="D28" s="44">
        <v>200</v>
      </c>
      <c r="E28" s="72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opLeftCell="A48" zoomScale="85" zoomScaleNormal="85" workbookViewId="0">
      <selection activeCell="G69" sqref="G69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7" ht="15.75" thickBot="1" x14ac:dyDescent="0.3">
      <c r="A1" s="38" t="s">
        <v>49</v>
      </c>
    </row>
    <row r="2" spans="1:27" ht="15.75" thickBot="1" x14ac:dyDescent="0.3">
      <c r="A2" s="46" t="s">
        <v>4</v>
      </c>
      <c r="B2" s="65" t="s">
        <v>46</v>
      </c>
      <c r="C2" s="60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59" t="s">
        <v>45</v>
      </c>
    </row>
    <row r="3" spans="1:27" x14ac:dyDescent="0.25">
      <c r="A3" s="47">
        <v>41820</v>
      </c>
      <c r="B3" s="66">
        <v>35435</v>
      </c>
      <c r="C3" s="61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7" x14ac:dyDescent="0.25">
      <c r="A4" s="47">
        <v>41835</v>
      </c>
      <c r="B4" s="67">
        <v>148000</v>
      </c>
      <c r="C4" s="62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7" x14ac:dyDescent="0.25">
      <c r="A5" s="47">
        <v>41850</v>
      </c>
      <c r="B5" s="67">
        <v>54300</v>
      </c>
      <c r="C5" s="62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7" x14ac:dyDescent="0.25">
      <c r="A6" s="47">
        <v>41866</v>
      </c>
      <c r="B6" s="67">
        <v>76000</v>
      </c>
      <c r="C6" s="62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7" x14ac:dyDescent="0.25">
      <c r="A7" s="47">
        <v>41881</v>
      </c>
      <c r="B7" s="67">
        <v>56500</v>
      </c>
      <c r="C7" s="62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7" x14ac:dyDescent="0.25">
      <c r="A8" s="47">
        <v>41897</v>
      </c>
      <c r="B8" s="67">
        <v>60000</v>
      </c>
      <c r="C8" s="62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7" x14ac:dyDescent="0.25">
      <c r="A9" s="47">
        <v>41912</v>
      </c>
      <c r="B9" s="67">
        <v>125000</v>
      </c>
      <c r="C9" s="62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7" x14ac:dyDescent="0.25">
      <c r="A10" s="47">
        <v>41927</v>
      </c>
      <c r="B10" s="67">
        <v>99000</v>
      </c>
      <c r="C10" s="62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7" x14ac:dyDescent="0.25">
      <c r="A11" s="47">
        <v>41942</v>
      </c>
      <c r="B11" s="67">
        <v>32000</v>
      </c>
      <c r="C11" s="62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7" x14ac:dyDescent="0.25">
      <c r="A12" s="47">
        <v>41958</v>
      </c>
      <c r="B12" s="67">
        <v>76000</v>
      </c>
      <c r="C12" s="62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7" x14ac:dyDescent="0.25">
      <c r="A13" s="47">
        <v>41973</v>
      </c>
      <c r="B13" s="67">
        <v>33400</v>
      </c>
      <c r="C13" s="62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7" x14ac:dyDescent="0.25">
      <c r="A14" s="47">
        <v>41623</v>
      </c>
      <c r="B14" s="68">
        <v>45000</v>
      </c>
      <c r="C14" s="62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7" x14ac:dyDescent="0.25">
      <c r="A15" s="48" t="s">
        <v>5</v>
      </c>
      <c r="B15" s="67">
        <f>SUM(B3:B14)</f>
        <v>840635</v>
      </c>
      <c r="C15" s="80">
        <f t="shared" ref="C15:Z15" si="0">SUM(C3:C14)</f>
        <v>300000</v>
      </c>
      <c r="D15" s="81">
        <f t="shared" si="0"/>
        <v>20310</v>
      </c>
      <c r="E15" s="81">
        <f t="shared" si="0"/>
        <v>57240</v>
      </c>
      <c r="F15" s="81">
        <f t="shared" si="0"/>
        <v>100745</v>
      </c>
      <c r="G15" s="81">
        <f t="shared" si="0"/>
        <v>111733</v>
      </c>
      <c r="H15" s="81">
        <f t="shared" si="0"/>
        <v>67667</v>
      </c>
      <c r="I15" s="81">
        <f t="shared" si="0"/>
        <v>190226</v>
      </c>
      <c r="J15" s="81">
        <f t="shared" si="0"/>
        <v>4834</v>
      </c>
      <c r="K15" s="81">
        <f t="shared" si="0"/>
        <v>167305</v>
      </c>
      <c r="L15" s="81">
        <f t="shared" si="0"/>
        <v>49565</v>
      </c>
      <c r="M15" s="81">
        <f t="shared" si="0"/>
        <v>50000</v>
      </c>
      <c r="N15" s="81">
        <f t="shared" si="0"/>
        <v>27172</v>
      </c>
      <c r="O15" s="81">
        <f t="shared" si="0"/>
        <v>6000</v>
      </c>
      <c r="P15" s="81">
        <f t="shared" si="0"/>
        <v>14070</v>
      </c>
      <c r="Q15" s="81">
        <f t="shared" si="0"/>
        <v>208629</v>
      </c>
      <c r="R15" s="81">
        <f t="shared" si="0"/>
        <v>10500</v>
      </c>
      <c r="S15" s="81">
        <f t="shared" si="0"/>
        <v>181027</v>
      </c>
      <c r="T15" s="81">
        <f t="shared" si="0"/>
        <v>88164</v>
      </c>
      <c r="U15" s="81">
        <f t="shared" si="0"/>
        <v>27000</v>
      </c>
      <c r="V15" s="81">
        <f t="shared" si="0"/>
        <v>23000</v>
      </c>
      <c r="W15" s="81">
        <f t="shared" si="0"/>
        <v>30000</v>
      </c>
      <c r="X15" s="81">
        <f t="shared" si="0"/>
        <v>38000</v>
      </c>
      <c r="Y15" s="81">
        <f t="shared" si="0"/>
        <v>38000</v>
      </c>
      <c r="Z15" s="81">
        <f t="shared" si="0"/>
        <v>15000</v>
      </c>
      <c r="AA15" s="82">
        <f>SUM(AB3:AB14)</f>
        <v>0</v>
      </c>
    </row>
    <row r="16" spans="1:27" x14ac:dyDescent="0.25">
      <c r="A16" s="49" t="s">
        <v>61</v>
      </c>
      <c r="B16" s="69">
        <f>SUM(C15:AA15)</f>
        <v>1826187</v>
      </c>
      <c r="C16" s="63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70">
        <f>SUM(C17:AA17)</f>
        <v>840635</v>
      </c>
      <c r="C17" s="64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2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9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9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9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9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9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9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9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9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9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9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9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9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8">
        <f>SUM(B21:B32)</f>
        <v>24524350</v>
      </c>
      <c r="C33" s="83">
        <f t="shared" ref="C33:M33" si="1">SUM(C21:C32) + C15</f>
        <v>300000</v>
      </c>
      <c r="D33" s="83">
        <f t="shared" si="1"/>
        <v>21210</v>
      </c>
      <c r="E33" s="83">
        <f t="shared" si="1"/>
        <v>62740</v>
      </c>
      <c r="F33" s="83">
        <f t="shared" si="1"/>
        <v>136745</v>
      </c>
      <c r="G33" s="83">
        <f t="shared" si="1"/>
        <v>144733</v>
      </c>
      <c r="H33" s="83">
        <f t="shared" si="1"/>
        <v>69667</v>
      </c>
      <c r="I33" s="83">
        <f t="shared" si="1"/>
        <v>244087</v>
      </c>
      <c r="J33" s="83">
        <f t="shared" si="1"/>
        <v>6834</v>
      </c>
      <c r="K33" s="83">
        <f t="shared" si="1"/>
        <v>249967</v>
      </c>
      <c r="L33" s="83">
        <f t="shared" si="1"/>
        <v>53565</v>
      </c>
      <c r="M33" s="83">
        <f t="shared" si="1"/>
        <v>68000</v>
      </c>
      <c r="N33" s="83">
        <f>SUM(N21:N32) + N14</f>
        <v>0</v>
      </c>
      <c r="O33" s="83">
        <f>SUM(O21:O32) + O14</f>
        <v>10419</v>
      </c>
      <c r="P33" s="83">
        <f t="shared" ref="P33:AA33" si="2">SUM(P21:P32) + P15</f>
        <v>14070</v>
      </c>
      <c r="Q33" s="83">
        <f t="shared" si="2"/>
        <v>237537</v>
      </c>
      <c r="R33" s="83">
        <f t="shared" si="2"/>
        <v>14521</v>
      </c>
      <c r="S33" s="83">
        <f t="shared" si="2"/>
        <v>245151</v>
      </c>
      <c r="T33" s="83">
        <f t="shared" si="2"/>
        <v>136164</v>
      </c>
      <c r="U33" s="83">
        <f t="shared" si="2"/>
        <v>58235</v>
      </c>
      <c r="V33" s="83">
        <f t="shared" si="2"/>
        <v>36543</v>
      </c>
      <c r="W33" s="83">
        <f t="shared" si="2"/>
        <v>44662</v>
      </c>
      <c r="X33" s="83">
        <f t="shared" si="2"/>
        <v>86367</v>
      </c>
      <c r="Y33" s="83">
        <f t="shared" si="2"/>
        <v>86618</v>
      </c>
      <c r="Z33" s="83">
        <f t="shared" si="2"/>
        <v>15000</v>
      </c>
      <c r="AA33" s="83">
        <f t="shared" si="2"/>
        <v>0</v>
      </c>
    </row>
    <row r="34" spans="1:27" x14ac:dyDescent="0.25">
      <c r="A34" s="35" t="s">
        <v>61</v>
      </c>
      <c r="B34" s="69">
        <f>SUM(C33:AA33)</f>
        <v>2342835</v>
      </c>
      <c r="C34" s="63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70">
        <f>SUM(C35:AA35)</f>
        <v>24524349.999999996</v>
      </c>
      <c r="C35" s="64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2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3">
        <f t="shared" ref="C51:M51" si="3">SUM(C39:C50) + C33</f>
        <v>300000</v>
      </c>
      <c r="D51" s="83">
        <f t="shared" si="3"/>
        <v>39210</v>
      </c>
      <c r="E51" s="83">
        <f t="shared" si="3"/>
        <v>81740</v>
      </c>
      <c r="F51" s="83">
        <f t="shared" si="3"/>
        <v>154745</v>
      </c>
      <c r="G51" s="83">
        <f t="shared" si="3"/>
        <v>163733</v>
      </c>
      <c r="H51" s="83">
        <f t="shared" si="3"/>
        <v>81667</v>
      </c>
      <c r="I51" s="83">
        <f t="shared" si="3"/>
        <v>255087</v>
      </c>
      <c r="J51" s="83">
        <f t="shared" si="3"/>
        <v>17834</v>
      </c>
      <c r="K51" s="83">
        <f t="shared" si="3"/>
        <v>261967</v>
      </c>
      <c r="L51" s="83">
        <f t="shared" si="3"/>
        <v>61565</v>
      </c>
      <c r="M51" s="83">
        <f t="shared" si="3"/>
        <v>89000</v>
      </c>
      <c r="N51" s="83">
        <f>SUM(N39:N50) + N32</f>
        <v>18000</v>
      </c>
      <c r="O51" s="83">
        <f>SUM(O39:O50) + O32</f>
        <v>6000</v>
      </c>
      <c r="P51" s="83">
        <f t="shared" ref="P51:AA51" si="4">SUM(P39:P50) + P33</f>
        <v>35070</v>
      </c>
      <c r="Q51" s="83">
        <f t="shared" si="4"/>
        <v>251537</v>
      </c>
      <c r="R51" s="83">
        <f t="shared" si="4"/>
        <v>18521</v>
      </c>
      <c r="S51" s="83">
        <f t="shared" si="4"/>
        <v>260151</v>
      </c>
      <c r="T51" s="83">
        <f t="shared" si="4"/>
        <v>153164</v>
      </c>
      <c r="U51" s="83">
        <f t="shared" si="4"/>
        <v>75235</v>
      </c>
      <c r="V51" s="83">
        <f t="shared" si="4"/>
        <v>49543</v>
      </c>
      <c r="W51" s="83">
        <f t="shared" si="4"/>
        <v>54662</v>
      </c>
      <c r="X51" s="83">
        <f t="shared" si="4"/>
        <v>96367</v>
      </c>
      <c r="Y51" s="83">
        <f t="shared" si="4"/>
        <v>105618</v>
      </c>
      <c r="Z51" s="83">
        <f t="shared" si="4"/>
        <v>23000</v>
      </c>
      <c r="AA51" s="83">
        <f t="shared" si="4"/>
        <v>15000</v>
      </c>
    </row>
    <row r="52" spans="1:27" x14ac:dyDescent="0.25">
      <c r="A52" s="35" t="s">
        <v>61</v>
      </c>
      <c r="B52" s="69">
        <f>SUM(C51:AA51)</f>
        <v>2668416</v>
      </c>
      <c r="C52" s="63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70">
        <f>SUM(C53:AA53)</f>
        <v>1100927.0000000002</v>
      </c>
      <c r="C53" s="64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2">
        <f>SUM(C52:AA52)</f>
        <v>1</v>
      </c>
    </row>
    <row r="55" spans="1:27" x14ac:dyDescent="0.25">
      <c r="A55" s="103">
        <v>2015</v>
      </c>
      <c r="B55" s="86"/>
      <c r="C55" s="110"/>
      <c r="D55" s="110"/>
      <c r="E55" s="97"/>
    </row>
    <row r="56" spans="1:27" x14ac:dyDescent="0.25">
      <c r="A56" s="104" t="s">
        <v>86</v>
      </c>
      <c r="B56" s="86" t="s">
        <v>46</v>
      </c>
      <c r="C56" s="110"/>
      <c r="D56" s="110"/>
      <c r="E56" s="97"/>
    </row>
    <row r="57" spans="1:27" x14ac:dyDescent="0.25">
      <c r="A57" s="111">
        <v>46021</v>
      </c>
      <c r="B57" s="86"/>
      <c r="C57" s="110"/>
      <c r="D57" s="110"/>
      <c r="E57" s="97"/>
    </row>
    <row r="58" spans="1:27" x14ac:dyDescent="0.25">
      <c r="A58" s="111">
        <v>45672</v>
      </c>
      <c r="B58" s="86"/>
      <c r="C58" s="110"/>
      <c r="D58" s="110"/>
      <c r="E58" s="97"/>
    </row>
    <row r="59" spans="1:27" x14ac:dyDescent="0.25">
      <c r="A59" s="111">
        <v>45687</v>
      </c>
      <c r="B59" s="86"/>
      <c r="C59" s="110"/>
      <c r="D59" s="110"/>
      <c r="E59" s="97"/>
    </row>
    <row r="60" spans="1:27" x14ac:dyDescent="0.25">
      <c r="A60" s="111">
        <v>45703</v>
      </c>
      <c r="B60" s="86"/>
      <c r="C60" s="110"/>
      <c r="D60" s="110"/>
      <c r="E60" s="97"/>
    </row>
    <row r="61" spans="1:27" x14ac:dyDescent="0.25">
      <c r="A61" s="111">
        <v>45716</v>
      </c>
      <c r="B61" s="86"/>
      <c r="C61" s="110"/>
      <c r="D61" s="110"/>
      <c r="E61" s="97"/>
    </row>
    <row r="62" spans="1:27" x14ac:dyDescent="0.25">
      <c r="A62" s="111">
        <v>45731</v>
      </c>
      <c r="B62" s="86"/>
      <c r="C62" s="110"/>
      <c r="D62" s="110"/>
      <c r="E62" s="97"/>
    </row>
    <row r="63" spans="1:27" x14ac:dyDescent="0.25">
      <c r="A63" s="111">
        <v>45746</v>
      </c>
      <c r="B63" s="86"/>
      <c r="C63" s="110"/>
      <c r="D63" s="110"/>
      <c r="E63" s="97"/>
    </row>
    <row r="64" spans="1:27" x14ac:dyDescent="0.25">
      <c r="A64" s="111">
        <v>45762</v>
      </c>
      <c r="B64" s="86"/>
      <c r="C64" s="110"/>
      <c r="D64" s="110"/>
      <c r="E64" s="97"/>
    </row>
    <row r="65" spans="1:32" x14ac:dyDescent="0.25">
      <c r="A65" s="111">
        <v>45777</v>
      </c>
      <c r="B65" s="86"/>
      <c r="C65" s="110"/>
      <c r="D65" s="110"/>
      <c r="E65" s="97"/>
    </row>
    <row r="66" spans="1:32" x14ac:dyDescent="0.25">
      <c r="A66" s="111">
        <v>45792</v>
      </c>
      <c r="B66" s="86"/>
      <c r="C66" s="110"/>
      <c r="D66" s="110"/>
      <c r="E66" s="97"/>
    </row>
    <row r="67" spans="1:32" x14ac:dyDescent="0.25">
      <c r="A67" s="111">
        <v>45807</v>
      </c>
      <c r="B67" s="86"/>
      <c r="C67" s="110"/>
      <c r="D67" s="110"/>
      <c r="E67" s="97"/>
      <c r="AF67" s="1"/>
    </row>
    <row r="68" spans="1:32" x14ac:dyDescent="0.25">
      <c r="A68" s="111">
        <v>45823</v>
      </c>
      <c r="B68" s="86"/>
      <c r="C68" s="110"/>
      <c r="D68" s="110"/>
      <c r="E68" s="97"/>
      <c r="AF68" s="1"/>
    </row>
    <row r="69" spans="1:32" x14ac:dyDescent="0.25">
      <c r="A69" s="105" t="s">
        <v>5</v>
      </c>
      <c r="B69" s="112">
        <f>SUM(B57:B68)</f>
        <v>0</v>
      </c>
      <c r="C69" s="110"/>
      <c r="D69" s="110"/>
      <c r="E69" s="97"/>
      <c r="AF69" s="1"/>
    </row>
    <row r="70" spans="1:32" x14ac:dyDescent="0.25">
      <c r="A70" s="106" t="s">
        <v>61</v>
      </c>
      <c r="B70" s="107">
        <f>SUM(C51:AA51)</f>
        <v>2668416</v>
      </c>
      <c r="C70" s="110"/>
      <c r="D70" s="110"/>
      <c r="E70" s="97"/>
      <c r="AF70" s="1"/>
    </row>
    <row r="71" spans="1:32" x14ac:dyDescent="0.25">
      <c r="A71" s="86" t="s">
        <v>85</v>
      </c>
      <c r="B71" s="108">
        <f>SUM(C53:AA53)</f>
        <v>1100927.0000000002</v>
      </c>
      <c r="C71" s="110"/>
      <c r="D71" s="110"/>
      <c r="E71" s="97"/>
      <c r="AF71" s="1"/>
    </row>
    <row r="72" spans="1:32" x14ac:dyDescent="0.25">
      <c r="A72" s="86"/>
      <c r="B72" s="109">
        <f>SUM(C52:AA52)</f>
        <v>1</v>
      </c>
      <c r="C72" s="110"/>
      <c r="D72" s="110"/>
      <c r="E72" s="97"/>
    </row>
    <row r="73" spans="1:32" x14ac:dyDescent="0.25">
      <c r="A73" s="110"/>
      <c r="B73" s="110"/>
      <c r="C73" s="110"/>
      <c r="D73" s="110"/>
      <c r="E73" s="97"/>
      <c r="AF73" s="1"/>
    </row>
    <row r="74" spans="1:32" x14ac:dyDescent="0.25">
      <c r="A74" s="110"/>
      <c r="B74" s="110"/>
      <c r="C74" s="110"/>
      <c r="D74" s="110"/>
      <c r="AF74" s="1"/>
    </row>
    <row r="75" spans="1:32" x14ac:dyDescent="0.25">
      <c r="A75" s="110"/>
      <c r="B75" s="110"/>
      <c r="C75" s="110"/>
      <c r="D75" s="110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workbookViewId="0">
      <pane ySplit="2" topLeftCell="A13" activePane="bottomLeft" state="frozen"/>
      <selection pane="bottomLeft" activeCell="A108" sqref="A108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100"/>
      <c r="V4" s="98"/>
      <c r="W4" s="98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100"/>
      <c r="V5" s="98"/>
      <c r="W5" s="98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100"/>
      <c r="V6" s="98"/>
      <c r="W6" s="98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100"/>
      <c r="V7" s="98"/>
      <c r="W7" s="98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100"/>
      <c r="V8" s="98"/>
      <c r="W8" s="98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100"/>
      <c r="V9" s="98"/>
      <c r="W9" s="98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100"/>
      <c r="V10" s="98"/>
      <c r="W10" s="98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100"/>
      <c r="V11" s="98"/>
      <c r="W11" s="98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100"/>
      <c r="V12" s="98"/>
      <c r="W12" s="98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100"/>
      <c r="V13" s="98"/>
      <c r="W13" s="98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100"/>
      <c r="V14" s="98"/>
      <c r="W14" s="98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100"/>
      <c r="V15" s="98"/>
      <c r="W15" s="98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100"/>
      <c r="V16" s="98"/>
      <c r="W16" s="98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100"/>
      <c r="V17" s="98"/>
      <c r="W17" s="98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1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1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1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1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1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1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1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1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1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9">
        <v>1</v>
      </c>
      <c r="B52" s="5">
        <v>2</v>
      </c>
      <c r="C52" s="5">
        <v>3</v>
      </c>
      <c r="D52" s="5">
        <v>4</v>
      </c>
      <c r="E52" s="99">
        <v>5</v>
      </c>
      <c r="F52" s="5">
        <v>6</v>
      </c>
      <c r="G52" s="5">
        <v>7</v>
      </c>
      <c r="H52" s="5">
        <v>8</v>
      </c>
      <c r="I52" s="99">
        <v>9</v>
      </c>
      <c r="J52" s="5">
        <v>10</v>
      </c>
      <c r="K52" s="5">
        <v>11</v>
      </c>
      <c r="L52" s="5">
        <v>12</v>
      </c>
      <c r="M52" s="99">
        <v>13</v>
      </c>
      <c r="N52" s="5">
        <v>14</v>
      </c>
      <c r="O52" s="5">
        <v>15</v>
      </c>
      <c r="P52" s="5">
        <v>16</v>
      </c>
      <c r="Q52" s="99">
        <v>17</v>
      </c>
      <c r="R52" s="5">
        <v>18</v>
      </c>
      <c r="S52" s="5">
        <v>19</v>
      </c>
      <c r="T52" s="5">
        <v>20</v>
      </c>
      <c r="U52" s="99">
        <v>21</v>
      </c>
      <c r="V52" s="5">
        <v>22</v>
      </c>
      <c r="W52" s="5">
        <v>23</v>
      </c>
      <c r="X52" s="5">
        <v>24</v>
      </c>
      <c r="Y52" s="99">
        <v>25</v>
      </c>
      <c r="Z52" s="5">
        <v>26</v>
      </c>
      <c r="AA52" s="5">
        <v>27</v>
      </c>
      <c r="AB52" s="5">
        <v>28</v>
      </c>
      <c r="AC52" s="99">
        <v>29</v>
      </c>
      <c r="AD52" s="4">
        <v>30</v>
      </c>
      <c r="AE52" s="5">
        <v>31</v>
      </c>
      <c r="AF52" s="5">
        <v>32</v>
      </c>
      <c r="AG52" s="99">
        <v>33</v>
      </c>
      <c r="AH52" s="98">
        <v>34</v>
      </c>
      <c r="AI52" s="4">
        <v>35</v>
      </c>
      <c r="AJ52" s="5">
        <v>36</v>
      </c>
      <c r="AK52" s="99">
        <v>37</v>
      </c>
      <c r="AL52" s="5">
        <v>38</v>
      </c>
      <c r="AM52" s="98">
        <v>39</v>
      </c>
      <c r="AN52" s="4">
        <v>40</v>
      </c>
      <c r="AO52" s="99">
        <v>41</v>
      </c>
      <c r="AP52" s="5">
        <v>42</v>
      </c>
      <c r="AQ52" s="5">
        <v>43</v>
      </c>
      <c r="AR52" s="98">
        <v>44</v>
      </c>
      <c r="AS52" s="99">
        <v>45</v>
      </c>
      <c r="AT52" s="5">
        <v>46</v>
      </c>
      <c r="AU52" s="5">
        <v>47</v>
      </c>
      <c r="AV52" s="5">
        <v>48</v>
      </c>
      <c r="AW52" s="99">
        <v>49</v>
      </c>
      <c r="AX52" s="4">
        <v>50</v>
      </c>
      <c r="AY52" s="5">
        <v>51</v>
      </c>
      <c r="AZ52" s="5">
        <v>52</v>
      </c>
      <c r="BA52" s="99">
        <v>53</v>
      </c>
      <c r="BB52" s="98">
        <v>54</v>
      </c>
      <c r="BC52" s="4">
        <v>55</v>
      </c>
      <c r="BD52" s="5">
        <v>56</v>
      </c>
      <c r="BE52" s="99">
        <v>57</v>
      </c>
      <c r="BF52" s="5">
        <v>58</v>
      </c>
      <c r="BG52" s="98">
        <v>59</v>
      </c>
      <c r="BH52" s="4">
        <v>60</v>
      </c>
      <c r="BI52" s="99">
        <v>61</v>
      </c>
      <c r="BJ52" s="5">
        <v>62</v>
      </c>
      <c r="BK52" s="5">
        <v>63</v>
      </c>
      <c r="BL52" s="98">
        <v>64</v>
      </c>
      <c r="BM52" s="99">
        <v>65</v>
      </c>
      <c r="BN52" s="5">
        <v>66</v>
      </c>
      <c r="BO52" s="5">
        <v>67</v>
      </c>
      <c r="BP52" s="5">
        <v>68</v>
      </c>
      <c r="BQ52" s="99">
        <v>69</v>
      </c>
      <c r="BR52" s="4">
        <v>70</v>
      </c>
      <c r="BS52" s="5">
        <v>71</v>
      </c>
      <c r="BT52" s="5">
        <v>72</v>
      </c>
      <c r="BU52" s="99">
        <v>73</v>
      </c>
      <c r="BV52" s="98">
        <v>74</v>
      </c>
      <c r="BW52" s="4">
        <v>75</v>
      </c>
      <c r="BX52" s="5">
        <v>76</v>
      </c>
      <c r="BY52" s="99">
        <v>77</v>
      </c>
      <c r="BZ52" s="5">
        <v>78</v>
      </c>
      <c r="CA52" s="98">
        <v>79</v>
      </c>
      <c r="CB52" s="4">
        <v>80</v>
      </c>
      <c r="CC52" s="99">
        <v>81</v>
      </c>
      <c r="CD52" s="5">
        <v>82</v>
      </c>
      <c r="CE52" s="5">
        <v>83</v>
      </c>
      <c r="CF52" s="98">
        <v>84</v>
      </c>
      <c r="CG52" s="99">
        <v>85</v>
      </c>
      <c r="CH52" s="5">
        <v>86</v>
      </c>
      <c r="CI52" s="5">
        <v>87</v>
      </c>
      <c r="CJ52" s="5">
        <v>88</v>
      </c>
      <c r="CK52" s="99">
        <v>89</v>
      </c>
      <c r="CL52" s="4">
        <v>90</v>
      </c>
      <c r="CM52" s="5">
        <v>91</v>
      </c>
      <c r="CN52" s="5">
        <v>92</v>
      </c>
      <c r="CO52" s="99">
        <v>93</v>
      </c>
      <c r="CP52" s="98">
        <v>94</v>
      </c>
      <c r="CQ52" s="4">
        <v>95</v>
      </c>
      <c r="CR52" s="5">
        <v>96</v>
      </c>
      <c r="CS52" s="99">
        <v>97</v>
      </c>
      <c r="CT52" s="5">
        <v>98</v>
      </c>
      <c r="CU52" s="98">
        <v>99</v>
      </c>
      <c r="CV52" s="4">
        <v>100</v>
      </c>
      <c r="CW52" s="99">
        <v>101</v>
      </c>
      <c r="CX52" s="5">
        <v>102</v>
      </c>
      <c r="CY52" s="5">
        <v>103</v>
      </c>
      <c r="CZ52" s="98">
        <v>104</v>
      </c>
      <c r="DA52" s="99">
        <v>105</v>
      </c>
      <c r="DB52" s="5">
        <v>106</v>
      </c>
      <c r="DC52" s="5">
        <v>107</v>
      </c>
      <c r="DD52" s="5">
        <v>108</v>
      </c>
      <c r="DE52" s="99">
        <v>109</v>
      </c>
      <c r="DF52" s="4">
        <v>110</v>
      </c>
      <c r="DG52" s="5">
        <v>111</v>
      </c>
      <c r="DH52" s="5">
        <v>112</v>
      </c>
      <c r="DI52" s="99">
        <v>113</v>
      </c>
      <c r="DJ52" s="98">
        <v>114</v>
      </c>
      <c r="DK52" s="4">
        <v>115</v>
      </c>
      <c r="DL52" s="5">
        <v>116</v>
      </c>
      <c r="DM52" s="99">
        <v>117</v>
      </c>
      <c r="DN52" s="5">
        <v>118</v>
      </c>
      <c r="DO52" s="98">
        <v>119</v>
      </c>
      <c r="DP52" s="4">
        <v>120</v>
      </c>
      <c r="DQ52" s="99">
        <v>121</v>
      </c>
      <c r="DR52" s="5">
        <v>122</v>
      </c>
      <c r="DS52" s="5">
        <v>123</v>
      </c>
      <c r="DT52" s="98">
        <v>124</v>
      </c>
      <c r="DU52" s="99">
        <v>125</v>
      </c>
      <c r="DV52" s="5">
        <v>126</v>
      </c>
      <c r="DW52" s="5">
        <v>127</v>
      </c>
      <c r="DX52" s="5">
        <v>128</v>
      </c>
      <c r="DY52" s="99">
        <v>129</v>
      </c>
      <c r="DZ52" s="4">
        <v>130</v>
      </c>
      <c r="EA52" s="5">
        <v>131</v>
      </c>
      <c r="EB52" s="5">
        <v>132</v>
      </c>
      <c r="EC52" s="99">
        <v>133</v>
      </c>
      <c r="ED52" s="98">
        <v>134</v>
      </c>
      <c r="EE52" s="4">
        <v>135</v>
      </c>
      <c r="EF52" s="5">
        <v>136</v>
      </c>
      <c r="EG52" s="99">
        <v>137</v>
      </c>
      <c r="EH52" s="5">
        <v>138</v>
      </c>
      <c r="EI52" s="98">
        <v>139</v>
      </c>
      <c r="EJ52" s="4">
        <v>140</v>
      </c>
      <c r="EK52" s="99">
        <v>141</v>
      </c>
      <c r="EL52" s="5">
        <v>142</v>
      </c>
      <c r="EM52" s="5">
        <v>143</v>
      </c>
      <c r="EN52" s="98">
        <v>144</v>
      </c>
      <c r="EO52" s="99">
        <v>145</v>
      </c>
      <c r="EP52" s="5">
        <v>146</v>
      </c>
      <c r="EQ52" s="5">
        <v>147</v>
      </c>
      <c r="ER52" s="5">
        <v>148</v>
      </c>
      <c r="ES52" s="99">
        <v>149</v>
      </c>
      <c r="ET52" s="4">
        <v>150</v>
      </c>
      <c r="EU52" s="5">
        <v>151</v>
      </c>
      <c r="EV52" s="5">
        <v>152</v>
      </c>
      <c r="EW52" s="99">
        <v>153</v>
      </c>
      <c r="EX52" s="98">
        <v>154</v>
      </c>
      <c r="EY52" s="4">
        <v>155</v>
      </c>
      <c r="EZ52" s="5">
        <v>156</v>
      </c>
      <c r="FA52" s="99">
        <v>157</v>
      </c>
      <c r="FB52" s="5">
        <v>158</v>
      </c>
      <c r="FC52" s="98">
        <v>159</v>
      </c>
      <c r="FD52" s="4">
        <v>160</v>
      </c>
      <c r="FE52" s="99">
        <v>161</v>
      </c>
      <c r="FF52" s="5">
        <v>162</v>
      </c>
      <c r="FG52" s="5">
        <v>163</v>
      </c>
      <c r="FH52" s="98">
        <v>164</v>
      </c>
      <c r="FI52" s="99">
        <v>165</v>
      </c>
      <c r="FJ52" s="5">
        <v>166</v>
      </c>
      <c r="FK52" s="5">
        <v>167</v>
      </c>
      <c r="FL52" s="5">
        <v>168</v>
      </c>
      <c r="FM52" s="99">
        <v>169</v>
      </c>
      <c r="FN52" s="4">
        <v>170</v>
      </c>
      <c r="FO52" s="5">
        <v>171</v>
      </c>
      <c r="FP52" s="5">
        <v>172</v>
      </c>
      <c r="FQ52" s="99">
        <v>173</v>
      </c>
      <c r="FR52" s="98">
        <v>174</v>
      </c>
      <c r="FS52" s="4">
        <v>175</v>
      </c>
      <c r="FT52" s="5">
        <v>176</v>
      </c>
      <c r="FU52" s="99">
        <v>177</v>
      </c>
      <c r="FV52" s="5">
        <v>178</v>
      </c>
      <c r="FW52" s="98">
        <v>179</v>
      </c>
      <c r="FX52" s="4">
        <v>180</v>
      </c>
      <c r="FY52" s="99">
        <v>181</v>
      </c>
      <c r="FZ52" s="5">
        <v>182</v>
      </c>
      <c r="GA52" s="5">
        <v>183</v>
      </c>
      <c r="GB52" s="98">
        <v>184</v>
      </c>
      <c r="GC52" s="99">
        <v>185</v>
      </c>
      <c r="GD52" s="5">
        <v>186</v>
      </c>
      <c r="GE52" s="5">
        <v>187</v>
      </c>
      <c r="GF52" s="5">
        <v>188</v>
      </c>
      <c r="GG52" s="99">
        <v>189</v>
      </c>
      <c r="GH52" s="4">
        <v>190</v>
      </c>
      <c r="GI52" s="5">
        <v>191</v>
      </c>
      <c r="GJ52" s="5">
        <v>192</v>
      </c>
      <c r="GK52" s="99">
        <v>193</v>
      </c>
      <c r="GL52" s="98">
        <v>194</v>
      </c>
      <c r="GM52" s="4">
        <v>195</v>
      </c>
      <c r="GN52" s="5">
        <v>196</v>
      </c>
      <c r="GO52" s="99">
        <v>197</v>
      </c>
      <c r="GP52" s="5">
        <v>198</v>
      </c>
      <c r="GQ52" s="98">
        <v>199</v>
      </c>
      <c r="GR52" s="4">
        <v>200</v>
      </c>
      <c r="GS52" s="99">
        <v>201</v>
      </c>
      <c r="GT52" s="5">
        <v>202</v>
      </c>
      <c r="GU52" s="5">
        <v>203</v>
      </c>
      <c r="GV52" s="98">
        <v>204</v>
      </c>
      <c r="GW52" s="99">
        <v>205</v>
      </c>
      <c r="GX52" s="5">
        <v>206</v>
      </c>
      <c r="GY52" s="5">
        <v>207</v>
      </c>
      <c r="GZ52" s="5">
        <v>208</v>
      </c>
      <c r="HA52" s="99">
        <v>209</v>
      </c>
      <c r="HB52" s="4">
        <v>210</v>
      </c>
      <c r="HC52" s="5">
        <v>211</v>
      </c>
      <c r="HD52" s="5">
        <v>212</v>
      </c>
      <c r="HE52" s="99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5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9">
        <v>41654</v>
      </c>
    </row>
    <row r="7" spans="1:26" x14ac:dyDescent="0.25">
      <c r="A7" s="9">
        <v>41669</v>
      </c>
    </row>
    <row r="8" spans="1:26" x14ac:dyDescent="0.25">
      <c r="A8" s="9">
        <v>41685</v>
      </c>
    </row>
    <row r="9" spans="1:26" x14ac:dyDescent="0.25">
      <c r="A9" s="9">
        <v>41698</v>
      </c>
    </row>
    <row r="10" spans="1:26" x14ac:dyDescent="0.25">
      <c r="A10" s="9">
        <v>41713</v>
      </c>
    </row>
    <row r="11" spans="1:26" x14ac:dyDescent="0.25">
      <c r="A11" s="9">
        <v>41728</v>
      </c>
    </row>
    <row r="12" spans="1:26" x14ac:dyDescent="0.25">
      <c r="A12" s="9">
        <v>41744</v>
      </c>
    </row>
    <row r="13" spans="1:26" x14ac:dyDescent="0.25">
      <c r="A13" s="9">
        <v>41759</v>
      </c>
    </row>
    <row r="14" spans="1:26" x14ac:dyDescent="0.25">
      <c r="A14" s="9">
        <v>41774</v>
      </c>
    </row>
    <row r="15" spans="1:26" x14ac:dyDescent="0.25">
      <c r="A15" s="9">
        <v>41789</v>
      </c>
    </row>
    <row r="16" spans="1:26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K5" sqref="K5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198" t="s">
        <v>81</v>
      </c>
      <c r="C1" s="199"/>
      <c r="D1" s="199"/>
      <c r="E1" s="199"/>
      <c r="F1" s="199"/>
      <c r="G1" s="199"/>
      <c r="H1" s="200"/>
    </row>
    <row r="2" spans="1:27" x14ac:dyDescent="0.25">
      <c r="A2" s="41"/>
      <c r="B2" s="87" t="s">
        <v>76</v>
      </c>
      <c r="C2" s="85" t="s">
        <v>75</v>
      </c>
      <c r="D2" s="44"/>
      <c r="E2" s="85" t="s">
        <v>74</v>
      </c>
      <c r="F2" s="85" t="s">
        <v>17</v>
      </c>
      <c r="G2" s="85" t="s">
        <v>50</v>
      </c>
      <c r="H2" s="88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7"/>
      <c r="AA2" s="15"/>
    </row>
    <row r="3" spans="1:27" x14ac:dyDescent="0.25">
      <c r="A3" s="41"/>
      <c r="B3" s="89" t="s">
        <v>21</v>
      </c>
      <c r="C3" s="44" t="s">
        <v>49</v>
      </c>
      <c r="D3" s="44" t="s">
        <v>1</v>
      </c>
      <c r="E3" s="44">
        <f>COUNTA(Savings!C2:AH2)</f>
        <v>25</v>
      </c>
      <c r="F3" s="44">
        <v>18</v>
      </c>
      <c r="G3" s="44">
        <f>COUNTA(C3:C36)</f>
        <v>4</v>
      </c>
      <c r="H3" s="90">
        <f>G3*F3</f>
        <v>72</v>
      </c>
      <c r="J3" t="s">
        <v>41</v>
      </c>
      <c r="K3">
        <f>COUNTA(Borrowers!A1:HA1)</f>
        <v>5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9" t="s">
        <v>22</v>
      </c>
      <c r="C4" s="44" t="s">
        <v>52</v>
      </c>
      <c r="D4" s="44" t="s">
        <v>3</v>
      </c>
      <c r="E4" s="44"/>
      <c r="F4" s="44"/>
      <c r="G4" s="44"/>
      <c r="H4" s="90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9" t="s">
        <v>23</v>
      </c>
      <c r="C5" s="44" t="s">
        <v>53</v>
      </c>
      <c r="D5" s="44" t="s">
        <v>2</v>
      </c>
      <c r="E5" s="44"/>
      <c r="F5" s="44"/>
      <c r="G5" s="4"/>
      <c r="H5" s="91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9" t="s">
        <v>24</v>
      </c>
      <c r="C6" s="44">
        <v>2015</v>
      </c>
      <c r="D6" s="44"/>
      <c r="E6" s="44"/>
      <c r="F6" s="44"/>
      <c r="G6" s="4"/>
      <c r="H6" s="91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9" t="s">
        <v>25</v>
      </c>
      <c r="C7" s="44"/>
      <c r="D7" s="44"/>
      <c r="E7" s="44"/>
      <c r="F7" s="44"/>
      <c r="G7" s="4"/>
      <c r="H7" s="91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9" t="s">
        <v>26</v>
      </c>
      <c r="C8" s="44"/>
      <c r="D8" s="44"/>
      <c r="E8" s="44"/>
      <c r="F8" s="44"/>
      <c r="G8" s="4"/>
      <c r="H8" s="91"/>
      <c r="L8">
        <f>COUNTA(Borrowers!U4:U95)</f>
        <v>1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9" t="s">
        <v>27</v>
      </c>
      <c r="C9" s="44"/>
      <c r="D9" s="44"/>
      <c r="E9" s="44"/>
      <c r="F9" s="86"/>
      <c r="G9" s="4"/>
      <c r="H9" s="91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9" t="s">
        <v>28</v>
      </c>
      <c r="C10" s="44"/>
      <c r="D10" s="44"/>
      <c r="E10" s="44"/>
      <c r="F10" s="44"/>
      <c r="G10" s="4"/>
      <c r="H10" s="91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9" t="s">
        <v>29</v>
      </c>
      <c r="C11" s="44"/>
      <c r="D11" s="44"/>
      <c r="E11" s="44"/>
      <c r="F11" s="44"/>
      <c r="G11" s="4"/>
      <c r="H11" s="91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9" t="s">
        <v>20</v>
      </c>
      <c r="C12" s="44"/>
      <c r="D12" s="44"/>
      <c r="E12" s="44"/>
      <c r="F12" s="44"/>
      <c r="G12" s="4"/>
      <c r="H12" s="91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9" t="s">
        <v>30</v>
      </c>
      <c r="C13" s="44"/>
      <c r="D13" s="44"/>
      <c r="E13" s="44"/>
      <c r="F13" s="44"/>
      <c r="G13" s="4"/>
      <c r="H13" s="91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9" t="s">
        <v>31</v>
      </c>
      <c r="C14" s="44"/>
      <c r="D14" s="44"/>
      <c r="E14" s="44"/>
      <c r="F14" s="44"/>
      <c r="G14" s="4"/>
      <c r="H14" s="91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9" t="s">
        <v>32</v>
      </c>
      <c r="C15" s="44"/>
      <c r="D15" s="44"/>
      <c r="E15" s="44"/>
      <c r="F15" s="44"/>
      <c r="G15" s="4"/>
      <c r="H15" s="91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9" t="s">
        <v>33</v>
      </c>
      <c r="C16" s="44"/>
      <c r="D16" s="44"/>
      <c r="E16" s="44"/>
      <c r="F16" s="44"/>
      <c r="G16" s="4"/>
      <c r="H16" s="91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9" t="s">
        <v>34</v>
      </c>
      <c r="C17" s="44"/>
      <c r="D17" s="44"/>
      <c r="E17" s="44"/>
      <c r="F17" s="44"/>
      <c r="G17" s="4"/>
      <c r="H17" s="91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9" t="s">
        <v>35</v>
      </c>
      <c r="C18" s="44"/>
      <c r="D18" s="44"/>
      <c r="E18" s="44"/>
      <c r="F18" s="44"/>
      <c r="G18" s="4"/>
      <c r="H18" s="91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9" t="s">
        <v>36</v>
      </c>
      <c r="C19" s="44"/>
      <c r="D19" s="44"/>
      <c r="E19" s="44"/>
      <c r="F19" s="44"/>
      <c r="G19" s="4"/>
      <c r="H19" s="91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9" t="s">
        <v>37</v>
      </c>
      <c r="C20" s="44"/>
      <c r="D20" s="44"/>
      <c r="E20" s="44"/>
      <c r="F20" s="44"/>
      <c r="G20" s="4"/>
      <c r="H20" s="91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9" t="s">
        <v>6</v>
      </c>
      <c r="C21" s="44"/>
      <c r="D21" s="44"/>
      <c r="E21" s="44"/>
      <c r="F21" s="44"/>
      <c r="G21" s="4"/>
      <c r="H21" s="91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9" t="s">
        <v>0</v>
      </c>
      <c r="C22" s="44"/>
      <c r="D22" s="44"/>
      <c r="E22" s="44"/>
      <c r="F22" s="44"/>
      <c r="G22" s="4"/>
      <c r="H22" s="91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9" t="s">
        <v>38</v>
      </c>
      <c r="C23" s="44"/>
      <c r="D23" s="44"/>
      <c r="E23" s="44"/>
      <c r="F23" s="44"/>
      <c r="G23" s="4"/>
      <c r="H23" s="91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9" t="s">
        <v>39</v>
      </c>
      <c r="C24" s="44"/>
      <c r="D24" s="44"/>
      <c r="E24" s="44"/>
      <c r="F24" s="44"/>
      <c r="G24" s="4"/>
      <c r="H24" s="91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9" t="s">
        <v>40</v>
      </c>
      <c r="C25" s="44"/>
      <c r="D25" s="44"/>
      <c r="E25" s="44"/>
      <c r="F25" s="44"/>
      <c r="G25" s="4"/>
      <c r="H25" s="91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9" t="s">
        <v>43</v>
      </c>
      <c r="C26" s="44"/>
      <c r="D26" s="44"/>
      <c r="E26" s="44"/>
      <c r="F26" s="44"/>
      <c r="G26" s="4"/>
      <c r="H26" s="91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9" t="s">
        <v>45</v>
      </c>
      <c r="C27" s="44"/>
      <c r="D27" s="44"/>
      <c r="E27" s="44"/>
      <c r="F27" s="44"/>
      <c r="G27" s="4"/>
      <c r="H27" s="91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2"/>
      <c r="C28" s="44"/>
      <c r="D28" s="44"/>
      <c r="E28" s="44"/>
      <c r="F28" s="44"/>
      <c r="G28" s="4"/>
      <c r="H28" s="91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2"/>
      <c r="C29" s="44"/>
      <c r="D29" s="44"/>
      <c r="E29" s="44"/>
      <c r="F29" s="44"/>
      <c r="G29" s="4"/>
      <c r="H29" s="91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2"/>
      <c r="C30" s="44"/>
      <c r="D30" s="44"/>
      <c r="E30" s="44"/>
      <c r="F30" s="44"/>
      <c r="G30" s="4"/>
      <c r="H30" s="91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2"/>
      <c r="C31" s="44"/>
      <c r="D31" s="44"/>
      <c r="E31" s="44"/>
      <c r="F31" s="44"/>
      <c r="G31" s="4"/>
      <c r="H31" s="91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3"/>
      <c r="C32" s="4"/>
      <c r="D32" s="4"/>
      <c r="E32" s="4"/>
      <c r="F32" s="4"/>
      <c r="G32" s="4"/>
      <c r="H32" s="91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3"/>
      <c r="C33" s="4"/>
      <c r="D33" s="4"/>
      <c r="E33" s="4"/>
      <c r="F33" s="4"/>
      <c r="G33" s="4"/>
      <c r="H33" s="91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4"/>
      <c r="C34" s="95"/>
      <c r="D34" s="95"/>
      <c r="E34" s="95"/>
      <c r="F34" s="95"/>
      <c r="G34" s="95"/>
      <c r="H34" s="96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Borrowers2</vt:lpstr>
      <vt:lpstr>Home</vt:lpstr>
      <vt:lpstr>Overview</vt:lpstr>
      <vt:lpstr>Savings</vt:lpstr>
      <vt:lpstr>Borrowers</vt:lpstr>
      <vt:lpstr>Revenues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2025-03-06T20:29:16Z</dcterms:modified>
</cp:coreProperties>
</file>