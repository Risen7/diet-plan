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29CF20B8-2080-4D0F-944E-6454359B891E}" xr6:coauthVersionLast="47" xr6:coauthVersionMax="47" xr10:uidLastSave="{00000000-0000-0000-0000-000000000000}"/>
  <bookViews>
    <workbookView xWindow="-120" yWindow="-120" windowWidth="24240" windowHeight="13020" tabRatio="593" activeTab="2" xr2:uid="{00000000-000D-0000-FFFF-FFFF00000000}"/>
  </bookViews>
  <sheets>
    <sheet name="Home" sheetId="1" r:id="rId1"/>
    <sheet name="Overview" sheetId="8" r:id="rId2"/>
    <sheet name="Savings" sheetId="2" r:id="rId3"/>
    <sheet name="Borrowers" sheetId="4" r:id="rId4"/>
    <sheet name="Revenues" sheetId="5" r:id="rId5"/>
    <sheet name="data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2" i="2" l="1"/>
  <c r="B71" i="2"/>
  <c r="B70" i="2"/>
  <c r="B69" i="2"/>
  <c r="B51" i="2"/>
  <c r="B54" i="2"/>
  <c r="B100" i="4" l="1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L10" i="7" l="1"/>
  <c r="L9" i="7"/>
  <c r="L8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U10" i="1" l="1"/>
  <c r="N51" i="2"/>
  <c r="O51" i="2"/>
  <c r="G3" i="7"/>
  <c r="H3" i="7" s="1"/>
  <c r="E3" i="7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B52" i="2" s="1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V17" i="2" l="1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B53" i="2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<sst xmlns="http://schemas.openxmlformats.org/spreadsheetml/2006/main" count="238" uniqueCount="87">
  <si>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</si>
  <si>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</si>
  <si>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</si>
  <si>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</si>
  <si>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</si>
  <si>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</si>
  <si>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</si>
  <si>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</si>
  <si>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</si>
  <si>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</si>
  <si>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</si>
  <si>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</si>
  <si>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</si>
  <si>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</si>
  <si>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</si>
  <si>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</si>
  <si>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</si>
  <si>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</si>
  <si>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</si>
  <si>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</si>
  <si>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</si>
  <si>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</si>
  <si>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</si>
  <si>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</si>
  <si>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</si>
  <si>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</si>
  <si>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</si>
  <si>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</si>
  <si>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</si>
  <si>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</si>
  <si>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</si>
  <si>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</si>
  <si>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</si>
  <si>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</si>
  <si>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</si>
  <si>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</si>
  <si>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</si>
  <si>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</si>
  <si>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</si>
  <si>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</si>
  <si>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</si>
  <si>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</si>
  <si>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</si>
  <si>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</si>
  <si>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</si>
  <si>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</si>
  <si>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</si>
  <si>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</si>
  <si>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</si>
  <si>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</si>
  <si>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</si>
  <si>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</si>
  <si>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</si>
  <si>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</si>
  <si>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</si>
  <si>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</si>
  <si>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</si>
  <si>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</si>
  <si>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</si>
  <si>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</si>
  <si>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</si>
  <si>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</si>
  <si>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</si>
  <si>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</si>
  <si>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</si>
  <si>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</si>
  <si>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</si>
  <si>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</si>
  <si>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</si>
  <si>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</si>
  <si>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</si>
  <si>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</si>
  <si>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</si>
  <si>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</si>
  <si>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</si>
  <si>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</si>
  <si>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</si>
  <si>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</si>
  <si>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</si>
  <si>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</si>
  <si>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</si>
  <si>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</si>
  <si>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</si>
  <si>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</si>
  <si>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</si>
  <si>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PROFIT----------&gt;</t>
  </si>
  <si>
    <t>DATE OF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</si>
</sst>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4" fontId="20" fillId="31" borderId="1" xfId="0" applyNumberFormat="1" applyFont="1" applyFill="1" applyBorder="1" applyAlignment="1">
      <alignment horizontal="center" vertical="center"/>
    </xf>
    <xf numFmtId="4" fontId="20" fillId="30" borderId="1" xfId="0" applyNumberFormat="1" applyFont="1" applyFill="1" applyBorder="1" applyAlignment="1">
      <alignment horizontal="center" vertical="center"/>
    </xf>
    <xf numFmtId="10" fontId="19" fillId="29" borderId="1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26" borderId="1" xfId="0" applyNumberForma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A4" workbookViewId="0">
      <selection activeCell="G26" sqref="G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12" t="s">
        <v>79</v>
      </c>
      <c r="G2" s="112"/>
      <c r="H2" s="112"/>
      <c r="I2" s="112"/>
      <c r="J2" s="112"/>
      <c r="K2" s="14"/>
      <c r="L2" s="14"/>
      <c r="M2" s="30"/>
      <c r="O2" s="30"/>
      <c r="P2" s="32"/>
      <c r="Q2" s="32"/>
      <c r="R2" s="145" t="s">
        <v>80</v>
      </c>
      <c r="S2" s="145"/>
      <c r="T2" s="145"/>
      <c r="U2" s="145"/>
      <c r="V2" s="145"/>
      <c r="W2" s="145"/>
      <c r="X2" s="32"/>
      <c r="Y2" s="32"/>
      <c r="Z2" s="30"/>
      <c r="AB2" s="74"/>
      <c r="AC2" s="32"/>
      <c r="AD2" s="32"/>
      <c r="AE2" s="145" t="s">
        <v>70</v>
      </c>
      <c r="AF2" s="145"/>
      <c r="AG2" s="145"/>
      <c r="AH2" s="145"/>
      <c r="AI2" s="145"/>
      <c r="AJ2" s="145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12"/>
      <c r="G3" s="112"/>
      <c r="H3" s="112"/>
      <c r="I3" s="112"/>
      <c r="J3" s="112"/>
      <c r="K3" s="14"/>
      <c r="L3" s="14"/>
      <c r="M3" s="30"/>
      <c r="O3" s="30"/>
      <c r="P3" s="32"/>
      <c r="Q3" s="32"/>
      <c r="R3" s="147"/>
      <c r="S3" s="147"/>
      <c r="T3" s="147"/>
      <c r="U3" s="147"/>
      <c r="V3" s="147"/>
      <c r="W3" s="147"/>
      <c r="X3" s="32"/>
      <c r="Y3" s="32"/>
      <c r="Z3" s="30"/>
      <c r="AB3" s="74"/>
      <c r="AC3" s="32"/>
      <c r="AD3" s="32"/>
      <c r="AE3" s="146"/>
      <c r="AF3" s="146"/>
      <c r="AG3" s="146"/>
      <c r="AH3" s="146"/>
      <c r="AI3" s="146"/>
      <c r="AJ3" s="146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13">
        <f>U4+AH6+AH10</f>
        <v>2223000</v>
      </c>
      <c r="G4" s="114"/>
      <c r="H4" s="114"/>
      <c r="I4" s="114"/>
      <c r="J4" s="115"/>
      <c r="L4" s="14"/>
      <c r="M4" s="30"/>
      <c r="O4" s="30"/>
      <c r="P4" s="32"/>
      <c r="Q4" s="125" t="s">
        <v>59</v>
      </c>
      <c r="R4" s="126"/>
      <c r="S4" s="126"/>
      <c r="T4" s="127"/>
      <c r="U4" s="131">
        <f>U7 +U10</f>
        <v>1143000</v>
      </c>
      <c r="V4" s="132"/>
      <c r="W4" s="132"/>
      <c r="X4" s="133"/>
      <c r="Y4" s="32"/>
      <c r="Z4" s="30"/>
      <c r="AB4" s="74"/>
      <c r="AC4" s="32"/>
      <c r="AD4" s="32"/>
      <c r="AE4" s="84"/>
      <c r="AF4" s="84"/>
      <c r="AG4" s="84"/>
      <c r="AH4" s="84"/>
      <c r="AI4" s="84"/>
      <c r="AJ4" s="84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16"/>
      <c r="G5" s="117"/>
      <c r="H5" s="117"/>
      <c r="I5" s="117"/>
      <c r="J5" s="118"/>
      <c r="K5" s="14"/>
      <c r="L5" s="14"/>
      <c r="M5" s="30"/>
      <c r="O5" s="30"/>
      <c r="P5" s="32"/>
      <c r="Q5" s="128"/>
      <c r="R5" s="129"/>
      <c r="S5" s="129"/>
      <c r="T5" s="130"/>
      <c r="U5" s="134"/>
      <c r="V5" s="135"/>
      <c r="W5" s="135"/>
      <c r="X5" s="136"/>
      <c r="Y5" s="32"/>
      <c r="Z5" s="30"/>
      <c r="AB5" s="74"/>
      <c r="AC5" s="32"/>
      <c r="AD5" s="32"/>
      <c r="AE5" s="84"/>
      <c r="AF5" s="84"/>
      <c r="AG5" s="84"/>
      <c r="AH5" s="84"/>
      <c r="AI5" s="84"/>
      <c r="AJ5" s="84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44"/>
      <c r="W6" s="143"/>
      <c r="X6" s="32"/>
      <c r="Y6" s="32"/>
      <c r="Z6" s="30"/>
      <c r="AB6" s="74"/>
      <c r="AC6" s="32"/>
      <c r="AD6" s="125" t="s">
        <v>69</v>
      </c>
      <c r="AE6" s="126"/>
      <c r="AF6" s="126"/>
      <c r="AG6" s="127"/>
      <c r="AH6" s="131">
        <v>980000</v>
      </c>
      <c r="AI6" s="132"/>
      <c r="AJ6" s="132"/>
      <c r="AK6" s="133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37" t="s">
        <v>54</v>
      </c>
      <c r="R7" s="138"/>
      <c r="S7" s="138"/>
      <c r="T7" s="139"/>
      <c r="U7" s="131">
        <v>243000</v>
      </c>
      <c r="V7" s="132"/>
      <c r="W7" s="132"/>
      <c r="X7" s="133"/>
      <c r="Y7" s="32"/>
      <c r="Z7" s="30"/>
      <c r="AB7" s="74"/>
      <c r="AC7" s="32"/>
      <c r="AD7" s="128"/>
      <c r="AE7" s="129"/>
      <c r="AF7" s="129"/>
      <c r="AG7" s="130"/>
      <c r="AH7" s="134"/>
      <c r="AI7" s="135"/>
      <c r="AJ7" s="135"/>
      <c r="AK7" s="136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40"/>
      <c r="R8" s="141"/>
      <c r="S8" s="141"/>
      <c r="T8" s="142"/>
      <c r="U8" s="134"/>
      <c r="V8" s="135"/>
      <c r="W8" s="135"/>
      <c r="X8" s="136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43"/>
      <c r="W9" s="143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37" t="s">
        <v>55</v>
      </c>
      <c r="R10" s="138"/>
      <c r="S10" s="138"/>
      <c r="T10" s="139"/>
      <c r="U10" s="131">
        <f>SUM(U13,U15,U17)</f>
        <v>900000</v>
      </c>
      <c r="V10" s="132"/>
      <c r="W10" s="132"/>
      <c r="X10" s="133"/>
      <c r="Y10" s="32"/>
      <c r="Z10" s="30"/>
      <c r="AB10" s="74"/>
      <c r="AC10" s="32"/>
      <c r="AD10" s="148" t="s">
        <v>77</v>
      </c>
      <c r="AE10" s="149"/>
      <c r="AF10" s="149"/>
      <c r="AG10" s="150"/>
      <c r="AH10" s="131">
        <v>100000</v>
      </c>
      <c r="AI10" s="132"/>
      <c r="AJ10" s="132"/>
      <c r="AK10" s="133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40"/>
      <c r="R11" s="141"/>
      <c r="S11" s="141"/>
      <c r="T11" s="142"/>
      <c r="U11" s="134"/>
      <c r="V11" s="135"/>
      <c r="W11" s="135"/>
      <c r="X11" s="136"/>
      <c r="Y11" s="32"/>
      <c r="Z11" s="30"/>
      <c r="AB11" s="74"/>
      <c r="AC11" s="32"/>
      <c r="AD11" s="151"/>
      <c r="AE11" s="152"/>
      <c r="AF11" s="152"/>
      <c r="AG11" s="153"/>
      <c r="AH11" s="157"/>
      <c r="AI11" s="158"/>
      <c r="AJ11" s="158"/>
      <c r="AK11" s="159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54"/>
      <c r="AE12" s="155"/>
      <c r="AF12" s="155"/>
      <c r="AG12" s="156"/>
      <c r="AH12" s="134"/>
      <c r="AI12" s="135"/>
      <c r="AJ12" s="135"/>
      <c r="AK12" s="136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19" t="s">
        <v>58</v>
      </c>
      <c r="S13" s="120"/>
      <c r="T13" s="121"/>
      <c r="U13" s="122">
        <v>300000</v>
      </c>
      <c r="V13" s="123"/>
      <c r="W13" s="124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19" t="s">
        <v>56</v>
      </c>
      <c r="S15" s="120"/>
      <c r="T15" s="121"/>
      <c r="U15" s="122">
        <v>300000</v>
      </c>
      <c r="V15" s="123"/>
      <c r="W15" s="124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19" t="s">
        <v>57</v>
      </c>
      <c r="S17" s="120"/>
      <c r="T17" s="121"/>
      <c r="U17" s="122">
        <v>300000</v>
      </c>
      <c r="V17" s="123"/>
      <c r="W17" s="124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A14" sqref="A14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68" t="s">
        <v>64</v>
      </c>
      <c r="B1" s="169"/>
      <c r="C1" s="169"/>
      <c r="D1" s="169"/>
      <c r="E1" s="169"/>
      <c r="F1" s="169"/>
      <c r="G1" s="169"/>
      <c r="H1" s="169"/>
      <c r="I1" s="170"/>
    </row>
    <row r="2" spans="1:9" ht="15.75" thickBot="1" x14ac:dyDescent="0.3">
      <c r="A2" s="171"/>
      <c r="B2" s="172"/>
      <c r="C2" s="172"/>
      <c r="D2" s="172"/>
      <c r="E2" s="172"/>
      <c r="F2" s="173"/>
      <c r="G2" s="173"/>
      <c r="H2" s="173"/>
      <c r="I2" s="174"/>
    </row>
    <row r="3" spans="1:9" x14ac:dyDescent="0.25">
      <c r="A3" s="73" t="s">
        <v>65</v>
      </c>
      <c r="B3" s="73" t="s">
        <v>61</v>
      </c>
      <c r="C3" s="73" t="s">
        <v>66</v>
      </c>
      <c r="D3" s="73" t="s">
        <v>67</v>
      </c>
      <c r="E3" s="75" t="s">
        <v>68</v>
      </c>
      <c r="F3" s="175" t="s">
        <v>78</v>
      </c>
      <c r="G3" s="176"/>
      <c r="H3" s="176"/>
      <c r="I3" s="177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78"/>
      <c r="G4" s="179"/>
      <c r="H4" s="179"/>
      <c r="I4" s="180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81" t="s">
        <v>71</v>
      </c>
      <c r="G5" s="182"/>
      <c r="H5" s="182"/>
      <c r="I5" s="183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84"/>
      <c r="G6" s="185"/>
      <c r="H6" s="185"/>
      <c r="I6" s="186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60" t="s">
        <v>72</v>
      </c>
      <c r="G14" s="161"/>
      <c r="H14" s="187">
        <f>SUM(B4:B28)</f>
        <v>1.0000000000000002</v>
      </c>
      <c r="I14" s="188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62"/>
      <c r="G15" s="163"/>
      <c r="H15" s="189"/>
      <c r="I15" s="190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60" t="s">
        <v>73</v>
      </c>
      <c r="G16" s="161"/>
      <c r="H16" s="164">
        <f>SUM(C4:C28)</f>
        <v>840635</v>
      </c>
      <c r="I16" s="165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62"/>
      <c r="G17" s="163"/>
      <c r="H17" s="166"/>
      <c r="I17" s="167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abSelected="1" topLeftCell="A48" zoomScale="85" zoomScaleNormal="85" workbookViewId="0">
      <selection activeCell="D53" sqref="D53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49</v>
      </c>
    </row>
    <row r="2" spans="1:27" ht="15.75" thickBot="1" x14ac:dyDescent="0.3">
      <c r="A2" s="46" t="s">
        <v>4</v>
      </c>
      <c r="B2" s="65" t="s">
        <v>46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59" t="s">
        <v>45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0">
        <f t="shared" ref="C15:Z15" si="0">SUM(C3:C14)</f>
        <v>300000</v>
      </c>
      <c r="D15" s="81">
        <f t="shared" si="0"/>
        <v>20310</v>
      </c>
      <c r="E15" s="81">
        <f t="shared" si="0"/>
        <v>57240</v>
      </c>
      <c r="F15" s="81">
        <f t="shared" si="0"/>
        <v>100745</v>
      </c>
      <c r="G15" s="81">
        <f t="shared" si="0"/>
        <v>111733</v>
      </c>
      <c r="H15" s="81">
        <f t="shared" si="0"/>
        <v>67667</v>
      </c>
      <c r="I15" s="81">
        <f t="shared" si="0"/>
        <v>190226</v>
      </c>
      <c r="J15" s="81">
        <f t="shared" si="0"/>
        <v>4834</v>
      </c>
      <c r="K15" s="81">
        <f t="shared" si="0"/>
        <v>167305</v>
      </c>
      <c r="L15" s="81">
        <f t="shared" si="0"/>
        <v>49565</v>
      </c>
      <c r="M15" s="81">
        <f t="shared" si="0"/>
        <v>50000</v>
      </c>
      <c r="N15" s="81">
        <f t="shared" si="0"/>
        <v>27172</v>
      </c>
      <c r="O15" s="81">
        <f t="shared" si="0"/>
        <v>6000</v>
      </c>
      <c r="P15" s="81">
        <f t="shared" si="0"/>
        <v>14070</v>
      </c>
      <c r="Q15" s="81">
        <f t="shared" si="0"/>
        <v>208629</v>
      </c>
      <c r="R15" s="81">
        <f t="shared" si="0"/>
        <v>10500</v>
      </c>
      <c r="S15" s="81">
        <f t="shared" si="0"/>
        <v>181027</v>
      </c>
      <c r="T15" s="81">
        <f t="shared" si="0"/>
        <v>88164</v>
      </c>
      <c r="U15" s="81">
        <f t="shared" si="0"/>
        <v>27000</v>
      </c>
      <c r="V15" s="81">
        <f t="shared" si="0"/>
        <v>23000</v>
      </c>
      <c r="W15" s="81">
        <f t="shared" si="0"/>
        <v>30000</v>
      </c>
      <c r="X15" s="81">
        <f t="shared" si="0"/>
        <v>38000</v>
      </c>
      <c r="Y15" s="81">
        <f t="shared" si="0"/>
        <v>38000</v>
      </c>
      <c r="Z15" s="81">
        <f t="shared" si="0"/>
        <v>15000</v>
      </c>
      <c r="AA15" s="82">
        <f>SUM(AB3:AB14)</f>
        <v>0</v>
      </c>
    </row>
    <row r="16" spans="1:27" x14ac:dyDescent="0.25">
      <c r="A16" s="49" t="s">
        <v>61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2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3">
        <f t="shared" ref="C33:M33" si="1">SUM(C21:C32) + C15</f>
        <v>300000</v>
      </c>
      <c r="D33" s="83">
        <f t="shared" si="1"/>
        <v>21210</v>
      </c>
      <c r="E33" s="83">
        <f t="shared" si="1"/>
        <v>62740</v>
      </c>
      <c r="F33" s="83">
        <f t="shared" si="1"/>
        <v>136745</v>
      </c>
      <c r="G33" s="83">
        <f t="shared" si="1"/>
        <v>144733</v>
      </c>
      <c r="H33" s="83">
        <f t="shared" si="1"/>
        <v>69667</v>
      </c>
      <c r="I33" s="83">
        <f t="shared" si="1"/>
        <v>244087</v>
      </c>
      <c r="J33" s="83">
        <f t="shared" si="1"/>
        <v>6834</v>
      </c>
      <c r="K33" s="83">
        <f t="shared" si="1"/>
        <v>249967</v>
      </c>
      <c r="L33" s="83">
        <f t="shared" si="1"/>
        <v>53565</v>
      </c>
      <c r="M33" s="83">
        <f t="shared" si="1"/>
        <v>68000</v>
      </c>
      <c r="N33" s="83">
        <f>SUM(N21:N32) + N14</f>
        <v>0</v>
      </c>
      <c r="O33" s="83">
        <f>SUM(O21:O32) + O14</f>
        <v>10419</v>
      </c>
      <c r="P33" s="83">
        <f t="shared" ref="P33:AA33" si="2">SUM(P21:P32) + P15</f>
        <v>14070</v>
      </c>
      <c r="Q33" s="83">
        <f t="shared" si="2"/>
        <v>237537</v>
      </c>
      <c r="R33" s="83">
        <f t="shared" si="2"/>
        <v>14521</v>
      </c>
      <c r="S33" s="83">
        <f t="shared" si="2"/>
        <v>245151</v>
      </c>
      <c r="T33" s="83">
        <f t="shared" si="2"/>
        <v>136164</v>
      </c>
      <c r="U33" s="83">
        <f t="shared" si="2"/>
        <v>58235</v>
      </c>
      <c r="V33" s="83">
        <f t="shared" si="2"/>
        <v>36543</v>
      </c>
      <c r="W33" s="83">
        <f t="shared" si="2"/>
        <v>44662</v>
      </c>
      <c r="X33" s="83">
        <f t="shared" si="2"/>
        <v>86367</v>
      </c>
      <c r="Y33" s="83">
        <f t="shared" si="2"/>
        <v>86618</v>
      </c>
      <c r="Z33" s="83">
        <f t="shared" si="2"/>
        <v>15000</v>
      </c>
      <c r="AA33" s="83">
        <f t="shared" si="2"/>
        <v>0</v>
      </c>
    </row>
    <row r="34" spans="1:27" x14ac:dyDescent="0.25">
      <c r="A34" s="35" t="s">
        <v>61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2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3">
        <f t="shared" ref="C51:M51" si="3">SUM(C39:C50) + C33</f>
        <v>300000</v>
      </c>
      <c r="D51" s="83">
        <f t="shared" si="3"/>
        <v>39210</v>
      </c>
      <c r="E51" s="83">
        <f t="shared" si="3"/>
        <v>81740</v>
      </c>
      <c r="F51" s="83">
        <f t="shared" si="3"/>
        <v>154745</v>
      </c>
      <c r="G51" s="83">
        <f t="shared" si="3"/>
        <v>163733</v>
      </c>
      <c r="H51" s="83">
        <f t="shared" si="3"/>
        <v>81667</v>
      </c>
      <c r="I51" s="83">
        <f t="shared" si="3"/>
        <v>255087</v>
      </c>
      <c r="J51" s="83">
        <f t="shared" si="3"/>
        <v>17834</v>
      </c>
      <c r="K51" s="83">
        <f t="shared" si="3"/>
        <v>261967</v>
      </c>
      <c r="L51" s="83">
        <f t="shared" si="3"/>
        <v>61565</v>
      </c>
      <c r="M51" s="83">
        <f t="shared" si="3"/>
        <v>89000</v>
      </c>
      <c r="N51" s="83">
        <f>SUM(N39:N50) + N32</f>
        <v>18000</v>
      </c>
      <c r="O51" s="83">
        <f>SUM(O39:O50) + O32</f>
        <v>6000</v>
      </c>
      <c r="P51" s="83">
        <f t="shared" ref="P51:AA51" si="4">SUM(P39:P50) + P33</f>
        <v>35070</v>
      </c>
      <c r="Q51" s="83">
        <f t="shared" si="4"/>
        <v>251537</v>
      </c>
      <c r="R51" s="83">
        <f t="shared" si="4"/>
        <v>18521</v>
      </c>
      <c r="S51" s="83">
        <f t="shared" si="4"/>
        <v>260151</v>
      </c>
      <c r="T51" s="83">
        <f t="shared" si="4"/>
        <v>153164</v>
      </c>
      <c r="U51" s="83">
        <f t="shared" si="4"/>
        <v>75235</v>
      </c>
      <c r="V51" s="83">
        <f t="shared" si="4"/>
        <v>49543</v>
      </c>
      <c r="W51" s="83">
        <f t="shared" si="4"/>
        <v>54662</v>
      </c>
      <c r="X51" s="83">
        <f t="shared" si="4"/>
        <v>96367</v>
      </c>
      <c r="Y51" s="83">
        <f t="shared" si="4"/>
        <v>105618</v>
      </c>
      <c r="Z51" s="83">
        <f t="shared" si="4"/>
        <v>23000</v>
      </c>
      <c r="AA51" s="83">
        <f t="shared" si="4"/>
        <v>15000</v>
      </c>
    </row>
    <row r="52" spans="1:27" x14ac:dyDescent="0.25">
      <c r="A52" s="35" t="s">
        <v>61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2">
        <f>SUM(C52:AA52)</f>
        <v>1</v>
      </c>
    </row>
    <row r="55" spans="1:27" x14ac:dyDescent="0.25">
      <c r="A55" s="103">
        <v>2015</v>
      </c>
      <c r="B55" s="86"/>
      <c r="C55" s="110"/>
      <c r="D55" s="110"/>
      <c r="E55" s="97"/>
    </row>
    <row r="56" spans="1:27" x14ac:dyDescent="0.25">
      <c r="A56" s="104" t="s">
        <v>86</v>
      </c>
      <c r="B56" s="86" t="s">
        <v>46</v>
      </c>
      <c r="C56" s="110"/>
      <c r="D56" s="110"/>
      <c r="E56" s="97"/>
    </row>
    <row r="57" spans="1:27" x14ac:dyDescent="0.25">
      <c r="A57" s="111">
        <v>46021</v>
      </c>
      <c r="B57" s="86"/>
      <c r="C57" s="110"/>
      <c r="D57" s="110"/>
      <c r="E57" s="97"/>
    </row>
    <row r="58" spans="1:27" x14ac:dyDescent="0.25">
      <c r="A58" s="111">
        <v>45672</v>
      </c>
      <c r="B58" s="86"/>
      <c r="C58" s="110"/>
      <c r="D58" s="110"/>
      <c r="E58" s="97"/>
    </row>
    <row r="59" spans="1:27" x14ac:dyDescent="0.25">
      <c r="A59" s="111">
        <v>45687</v>
      </c>
      <c r="B59" s="86"/>
      <c r="C59" s="110"/>
      <c r="D59" s="110"/>
      <c r="E59" s="97"/>
    </row>
    <row r="60" spans="1:27" x14ac:dyDescent="0.25">
      <c r="A60" s="111">
        <v>45703</v>
      </c>
      <c r="B60" s="86"/>
      <c r="C60" s="110"/>
      <c r="D60" s="110"/>
      <c r="E60" s="97"/>
    </row>
    <row r="61" spans="1:27" x14ac:dyDescent="0.25">
      <c r="A61" s="111">
        <v>45716</v>
      </c>
      <c r="B61" s="86"/>
      <c r="C61" s="110"/>
      <c r="D61" s="110"/>
      <c r="E61" s="97"/>
    </row>
    <row r="62" spans="1:27" x14ac:dyDescent="0.25">
      <c r="A62" s="111">
        <v>45731</v>
      </c>
      <c r="B62" s="86"/>
      <c r="C62" s="110"/>
      <c r="D62" s="110"/>
      <c r="E62" s="97"/>
    </row>
    <row r="63" spans="1:27" x14ac:dyDescent="0.25">
      <c r="A63" s="111">
        <v>45746</v>
      </c>
      <c r="B63" s="86"/>
      <c r="C63" s="110"/>
      <c r="D63" s="110"/>
      <c r="E63" s="97"/>
    </row>
    <row r="64" spans="1:27" x14ac:dyDescent="0.25">
      <c r="A64" s="111">
        <v>45762</v>
      </c>
      <c r="B64" s="86"/>
      <c r="C64" s="110"/>
      <c r="D64" s="110"/>
      <c r="E64" s="97"/>
    </row>
    <row r="65" spans="1:32" x14ac:dyDescent="0.25">
      <c r="A65" s="111">
        <v>45777</v>
      </c>
      <c r="B65" s="86"/>
      <c r="C65" s="110"/>
      <c r="D65" s="110"/>
      <c r="E65" s="97"/>
    </row>
    <row r="66" spans="1:32" x14ac:dyDescent="0.25">
      <c r="A66" s="111">
        <v>45792</v>
      </c>
      <c r="B66" s="86"/>
      <c r="C66" s="110"/>
      <c r="D66" s="110"/>
      <c r="E66" s="97"/>
    </row>
    <row r="67" spans="1:32" x14ac:dyDescent="0.25">
      <c r="A67" s="111">
        <v>45807</v>
      </c>
      <c r="B67" s="86"/>
      <c r="C67" s="110"/>
      <c r="D67" s="110"/>
      <c r="E67" s="97"/>
      <c r="AF67" s="1"/>
    </row>
    <row r="68" spans="1:32" x14ac:dyDescent="0.25">
      <c r="A68" s="111">
        <v>45823</v>
      </c>
      <c r="B68" s="86"/>
      <c r="C68" s="110"/>
      <c r="D68" s="110"/>
      <c r="E68" s="97"/>
      <c r="AF68" s="1"/>
    </row>
    <row r="69" spans="1:32" x14ac:dyDescent="0.25">
      <c r="A69" s="105" t="s">
        <v>5</v>
      </c>
      <c r="B69" s="194">
        <f>SUM(B57:B68)</f>
        <v>0</v>
      </c>
      <c r="C69" s="110"/>
      <c r="D69" s="110"/>
      <c r="E69" s="97"/>
      <c r="AF69" s="1"/>
    </row>
    <row r="70" spans="1:32" x14ac:dyDescent="0.25">
      <c r="A70" s="106" t="s">
        <v>61</v>
      </c>
      <c r="B70" s="107">
        <f>SUM(C51:AA51)</f>
        <v>2668416</v>
      </c>
      <c r="C70" s="110"/>
      <c r="D70" s="110"/>
      <c r="E70" s="97"/>
      <c r="AF70" s="1"/>
    </row>
    <row r="71" spans="1:32" x14ac:dyDescent="0.25">
      <c r="A71" s="86" t="s">
        <v>85</v>
      </c>
      <c r="B71" s="108">
        <f>SUM(C53:AA53)</f>
        <v>1100927.0000000002</v>
      </c>
      <c r="C71" s="110"/>
      <c r="D71" s="110"/>
      <c r="E71" s="97"/>
      <c r="AF71" s="1"/>
    </row>
    <row r="72" spans="1:32" x14ac:dyDescent="0.25">
      <c r="A72" s="86"/>
      <c r="B72" s="109">
        <f>SUM(C52:AA52)</f>
        <v>1</v>
      </c>
      <c r="C72" s="110"/>
      <c r="D72" s="110"/>
      <c r="E72" s="97"/>
    </row>
    <row r="73" spans="1:32" x14ac:dyDescent="0.25">
      <c r="A73" s="110"/>
      <c r="B73" s="110"/>
      <c r="C73" s="110"/>
      <c r="D73" s="110"/>
      <c r="E73" s="97"/>
      <c r="AF73" s="1"/>
    </row>
    <row r="74" spans="1:32" x14ac:dyDescent="0.25">
      <c r="A74" s="110"/>
      <c r="B74" s="110"/>
      <c r="C74" s="110"/>
      <c r="D74" s="110"/>
      <c r="AF74" s="1"/>
    </row>
    <row r="75" spans="1:32" x14ac:dyDescent="0.25">
      <c r="A75" s="110"/>
      <c r="B75" s="110"/>
      <c r="C75" s="110"/>
      <c r="D75" s="110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13" activePane="bottomLeft" state="frozen"/>
      <selection pane="bottomLeft" activeCell="A108" sqref="A10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100"/>
      <c r="V4" s="98"/>
      <c r="W4" s="9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100"/>
      <c r="V5" s="98"/>
      <c r="W5" s="98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100"/>
      <c r="V6" s="98"/>
      <c r="W6" s="98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00"/>
      <c r="V7" s="98"/>
      <c r="W7" s="98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100"/>
      <c r="V8" s="98"/>
      <c r="W8" s="98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100"/>
      <c r="V9" s="98"/>
      <c r="W9" s="98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100"/>
      <c r="V10" s="98"/>
      <c r="W10" s="98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100"/>
      <c r="V11" s="98"/>
      <c r="W11" s="98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100"/>
      <c r="V12" s="98"/>
      <c r="W12" s="98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100"/>
      <c r="V13" s="98"/>
      <c r="W13" s="98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100"/>
      <c r="V14" s="98"/>
      <c r="W14" s="98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100"/>
      <c r="V15" s="98"/>
      <c r="W15" s="98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100"/>
      <c r="V16" s="98"/>
      <c r="W16" s="98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100"/>
      <c r="V17" s="98"/>
      <c r="W17" s="98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1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1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1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1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1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1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1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1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1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9">
        <v>1</v>
      </c>
      <c r="B52" s="5">
        <v>2</v>
      </c>
      <c r="C52" s="5">
        <v>3</v>
      </c>
      <c r="D52" s="5">
        <v>4</v>
      </c>
      <c r="E52" s="99">
        <v>5</v>
      </c>
      <c r="F52" s="5">
        <v>6</v>
      </c>
      <c r="G52" s="5">
        <v>7</v>
      </c>
      <c r="H52" s="5">
        <v>8</v>
      </c>
      <c r="I52" s="99">
        <v>9</v>
      </c>
      <c r="J52" s="5">
        <v>10</v>
      </c>
      <c r="K52" s="5">
        <v>11</v>
      </c>
      <c r="L52" s="5">
        <v>12</v>
      </c>
      <c r="M52" s="99">
        <v>13</v>
      </c>
      <c r="N52" s="5">
        <v>14</v>
      </c>
      <c r="O52" s="5">
        <v>15</v>
      </c>
      <c r="P52" s="5">
        <v>16</v>
      </c>
      <c r="Q52" s="99">
        <v>17</v>
      </c>
      <c r="R52" s="5">
        <v>18</v>
      </c>
      <c r="S52" s="5">
        <v>19</v>
      </c>
      <c r="T52" s="5">
        <v>20</v>
      </c>
      <c r="U52" s="99">
        <v>21</v>
      </c>
      <c r="V52" s="5">
        <v>22</v>
      </c>
      <c r="W52" s="5">
        <v>23</v>
      </c>
      <c r="X52" s="5">
        <v>24</v>
      </c>
      <c r="Y52" s="99">
        <v>25</v>
      </c>
      <c r="Z52" s="5">
        <v>26</v>
      </c>
      <c r="AA52" s="5">
        <v>27</v>
      </c>
      <c r="AB52" s="5">
        <v>28</v>
      </c>
      <c r="AC52" s="99">
        <v>29</v>
      </c>
      <c r="AD52" s="4">
        <v>30</v>
      </c>
      <c r="AE52" s="5">
        <v>31</v>
      </c>
      <c r="AF52" s="5">
        <v>32</v>
      </c>
      <c r="AG52" s="99">
        <v>33</v>
      </c>
      <c r="AH52" s="98">
        <v>34</v>
      </c>
      <c r="AI52" s="4">
        <v>35</v>
      </c>
      <c r="AJ52" s="5">
        <v>36</v>
      </c>
      <c r="AK52" s="99">
        <v>37</v>
      </c>
      <c r="AL52" s="5">
        <v>38</v>
      </c>
      <c r="AM52" s="98">
        <v>39</v>
      </c>
      <c r="AN52" s="4">
        <v>40</v>
      </c>
      <c r="AO52" s="99">
        <v>41</v>
      </c>
      <c r="AP52" s="5">
        <v>42</v>
      </c>
      <c r="AQ52" s="5">
        <v>43</v>
      </c>
      <c r="AR52" s="98">
        <v>44</v>
      </c>
      <c r="AS52" s="99">
        <v>45</v>
      </c>
      <c r="AT52" s="5">
        <v>46</v>
      </c>
      <c r="AU52" s="5">
        <v>47</v>
      </c>
      <c r="AV52" s="5">
        <v>48</v>
      </c>
      <c r="AW52" s="99">
        <v>49</v>
      </c>
      <c r="AX52" s="4">
        <v>50</v>
      </c>
      <c r="AY52" s="5">
        <v>51</v>
      </c>
      <c r="AZ52" s="5">
        <v>52</v>
      </c>
      <c r="BA52" s="99">
        <v>53</v>
      </c>
      <c r="BB52" s="98">
        <v>54</v>
      </c>
      <c r="BC52" s="4">
        <v>55</v>
      </c>
      <c r="BD52" s="5">
        <v>56</v>
      </c>
      <c r="BE52" s="99">
        <v>57</v>
      </c>
      <c r="BF52" s="5">
        <v>58</v>
      </c>
      <c r="BG52" s="98">
        <v>59</v>
      </c>
      <c r="BH52" s="4">
        <v>60</v>
      </c>
      <c r="BI52" s="99">
        <v>61</v>
      </c>
      <c r="BJ52" s="5">
        <v>62</v>
      </c>
      <c r="BK52" s="5">
        <v>63</v>
      </c>
      <c r="BL52" s="98">
        <v>64</v>
      </c>
      <c r="BM52" s="99">
        <v>65</v>
      </c>
      <c r="BN52" s="5">
        <v>66</v>
      </c>
      <c r="BO52" s="5">
        <v>67</v>
      </c>
      <c r="BP52" s="5">
        <v>68</v>
      </c>
      <c r="BQ52" s="99">
        <v>69</v>
      </c>
      <c r="BR52" s="4">
        <v>70</v>
      </c>
      <c r="BS52" s="5">
        <v>71</v>
      </c>
      <c r="BT52" s="5">
        <v>72</v>
      </c>
      <c r="BU52" s="99">
        <v>73</v>
      </c>
      <c r="BV52" s="98">
        <v>74</v>
      </c>
      <c r="BW52" s="4">
        <v>75</v>
      </c>
      <c r="BX52" s="5">
        <v>76</v>
      </c>
      <c r="BY52" s="99">
        <v>77</v>
      </c>
      <c r="BZ52" s="5">
        <v>78</v>
      </c>
      <c r="CA52" s="98">
        <v>79</v>
      </c>
      <c r="CB52" s="4">
        <v>80</v>
      </c>
      <c r="CC52" s="99">
        <v>81</v>
      </c>
      <c r="CD52" s="5">
        <v>82</v>
      </c>
      <c r="CE52" s="5">
        <v>83</v>
      </c>
      <c r="CF52" s="98">
        <v>84</v>
      </c>
      <c r="CG52" s="99">
        <v>85</v>
      </c>
      <c r="CH52" s="5">
        <v>86</v>
      </c>
      <c r="CI52" s="5">
        <v>87</v>
      </c>
      <c r="CJ52" s="5">
        <v>88</v>
      </c>
      <c r="CK52" s="99">
        <v>89</v>
      </c>
      <c r="CL52" s="4">
        <v>90</v>
      </c>
      <c r="CM52" s="5">
        <v>91</v>
      </c>
      <c r="CN52" s="5">
        <v>92</v>
      </c>
      <c r="CO52" s="99">
        <v>93</v>
      </c>
      <c r="CP52" s="98">
        <v>94</v>
      </c>
      <c r="CQ52" s="4">
        <v>95</v>
      </c>
      <c r="CR52" s="5">
        <v>96</v>
      </c>
      <c r="CS52" s="99">
        <v>97</v>
      </c>
      <c r="CT52" s="5">
        <v>98</v>
      </c>
      <c r="CU52" s="98">
        <v>99</v>
      </c>
      <c r="CV52" s="4">
        <v>100</v>
      </c>
      <c r="CW52" s="99">
        <v>101</v>
      </c>
      <c r="CX52" s="5">
        <v>102</v>
      </c>
      <c r="CY52" s="5">
        <v>103</v>
      </c>
      <c r="CZ52" s="98">
        <v>104</v>
      </c>
      <c r="DA52" s="99">
        <v>105</v>
      </c>
      <c r="DB52" s="5">
        <v>106</v>
      </c>
      <c r="DC52" s="5">
        <v>107</v>
      </c>
      <c r="DD52" s="5">
        <v>108</v>
      </c>
      <c r="DE52" s="99">
        <v>109</v>
      </c>
      <c r="DF52" s="4">
        <v>110</v>
      </c>
      <c r="DG52" s="5">
        <v>111</v>
      </c>
      <c r="DH52" s="5">
        <v>112</v>
      </c>
      <c r="DI52" s="99">
        <v>113</v>
      </c>
      <c r="DJ52" s="98">
        <v>114</v>
      </c>
      <c r="DK52" s="4">
        <v>115</v>
      </c>
      <c r="DL52" s="5">
        <v>116</v>
      </c>
      <c r="DM52" s="99">
        <v>117</v>
      </c>
      <c r="DN52" s="5">
        <v>118</v>
      </c>
      <c r="DO52" s="98">
        <v>119</v>
      </c>
      <c r="DP52" s="4">
        <v>120</v>
      </c>
      <c r="DQ52" s="99">
        <v>121</v>
      </c>
      <c r="DR52" s="5">
        <v>122</v>
      </c>
      <c r="DS52" s="5">
        <v>123</v>
      </c>
      <c r="DT52" s="98">
        <v>124</v>
      </c>
      <c r="DU52" s="99">
        <v>125</v>
      </c>
      <c r="DV52" s="5">
        <v>126</v>
      </c>
      <c r="DW52" s="5">
        <v>127</v>
      </c>
      <c r="DX52" s="5">
        <v>128</v>
      </c>
      <c r="DY52" s="99">
        <v>129</v>
      </c>
      <c r="DZ52" s="4">
        <v>130</v>
      </c>
      <c r="EA52" s="5">
        <v>131</v>
      </c>
      <c r="EB52" s="5">
        <v>132</v>
      </c>
      <c r="EC52" s="99">
        <v>133</v>
      </c>
      <c r="ED52" s="98">
        <v>134</v>
      </c>
      <c r="EE52" s="4">
        <v>135</v>
      </c>
      <c r="EF52" s="5">
        <v>136</v>
      </c>
      <c r="EG52" s="99">
        <v>137</v>
      </c>
      <c r="EH52" s="5">
        <v>138</v>
      </c>
      <c r="EI52" s="98">
        <v>139</v>
      </c>
      <c r="EJ52" s="4">
        <v>140</v>
      </c>
      <c r="EK52" s="99">
        <v>141</v>
      </c>
      <c r="EL52" s="5">
        <v>142</v>
      </c>
      <c r="EM52" s="5">
        <v>143</v>
      </c>
      <c r="EN52" s="98">
        <v>144</v>
      </c>
      <c r="EO52" s="99">
        <v>145</v>
      </c>
      <c r="EP52" s="5">
        <v>146</v>
      </c>
      <c r="EQ52" s="5">
        <v>147</v>
      </c>
      <c r="ER52" s="5">
        <v>148</v>
      </c>
      <c r="ES52" s="99">
        <v>149</v>
      </c>
      <c r="ET52" s="4">
        <v>150</v>
      </c>
      <c r="EU52" s="5">
        <v>151</v>
      </c>
      <c r="EV52" s="5">
        <v>152</v>
      </c>
      <c r="EW52" s="99">
        <v>153</v>
      </c>
      <c r="EX52" s="98">
        <v>154</v>
      </c>
      <c r="EY52" s="4">
        <v>155</v>
      </c>
      <c r="EZ52" s="5">
        <v>156</v>
      </c>
      <c r="FA52" s="99">
        <v>157</v>
      </c>
      <c r="FB52" s="5">
        <v>158</v>
      </c>
      <c r="FC52" s="98">
        <v>159</v>
      </c>
      <c r="FD52" s="4">
        <v>160</v>
      </c>
      <c r="FE52" s="99">
        <v>161</v>
      </c>
      <c r="FF52" s="5">
        <v>162</v>
      </c>
      <c r="FG52" s="5">
        <v>163</v>
      </c>
      <c r="FH52" s="98">
        <v>164</v>
      </c>
      <c r="FI52" s="99">
        <v>165</v>
      </c>
      <c r="FJ52" s="5">
        <v>166</v>
      </c>
      <c r="FK52" s="5">
        <v>167</v>
      </c>
      <c r="FL52" s="5">
        <v>168</v>
      </c>
      <c r="FM52" s="99">
        <v>169</v>
      </c>
      <c r="FN52" s="4">
        <v>170</v>
      </c>
      <c r="FO52" s="5">
        <v>171</v>
      </c>
      <c r="FP52" s="5">
        <v>172</v>
      </c>
      <c r="FQ52" s="99">
        <v>173</v>
      </c>
      <c r="FR52" s="98">
        <v>174</v>
      </c>
      <c r="FS52" s="4">
        <v>175</v>
      </c>
      <c r="FT52" s="5">
        <v>176</v>
      </c>
      <c r="FU52" s="99">
        <v>177</v>
      </c>
      <c r="FV52" s="5">
        <v>178</v>
      </c>
      <c r="FW52" s="98">
        <v>179</v>
      </c>
      <c r="FX52" s="4">
        <v>180</v>
      </c>
      <c r="FY52" s="99">
        <v>181</v>
      </c>
      <c r="FZ52" s="5">
        <v>182</v>
      </c>
      <c r="GA52" s="5">
        <v>183</v>
      </c>
      <c r="GB52" s="98">
        <v>184</v>
      </c>
      <c r="GC52" s="99">
        <v>185</v>
      </c>
      <c r="GD52" s="5">
        <v>186</v>
      </c>
      <c r="GE52" s="5">
        <v>187</v>
      </c>
      <c r="GF52" s="5">
        <v>188</v>
      </c>
      <c r="GG52" s="99">
        <v>189</v>
      </c>
      <c r="GH52" s="4">
        <v>190</v>
      </c>
      <c r="GI52" s="5">
        <v>191</v>
      </c>
      <c r="GJ52" s="5">
        <v>192</v>
      </c>
      <c r="GK52" s="99">
        <v>193</v>
      </c>
      <c r="GL52" s="98">
        <v>194</v>
      </c>
      <c r="GM52" s="4">
        <v>195</v>
      </c>
      <c r="GN52" s="5">
        <v>196</v>
      </c>
      <c r="GO52" s="99">
        <v>197</v>
      </c>
      <c r="GP52" s="5">
        <v>198</v>
      </c>
      <c r="GQ52" s="98">
        <v>199</v>
      </c>
      <c r="GR52" s="4">
        <v>200</v>
      </c>
      <c r="GS52" s="99">
        <v>201</v>
      </c>
      <c r="GT52" s="5">
        <v>202</v>
      </c>
      <c r="GU52" s="5">
        <v>203</v>
      </c>
      <c r="GV52" s="98">
        <v>204</v>
      </c>
      <c r="GW52" s="99">
        <v>205</v>
      </c>
      <c r="GX52" s="5">
        <v>206</v>
      </c>
      <c r="GY52" s="5">
        <v>207</v>
      </c>
      <c r="GZ52" s="5">
        <v>208</v>
      </c>
      <c r="HA52" s="99">
        <v>209</v>
      </c>
      <c r="HB52" s="4">
        <v>210</v>
      </c>
      <c r="HC52" s="5">
        <v>211</v>
      </c>
      <c r="HD52" s="5">
        <v>212</v>
      </c>
      <c r="HE52" s="99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5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C6" sqref="C6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91" t="s">
        <v>81</v>
      </c>
      <c r="C1" s="192"/>
      <c r="D1" s="192"/>
      <c r="E1" s="192"/>
      <c r="F1" s="192"/>
      <c r="G1" s="192"/>
      <c r="H1" s="193"/>
    </row>
    <row r="2" spans="1:27" x14ac:dyDescent="0.25">
      <c r="A2" s="41"/>
      <c r="B2" s="87" t="s">
        <v>76</v>
      </c>
      <c r="C2" s="85" t="s">
        <v>75</v>
      </c>
      <c r="D2" s="44"/>
      <c r="E2" s="85" t="s">
        <v>74</v>
      </c>
      <c r="F2" s="85" t="s">
        <v>17</v>
      </c>
      <c r="G2" s="85" t="s">
        <v>50</v>
      </c>
      <c r="H2" s="88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7"/>
      <c r="AA2" s="15"/>
    </row>
    <row r="3" spans="1:27" x14ac:dyDescent="0.25">
      <c r="A3" s="41"/>
      <c r="B3" s="89" t="s">
        <v>21</v>
      </c>
      <c r="C3" s="44" t="s">
        <v>49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0">
        <f>G3*F3</f>
        <v>72</v>
      </c>
      <c r="J3" t="s">
        <v>41</v>
      </c>
      <c r="K3">
        <f>COUNTA(Borrowers!A1:HA1)</f>
        <v>5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9" t="s">
        <v>22</v>
      </c>
      <c r="C4" s="44" t="s">
        <v>52</v>
      </c>
      <c r="D4" s="44" t="s">
        <v>3</v>
      </c>
      <c r="E4" s="44"/>
      <c r="F4" s="44"/>
      <c r="G4" s="44"/>
      <c r="H4" s="90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9" t="s">
        <v>23</v>
      </c>
      <c r="C5" s="44" t="s">
        <v>53</v>
      </c>
      <c r="D5" s="44" t="s">
        <v>2</v>
      </c>
      <c r="E5" s="44"/>
      <c r="F5" s="44"/>
      <c r="G5" s="4"/>
      <c r="H5" s="91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9" t="s">
        <v>24</v>
      </c>
      <c r="C6" s="44">
        <v>2015</v>
      </c>
      <c r="D6" s="44"/>
      <c r="E6" s="44"/>
      <c r="F6" s="44"/>
      <c r="G6" s="4"/>
      <c r="H6" s="91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9" t="s">
        <v>25</v>
      </c>
      <c r="C7" s="44"/>
      <c r="D7" s="44"/>
      <c r="E7" s="44"/>
      <c r="F7" s="44"/>
      <c r="G7" s="4"/>
      <c r="H7" s="91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9" t="s">
        <v>26</v>
      </c>
      <c r="C8" s="44"/>
      <c r="D8" s="44"/>
      <c r="E8" s="44"/>
      <c r="F8" s="44"/>
      <c r="G8" s="4"/>
      <c r="H8" s="91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9" t="s">
        <v>27</v>
      </c>
      <c r="C9" s="44"/>
      <c r="D9" s="44"/>
      <c r="E9" s="44"/>
      <c r="F9" s="86"/>
      <c r="G9" s="4"/>
      <c r="H9" s="91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9" t="s">
        <v>28</v>
      </c>
      <c r="C10" s="44"/>
      <c r="D10" s="44"/>
      <c r="E10" s="44"/>
      <c r="F10" s="44"/>
      <c r="G10" s="4"/>
      <c r="H10" s="91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9" t="s">
        <v>29</v>
      </c>
      <c r="C11" s="44"/>
      <c r="D11" s="44"/>
      <c r="E11" s="44"/>
      <c r="F11" s="44"/>
      <c r="G11" s="4"/>
      <c r="H11" s="91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9" t="s">
        <v>20</v>
      </c>
      <c r="C12" s="44"/>
      <c r="D12" s="44"/>
      <c r="E12" s="44"/>
      <c r="F12" s="44"/>
      <c r="G12" s="4"/>
      <c r="H12" s="91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9" t="s">
        <v>30</v>
      </c>
      <c r="C13" s="44"/>
      <c r="D13" s="44"/>
      <c r="E13" s="44"/>
      <c r="F13" s="44"/>
      <c r="G13" s="4"/>
      <c r="H13" s="91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9" t="s">
        <v>31</v>
      </c>
      <c r="C14" s="44"/>
      <c r="D14" s="44"/>
      <c r="E14" s="44"/>
      <c r="F14" s="44"/>
      <c r="G14" s="4"/>
      <c r="H14" s="91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9" t="s">
        <v>32</v>
      </c>
      <c r="C15" s="44"/>
      <c r="D15" s="44"/>
      <c r="E15" s="44"/>
      <c r="F15" s="44"/>
      <c r="G15" s="4"/>
      <c r="H15" s="91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9" t="s">
        <v>33</v>
      </c>
      <c r="C16" s="44"/>
      <c r="D16" s="44"/>
      <c r="E16" s="44"/>
      <c r="F16" s="44"/>
      <c r="G16" s="4"/>
      <c r="H16" s="91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9" t="s">
        <v>34</v>
      </c>
      <c r="C17" s="44"/>
      <c r="D17" s="44"/>
      <c r="E17" s="44"/>
      <c r="F17" s="44"/>
      <c r="G17" s="4"/>
      <c r="H17" s="91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9" t="s">
        <v>35</v>
      </c>
      <c r="C18" s="44"/>
      <c r="D18" s="44"/>
      <c r="E18" s="44"/>
      <c r="F18" s="44"/>
      <c r="G18" s="4"/>
      <c r="H18" s="91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9" t="s">
        <v>36</v>
      </c>
      <c r="C19" s="44"/>
      <c r="D19" s="44"/>
      <c r="E19" s="44"/>
      <c r="F19" s="44"/>
      <c r="G19" s="4"/>
      <c r="H19" s="91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9" t="s">
        <v>37</v>
      </c>
      <c r="C20" s="44"/>
      <c r="D20" s="44"/>
      <c r="E20" s="44"/>
      <c r="F20" s="44"/>
      <c r="G20" s="4"/>
      <c r="H20" s="91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9" t="s">
        <v>6</v>
      </c>
      <c r="C21" s="44"/>
      <c r="D21" s="44"/>
      <c r="E21" s="44"/>
      <c r="F21" s="44"/>
      <c r="G21" s="4"/>
      <c r="H21" s="91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9" t="s">
        <v>0</v>
      </c>
      <c r="C22" s="44"/>
      <c r="D22" s="44"/>
      <c r="E22" s="44"/>
      <c r="F22" s="44"/>
      <c r="G22" s="4"/>
      <c r="H22" s="91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9" t="s">
        <v>38</v>
      </c>
      <c r="C23" s="44"/>
      <c r="D23" s="44"/>
      <c r="E23" s="44"/>
      <c r="F23" s="44"/>
      <c r="G23" s="4"/>
      <c r="H23" s="91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9" t="s">
        <v>39</v>
      </c>
      <c r="C24" s="44"/>
      <c r="D24" s="44"/>
      <c r="E24" s="44"/>
      <c r="F24" s="44"/>
      <c r="G24" s="4"/>
      <c r="H24" s="91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9" t="s">
        <v>40</v>
      </c>
      <c r="C25" s="44"/>
      <c r="D25" s="44"/>
      <c r="E25" s="44"/>
      <c r="F25" s="44"/>
      <c r="G25" s="4"/>
      <c r="H25" s="91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9" t="s">
        <v>43</v>
      </c>
      <c r="C26" s="44"/>
      <c r="D26" s="44"/>
      <c r="E26" s="44"/>
      <c r="F26" s="44"/>
      <c r="G26" s="4"/>
      <c r="H26" s="91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9" t="s">
        <v>45</v>
      </c>
      <c r="C27" s="44"/>
      <c r="D27" s="44"/>
      <c r="E27" s="44"/>
      <c r="F27" s="44"/>
      <c r="G27" s="4"/>
      <c r="H27" s="91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2"/>
      <c r="C28" s="44"/>
      <c r="D28" s="44"/>
      <c r="E28" s="44"/>
      <c r="F28" s="44"/>
      <c r="G28" s="4"/>
      <c r="H28" s="91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2"/>
      <c r="C29" s="44"/>
      <c r="D29" s="44"/>
      <c r="E29" s="44"/>
      <c r="F29" s="44"/>
      <c r="G29" s="4"/>
      <c r="H29" s="91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2"/>
      <c r="C30" s="44"/>
      <c r="D30" s="44"/>
      <c r="E30" s="44"/>
      <c r="F30" s="44"/>
      <c r="G30" s="4"/>
      <c r="H30" s="91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2"/>
      <c r="C31" s="44"/>
      <c r="D31" s="44"/>
      <c r="E31" s="44"/>
      <c r="F31" s="44"/>
      <c r="G31" s="4"/>
      <c r="H31" s="91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3"/>
      <c r="C32" s="4"/>
      <c r="D32" s="4"/>
      <c r="E32" s="4"/>
      <c r="F32" s="4"/>
      <c r="G32" s="4"/>
      <c r="H32" s="91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3"/>
      <c r="C33" s="4"/>
      <c r="D33" s="4"/>
      <c r="E33" s="4"/>
      <c r="F33" s="4"/>
      <c r="G33" s="4"/>
      <c r="H33" s="91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4"/>
      <c r="C34" s="95"/>
      <c r="D34" s="95"/>
      <c r="E34" s="95"/>
      <c r="F34" s="95"/>
      <c r="G34" s="95"/>
      <c r="H34" s="96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Overview</vt:lpstr>
      <vt:lpstr>Savings</vt:lpstr>
      <vt:lpstr>Borrowers</vt:lpstr>
      <vt:lpstr>Revenues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2025-02-23T19:22:29Z</dcterms:modified>
</cp:coreProperties>
</file>