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3F36F8FE-0D6F-48EA-88D1-32E6E5C16A3B}" xr6:coauthVersionLast="47" xr6:coauthVersionMax="47" xr10:uidLastSave="{00000000-0000-0000-0000-000000000000}"/>
  <bookViews>
    <workbookView xWindow="-120" yWindow="-120" windowWidth="24240" windowHeight="13020" tabRatio="593" xr2:uid="{00000000-000D-0000-FFFF-FFFF00000000}"/>
  </bookViews>
  <sheets>
    <sheet name="Home" sheetId="1" r:id="rId1"/>
    <sheet name="Savings" sheetId="2" r:id="rId2"/>
    <sheet name="Borrowers" sheetId="4" r:id="rId3"/>
    <sheet name="Revenues" sheetId="5" r:id="rId4"/>
    <sheet name="LOG" sheetId="6" r:id="rId5"/>
    <sheet name="Savings2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73" i="7" l="1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73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B45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B17" i="7"/>
  <c r="E287" i="7"/>
  <c r="C286" i="7"/>
  <c r="A229" i="7"/>
  <c r="K286" i="7" s="1"/>
  <c r="A67" i="2"/>
  <c r="F100" i="4" l="1"/>
  <c r="H100" i="4" s="1"/>
  <c r="E100" i="4"/>
  <c r="C100" i="4"/>
  <c r="F101" i="4"/>
  <c r="H101" i="4" s="1"/>
  <c r="E101" i="4"/>
  <c r="C101" i="4"/>
  <c r="D101" i="4" l="1"/>
  <c r="D100" i="4"/>
  <c r="F102" i="4"/>
  <c r="H102" i="4" s="1"/>
  <c r="E102" i="4"/>
  <c r="C102" i="4"/>
  <c r="F104" i="4"/>
  <c r="H104" i="4" s="1"/>
  <c r="E104" i="4"/>
  <c r="C104" i="4"/>
  <c r="D104" i="4" l="1"/>
  <c r="D102" i="4"/>
  <c r="F103" i="4"/>
  <c r="H103" i="4" s="1"/>
  <c r="E103" i="4"/>
  <c r="D103" i="4" s="1"/>
  <c r="C103" i="4"/>
  <c r="C99" i="2" l="1"/>
  <c r="C99" i="5" l="1"/>
  <c r="E100" i="2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F108" i="4" l="1"/>
  <c r="H108" i="4" s="1"/>
  <c r="F107" i="4"/>
  <c r="H107" i="4" s="1"/>
  <c r="F106" i="4"/>
  <c r="H106" i="4" s="1"/>
  <c r="F105" i="4"/>
  <c r="H105" i="4" s="1"/>
  <c r="C105" i="4" l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E108" i="4"/>
  <c r="D108" i="4" s="1"/>
  <c r="E107" i="4"/>
  <c r="D107" i="4" s="1"/>
  <c r="E106" i="4"/>
  <c r="D106" i="4" s="1"/>
  <c r="E105" i="4"/>
  <c r="D105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 l="1"/>
  <c r="C106" i="4"/>
  <c r="B100" i="4" l="1"/>
  <c r="K99" i="2" l="1"/>
</calcChain>
</file>

<file path=xl/sharedStrings.xml><?xml version="1.0" encoding="utf-8"?>
<sst xmlns="http://schemas.openxmlformats.org/spreadsheetml/2006/main" count="227" uniqueCount="49">
  <si>
    <t>ryan</t>
  </si>
  <si>
    <t>Savings</t>
  </si>
  <si>
    <t>Revenue</t>
  </si>
  <si>
    <t>SHAREHOLDERS</t>
  </si>
  <si>
    <t>SAVINGS</t>
  </si>
  <si>
    <t>Borrower</t>
  </si>
  <si>
    <t>DATE of CUTOFF</t>
  </si>
  <si>
    <t>TOTAL</t>
  </si>
  <si>
    <t>vince</t>
  </si>
  <si>
    <t>OVERALL TOTAL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</si>
  <si>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</si>
  <si>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</si>
  <si>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</si>
  <si>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</si>
  <si>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</si>
  <si>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</si>
  <si>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</si>
  <si>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</si>
  <si>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</si>
  <si>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</si>
  <si>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</si>
  <si>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</si>
  <si>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</si>
  <si>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</si>
  <si>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</si>
  <si>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</si>
  <si>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</si>
  <si>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</si>
  <si>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</si>
  <si>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</si>
  <si>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</si>
  <si>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</si>
  <si>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</si>
  <si>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</si>
  <si>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</si>
  <si>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</si>
  <si>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</si>
  <si>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</si>
  <si>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</si>
  <si>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</si>
  <si>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</si>
  <si>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</si>
  <si>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</si>
  <si>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</si>
  <si>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</si>
  <si>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</si>
  <si>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</si>
  <si>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</si>
  <si>
    <t>keke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</si>
</sst>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164" fontId="2" fillId="3" borderId="1" xfId="0" applyNumberFormat="1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0" fontId="1" fillId="4" borderId="5" xfId="0" applyFont="1" applyFill="1" applyBorder="1"/>
    <xf numFmtId="22" fontId="0" fillId="2" borderId="3" xfId="0" applyNumberFormat="1" applyFill="1" applyBorder="1" applyAlignment="1">
      <alignment horizontal="center" vertical="center"/>
    </xf>
    <xf numFmtId="0" fontId="0" fillId="0" borderId="1" xfId="0" applyBorder="1"/>
    <xf numFmtId="0" fontId="4" fillId="8" borderId="0" xfId="0" applyFont="1" applyFill="1" applyBorder="1" applyAlignment="1">
      <alignment horizontal="center"/>
    </xf>
    <xf numFmtId="0" fontId="0" fillId="5" borderId="1" xfId="0" applyFill="1" applyBorder="1"/>
    <xf numFmtId="0" fontId="0" fillId="0" borderId="6" xfId="0" applyBorder="1"/>
    <xf numFmtId="0" fontId="2" fillId="5" borderId="1" xfId="0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0" fillId="9" borderId="0" xfId="0" applyFill="1"/>
    <xf numFmtId="164" fontId="0" fillId="0" borderId="0" xfId="0" applyNumberFormat="1"/>
    <xf numFmtId="0" fontId="0" fillId="5" borderId="2" xfId="0" applyFill="1" applyBorder="1"/>
    <xf numFmtId="164" fontId="0" fillId="0" borderId="1" xfId="0" applyNumberFormat="1" applyBorder="1"/>
    <xf numFmtId="164" fontId="0" fillId="5" borderId="1" xfId="0" applyNumberFormat="1" applyFill="1" applyBorder="1"/>
    <xf numFmtId="0" fontId="0" fillId="10" borderId="1" xfId="0" applyFill="1" applyBorder="1"/>
    <xf numFmtId="0" fontId="0" fillId="11" borderId="0" xfId="0" applyFill="1"/>
    <xf numFmtId="0" fontId="0" fillId="5" borderId="0" xfId="0" applyFill="1"/>
    <xf numFmtId="0" fontId="5" fillId="12" borderId="0" xfId="0" applyFont="1" applyFill="1"/>
    <xf numFmtId="0" fontId="0" fillId="12" borderId="0" xfId="0" applyFill="1"/>
    <xf numFmtId="22" fontId="0" fillId="0" borderId="1" xfId="0" applyNumberFormat="1" applyBorder="1"/>
    <xf numFmtId="0" fontId="0" fillId="13" borderId="1" xfId="0" applyFill="1" applyBorder="1"/>
    <xf numFmtId="0" fontId="0" fillId="14" borderId="1" xfId="0" applyFill="1" applyBorder="1"/>
    <xf numFmtId="22" fontId="0" fillId="5" borderId="1" xfId="0" applyNumberFormat="1" applyFill="1" applyBorder="1"/>
    <xf numFmtId="164" fontId="2" fillId="6" borderId="7" xfId="0" applyNumberFormat="1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164" fontId="2" fillId="6" borderId="10" xfId="0" applyNumberFormat="1" applyFont="1" applyFill="1" applyBorder="1" applyAlignment="1">
      <alignment horizontal="center"/>
    </xf>
    <xf numFmtId="0" fontId="0" fillId="0" borderId="11" xfId="0" applyBorder="1"/>
    <xf numFmtId="164" fontId="2" fillId="6" borderId="12" xfId="0" applyNumberFormat="1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1" fillId="4" borderId="7" xfId="0" applyFont="1" applyFill="1" applyBorder="1"/>
    <xf numFmtId="0" fontId="5" fillId="12" borderId="8" xfId="0" applyFont="1" applyFill="1" applyBorder="1"/>
    <xf numFmtId="0" fontId="0" fillId="12" borderId="8" xfId="0" applyFill="1" applyBorder="1"/>
    <xf numFmtId="0" fontId="0" fillId="12" borderId="9" xfId="0" applyFill="1" applyBorder="1"/>
    <xf numFmtId="164" fontId="2" fillId="4" borderId="10" xfId="0" applyNumberFormat="1" applyFont="1" applyFill="1" applyBorder="1" applyAlignment="1">
      <alignment horizontal="center"/>
    </xf>
    <xf numFmtId="164" fontId="2" fillId="4" borderId="12" xfId="0" applyNumberFormat="1" applyFont="1" applyFill="1" applyBorder="1" applyAlignment="1">
      <alignment horizontal="center"/>
    </xf>
    <xf numFmtId="22" fontId="0" fillId="2" borderId="15" xfId="0" applyNumberForma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 vertical="center"/>
    </xf>
    <xf numFmtId="0" fontId="0" fillId="15" borderId="13" xfId="0" applyFill="1" applyBorder="1"/>
    <xf numFmtId="0" fontId="0" fillId="15" borderId="14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241012</xdr:colOff>
      <xdr:row>0</xdr:row>
      <xdr:rowOff>38100</xdr:rowOff>
    </xdr:from>
    <xdr:ext cx="184731" cy="1532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93787" y="38100"/>
          <a:ext cx="184731" cy="153221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8800" b="1" strike="noStrike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oneCellAnchor>
  <xdr:oneCellAnchor>
    <xdr:from>
      <xdr:col>5</xdr:col>
      <xdr:colOff>58307</xdr:colOff>
      <xdr:row>7</xdr:row>
      <xdr:rowOff>28576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44357" y="136207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93901</xdr:colOff>
      <xdr:row>1</xdr:row>
      <xdr:rowOff>50881</xdr:rowOff>
    </xdr:from>
    <xdr:to>
      <xdr:col>4</xdr:col>
      <xdr:colOff>219075</xdr:colOff>
      <xdr:row>19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551" y="241381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133350</xdr:rowOff>
        </xdr:from>
        <xdr:to>
          <xdr:col>8</xdr:col>
          <xdr:colOff>466725</xdr:colOff>
          <xdr:row>15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152400</xdr:rowOff>
        </xdr:from>
        <xdr:to>
          <xdr:col>8</xdr:col>
          <xdr:colOff>457200</xdr:colOff>
          <xdr:row>18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28575</xdr:colOff>
      <xdr:row>2</xdr:row>
      <xdr:rowOff>146665</xdr:rowOff>
    </xdr:from>
    <xdr:to>
      <xdr:col>10</xdr:col>
      <xdr:colOff>245747</xdr:colOff>
      <xdr:row>10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0" y="527665"/>
          <a:ext cx="3007997" cy="138686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3</xdr:row>
      <xdr:rowOff>171451</xdr:rowOff>
    </xdr:from>
    <xdr:to>
      <xdr:col>22</xdr:col>
      <xdr:colOff>171450</xdr:colOff>
      <xdr:row>17</xdr:row>
      <xdr:rowOff>28719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742951"/>
          <a:ext cx="5019675" cy="25242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tabSelected="1" workbookViewId="0">
      <selection activeCell="H23" sqref="H23"/>
    </sheetView>
  </sheetViews>
  <sheetFormatPr defaultRowHeight="15" x14ac:dyDescent="0.25"/>
  <cols>
    <col min="1" max="1" width="3.7109375" customWidth="1"/>
    <col min="3" max="3" width="7" customWidth="1"/>
    <col min="7" max="7" width="5.28515625" customWidth="1"/>
    <col min="13" max="13" width="3.85546875" customWidth="1"/>
  </cols>
  <sheetData>
    <row r="1" spans="1:15" x14ac:dyDescent="0.2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</row>
    <row r="2" spans="1:15" x14ac:dyDescent="0.25">
      <c r="A2" s="26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6"/>
    </row>
    <row r="3" spans="1:15" x14ac:dyDescent="0.25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6"/>
    </row>
    <row r="4" spans="1:15" x14ac:dyDescent="0.25">
      <c r="A4" s="26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6"/>
    </row>
    <row r="5" spans="1:15" x14ac:dyDescent="0.25">
      <c r="A5" s="2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6"/>
    </row>
    <row r="6" spans="1:15" x14ac:dyDescent="0.25">
      <c r="A6" s="26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6"/>
    </row>
    <row r="7" spans="1:15" x14ac:dyDescent="0.25">
      <c r="A7" s="26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6"/>
    </row>
    <row r="8" spans="1:15" x14ac:dyDescent="0.25">
      <c r="A8" s="26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6"/>
    </row>
    <row r="9" spans="1:15" x14ac:dyDescent="0.25">
      <c r="A9" s="26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6"/>
    </row>
    <row r="10" spans="1:15" x14ac:dyDescent="0.25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6"/>
      <c r="O10" s="1"/>
    </row>
    <row r="11" spans="1:15" x14ac:dyDescent="0.25">
      <c r="A11" s="26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6"/>
    </row>
    <row r="12" spans="1:15" x14ac:dyDescent="0.25">
      <c r="A12" s="26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6"/>
    </row>
    <row r="13" spans="1:15" x14ac:dyDescent="0.25">
      <c r="A13" s="26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6"/>
    </row>
    <row r="14" spans="1:15" x14ac:dyDescent="0.2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6"/>
    </row>
    <row r="15" spans="1:15" x14ac:dyDescent="0.25">
      <c r="A15" s="26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6"/>
    </row>
    <row r="16" spans="1:1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6"/>
    </row>
    <row r="17" spans="1:13" x14ac:dyDescent="0.25">
      <c r="A17" s="26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6"/>
    </row>
    <row r="18" spans="1:13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6"/>
    </row>
    <row r="19" spans="1:13" x14ac:dyDescent="0.25">
      <c r="A19" s="26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6"/>
    </row>
    <row r="20" spans="1:13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6"/>
    </row>
    <row r="21" spans="1:13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9525</xdr:colOff>
                <xdr:row>13</xdr:row>
                <xdr:rowOff>133350</xdr:rowOff>
              </from>
              <to>
                <xdr:col>8</xdr:col>
                <xdr:colOff>466725</xdr:colOff>
                <xdr:row>15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0</xdr:colOff>
                <xdr:row>16</xdr:row>
                <xdr:rowOff>152400</xdr:rowOff>
              </from>
              <to>
                <xdr:col>8</xdr:col>
                <xdr:colOff>457200</xdr:colOff>
                <xdr:row>18</xdr:row>
                <xdr:rowOff>171450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workbookViewId="0">
      <pane xSplit="1" ySplit="2" topLeftCell="J3" activePane="bottomRight" state="frozen"/>
      <selection pane="topRight" activeCell="B1" sqref="B1"/>
      <selection pane="bottomLeft" activeCell="A3" sqref="A3"/>
      <selection pane="bottomRight" activeCell="E58" sqref="E58"/>
    </sheetView>
  </sheetViews>
  <sheetFormatPr defaultRowHeight="15" x14ac:dyDescent="0.25"/>
  <cols>
    <col min="1" max="1" width="23" customWidth="1"/>
    <col min="2" max="2" width="14.7109375" customWidth="1"/>
    <col min="32" max="32" width="13.140625" customWidth="1"/>
  </cols>
  <sheetData>
    <row r="1" spans="1:26" ht="15.75" thickBot="1" x14ac:dyDescent="0.3">
      <c r="A1" s="13" t="s">
        <v>4</v>
      </c>
    </row>
    <row r="2" spans="1:26" ht="15.75" thickBot="1" x14ac:dyDescent="0.3">
      <c r="A2" s="12" t="s">
        <v>6</v>
      </c>
      <c r="B2" s="28" t="s">
        <v>24</v>
      </c>
      <c r="C2" s="28" t="s">
        <v>25</v>
      </c>
      <c r="D2" s="29" t="s">
        <v>26</v>
      </c>
      <c r="E2" s="29" t="s">
        <v>27</v>
      </c>
      <c r="F2" s="29" t="s">
        <v>28</v>
      </c>
      <c r="G2" s="29" t="s">
        <v>29</v>
      </c>
      <c r="H2" s="29" t="s">
        <v>30</v>
      </c>
      <c r="I2" s="29" t="s">
        <v>31</v>
      </c>
      <c r="J2" s="29" t="s">
        <v>32</v>
      </c>
      <c r="K2" s="29" t="s">
        <v>23</v>
      </c>
      <c r="L2" s="29" t="s">
        <v>33</v>
      </c>
      <c r="M2" s="29" t="s">
        <v>34</v>
      </c>
      <c r="N2" s="29" t="s">
        <v>35</v>
      </c>
      <c r="O2" s="29" t="s">
        <v>36</v>
      </c>
      <c r="P2" s="29" t="s">
        <v>37</v>
      </c>
      <c r="Q2" s="29" t="s">
        <v>38</v>
      </c>
      <c r="R2" s="29" t="s">
        <v>39</v>
      </c>
      <c r="S2" s="29" t="s">
        <v>40</v>
      </c>
      <c r="T2" s="29" t="s">
        <v>8</v>
      </c>
      <c r="U2" s="29" t="s">
        <v>0</v>
      </c>
      <c r="V2" s="29" t="s">
        <v>41</v>
      </c>
      <c r="W2" s="29" t="s">
        <v>42</v>
      </c>
      <c r="X2" s="29" t="s">
        <v>43</v>
      </c>
      <c r="Y2" s="29" t="s">
        <v>47</v>
      </c>
      <c r="Z2" s="29" t="s">
        <v>48</v>
      </c>
    </row>
    <row r="3" spans="1:26" x14ac:dyDescent="0.25">
      <c r="A3" s="11">
        <v>43266</v>
      </c>
      <c r="B3">
        <v>300000</v>
      </c>
      <c r="C3">
        <v>19310</v>
      </c>
      <c r="D3">
        <v>53240</v>
      </c>
      <c r="E3">
        <v>68745</v>
      </c>
      <c r="F3">
        <v>95733</v>
      </c>
      <c r="G3">
        <v>65667</v>
      </c>
      <c r="H3">
        <v>157226</v>
      </c>
      <c r="I3">
        <v>3834</v>
      </c>
      <c r="J3">
        <v>134305</v>
      </c>
      <c r="K3">
        <v>45065</v>
      </c>
      <c r="L3">
        <v>44500</v>
      </c>
      <c r="M3">
        <v>25672</v>
      </c>
      <c r="N3">
        <v>5000</v>
      </c>
      <c r="O3">
        <v>14070</v>
      </c>
      <c r="P3">
        <v>175629</v>
      </c>
      <c r="Q3">
        <v>5000</v>
      </c>
      <c r="R3">
        <v>157027</v>
      </c>
      <c r="S3">
        <v>66164</v>
      </c>
      <c r="T3">
        <v>5000</v>
      </c>
      <c r="U3">
        <v>3000</v>
      </c>
      <c r="V3">
        <v>5000</v>
      </c>
      <c r="W3">
        <v>5000</v>
      </c>
      <c r="X3">
        <v>5000</v>
      </c>
      <c r="Y3">
        <v>0</v>
      </c>
      <c r="Z3">
        <v>2000</v>
      </c>
    </row>
    <row r="4" spans="1:26" x14ac:dyDescent="0.25">
      <c r="A4" s="6">
        <v>43281</v>
      </c>
      <c r="B4">
        <v>0</v>
      </c>
      <c r="C4">
        <v>0</v>
      </c>
      <c r="D4">
        <v>3000</v>
      </c>
      <c r="E4">
        <v>3000</v>
      </c>
      <c r="F4">
        <v>2000</v>
      </c>
      <c r="G4">
        <v>0</v>
      </c>
      <c r="H4">
        <v>3000</v>
      </c>
      <c r="I4">
        <v>0</v>
      </c>
      <c r="J4">
        <v>3000</v>
      </c>
      <c r="K4">
        <v>500</v>
      </c>
      <c r="L4">
        <v>500</v>
      </c>
      <c r="M4">
        <v>500</v>
      </c>
      <c r="N4">
        <v>1000</v>
      </c>
      <c r="O4">
        <v>0</v>
      </c>
      <c r="P4">
        <v>3000</v>
      </c>
      <c r="Q4">
        <v>0</v>
      </c>
      <c r="R4">
        <v>0</v>
      </c>
      <c r="S4">
        <v>2000</v>
      </c>
      <c r="T4">
        <v>2000</v>
      </c>
      <c r="U4">
        <v>2000</v>
      </c>
      <c r="V4">
        <v>2000</v>
      </c>
      <c r="W4">
        <v>3000</v>
      </c>
      <c r="X4">
        <v>3000</v>
      </c>
      <c r="Y4">
        <v>0</v>
      </c>
      <c r="Z4">
        <v>2000</v>
      </c>
    </row>
    <row r="5" spans="1:26" x14ac:dyDescent="0.25">
      <c r="A5" s="6">
        <v>43296</v>
      </c>
      <c r="B5">
        <v>0</v>
      </c>
      <c r="C5">
        <v>0</v>
      </c>
      <c r="D5">
        <v>3000</v>
      </c>
      <c r="E5">
        <v>3000</v>
      </c>
      <c r="F5">
        <v>2000</v>
      </c>
      <c r="G5">
        <v>0</v>
      </c>
      <c r="H5">
        <v>3000</v>
      </c>
      <c r="I5">
        <v>0</v>
      </c>
      <c r="J5">
        <v>3000</v>
      </c>
      <c r="K5">
        <v>500</v>
      </c>
      <c r="L5">
        <v>500</v>
      </c>
      <c r="M5">
        <v>500</v>
      </c>
      <c r="N5">
        <v>0</v>
      </c>
      <c r="O5">
        <v>0</v>
      </c>
      <c r="P5">
        <v>3000</v>
      </c>
      <c r="Q5">
        <v>0</v>
      </c>
      <c r="R5">
        <v>1000</v>
      </c>
      <c r="S5">
        <v>2000</v>
      </c>
      <c r="T5">
        <v>2000</v>
      </c>
      <c r="U5">
        <v>1500</v>
      </c>
      <c r="V5">
        <v>2000</v>
      </c>
      <c r="W5">
        <v>3000</v>
      </c>
      <c r="X5">
        <v>3000</v>
      </c>
      <c r="Z5">
        <v>2600</v>
      </c>
    </row>
    <row r="6" spans="1:26" x14ac:dyDescent="0.25">
      <c r="A6" s="6">
        <v>43311</v>
      </c>
      <c r="B6">
        <v>0</v>
      </c>
      <c r="C6">
        <v>0</v>
      </c>
      <c r="D6">
        <v>-17000</v>
      </c>
      <c r="E6">
        <v>3000</v>
      </c>
      <c r="F6">
        <v>2000</v>
      </c>
      <c r="G6">
        <v>0</v>
      </c>
      <c r="H6">
        <v>3000</v>
      </c>
      <c r="I6">
        <v>0</v>
      </c>
      <c r="J6">
        <v>3000</v>
      </c>
      <c r="K6">
        <v>500</v>
      </c>
      <c r="L6">
        <v>500</v>
      </c>
      <c r="M6">
        <v>0</v>
      </c>
      <c r="N6">
        <v>0</v>
      </c>
      <c r="O6">
        <v>0</v>
      </c>
      <c r="P6">
        <v>3000</v>
      </c>
      <c r="Q6">
        <v>3000</v>
      </c>
      <c r="R6">
        <v>3000</v>
      </c>
      <c r="S6">
        <v>2000</v>
      </c>
      <c r="T6">
        <v>2000</v>
      </c>
      <c r="U6">
        <v>1500</v>
      </c>
      <c r="V6">
        <v>3000</v>
      </c>
      <c r="W6">
        <v>3000</v>
      </c>
      <c r="X6">
        <v>3000</v>
      </c>
    </row>
    <row r="7" spans="1:26" x14ac:dyDescent="0.25">
      <c r="A7" s="6">
        <v>43327</v>
      </c>
      <c r="B7">
        <v>0</v>
      </c>
      <c r="C7">
        <v>0</v>
      </c>
      <c r="D7">
        <v>0</v>
      </c>
      <c r="E7">
        <v>3000</v>
      </c>
      <c r="F7">
        <v>2000</v>
      </c>
      <c r="G7">
        <v>0</v>
      </c>
      <c r="H7">
        <v>3000</v>
      </c>
      <c r="I7">
        <v>500</v>
      </c>
      <c r="J7">
        <v>3000</v>
      </c>
      <c r="K7">
        <v>500</v>
      </c>
      <c r="L7">
        <v>500</v>
      </c>
      <c r="M7">
        <v>0</v>
      </c>
      <c r="N7">
        <v>0</v>
      </c>
      <c r="O7">
        <v>0</v>
      </c>
      <c r="P7">
        <v>3000</v>
      </c>
      <c r="Q7">
        <v>0</v>
      </c>
      <c r="R7">
        <v>2000</v>
      </c>
      <c r="S7">
        <v>2000</v>
      </c>
      <c r="T7">
        <v>2000</v>
      </c>
      <c r="U7">
        <v>1000</v>
      </c>
      <c r="V7">
        <v>3000</v>
      </c>
      <c r="W7">
        <v>3000</v>
      </c>
      <c r="X7">
        <v>3000</v>
      </c>
    </row>
    <row r="8" spans="1:26" x14ac:dyDescent="0.25">
      <c r="A8" s="6">
        <v>43342</v>
      </c>
      <c r="B8">
        <v>0</v>
      </c>
      <c r="C8">
        <v>0</v>
      </c>
      <c r="D8">
        <v>3000</v>
      </c>
      <c r="E8">
        <v>3000</v>
      </c>
      <c r="F8">
        <v>1000</v>
      </c>
      <c r="G8">
        <v>0</v>
      </c>
      <c r="H8">
        <v>3000</v>
      </c>
      <c r="I8">
        <v>0</v>
      </c>
      <c r="J8">
        <v>3000</v>
      </c>
      <c r="K8">
        <v>500</v>
      </c>
      <c r="L8">
        <v>500</v>
      </c>
      <c r="M8">
        <v>0</v>
      </c>
      <c r="N8">
        <v>0</v>
      </c>
      <c r="O8">
        <v>0</v>
      </c>
      <c r="P8">
        <v>3000</v>
      </c>
      <c r="Q8">
        <v>0</v>
      </c>
      <c r="R8">
        <v>1000</v>
      </c>
      <c r="S8">
        <v>2000</v>
      </c>
      <c r="T8">
        <v>2000</v>
      </c>
      <c r="U8">
        <v>2000</v>
      </c>
      <c r="V8">
        <v>3000</v>
      </c>
      <c r="W8">
        <v>3000</v>
      </c>
      <c r="X8">
        <v>3000</v>
      </c>
    </row>
    <row r="9" spans="1:26" x14ac:dyDescent="0.25">
      <c r="A9" s="6">
        <v>43358</v>
      </c>
      <c r="B9">
        <v>0</v>
      </c>
      <c r="C9">
        <v>0</v>
      </c>
      <c r="D9">
        <v>3000</v>
      </c>
      <c r="E9">
        <v>3000</v>
      </c>
      <c r="F9">
        <v>2000</v>
      </c>
      <c r="G9">
        <v>0</v>
      </c>
      <c r="H9">
        <v>3000</v>
      </c>
      <c r="I9">
        <v>500</v>
      </c>
      <c r="J9">
        <v>3000</v>
      </c>
      <c r="K9">
        <v>500</v>
      </c>
      <c r="L9">
        <v>500</v>
      </c>
      <c r="M9">
        <v>0</v>
      </c>
      <c r="N9">
        <v>0</v>
      </c>
      <c r="O9">
        <v>0</v>
      </c>
      <c r="P9">
        <v>3000</v>
      </c>
      <c r="Q9">
        <v>0</v>
      </c>
      <c r="R9">
        <v>2000</v>
      </c>
      <c r="S9">
        <v>2000</v>
      </c>
      <c r="T9">
        <v>2000</v>
      </c>
      <c r="U9">
        <v>2000</v>
      </c>
      <c r="V9">
        <v>3000</v>
      </c>
      <c r="W9">
        <v>3000</v>
      </c>
      <c r="X9">
        <v>3000</v>
      </c>
    </row>
    <row r="10" spans="1:26" x14ac:dyDescent="0.25">
      <c r="A10" s="6">
        <v>43373</v>
      </c>
      <c r="B10">
        <v>0</v>
      </c>
      <c r="C10">
        <v>0</v>
      </c>
      <c r="D10">
        <v>3000</v>
      </c>
      <c r="E10">
        <v>3000</v>
      </c>
      <c r="F10">
        <v>1000</v>
      </c>
      <c r="G10">
        <v>0</v>
      </c>
      <c r="H10">
        <v>3000</v>
      </c>
      <c r="I10">
        <v>0</v>
      </c>
      <c r="J10">
        <v>3000</v>
      </c>
      <c r="K10">
        <v>500</v>
      </c>
      <c r="L10">
        <v>500</v>
      </c>
      <c r="M10">
        <v>500</v>
      </c>
      <c r="N10">
        <v>0</v>
      </c>
      <c r="O10">
        <v>0</v>
      </c>
      <c r="P10">
        <v>3000</v>
      </c>
      <c r="Q10">
        <v>500</v>
      </c>
      <c r="R10">
        <v>3000</v>
      </c>
      <c r="S10">
        <v>2000</v>
      </c>
      <c r="T10">
        <v>2000</v>
      </c>
      <c r="U10">
        <v>2000</v>
      </c>
      <c r="V10">
        <v>3000</v>
      </c>
      <c r="W10">
        <v>3000</v>
      </c>
      <c r="X10">
        <v>3000</v>
      </c>
    </row>
    <row r="11" spans="1:26" x14ac:dyDescent="0.25">
      <c r="A11" s="6">
        <v>43388</v>
      </c>
      <c r="B11">
        <v>0</v>
      </c>
      <c r="C11">
        <v>0</v>
      </c>
      <c r="D11">
        <v>1000</v>
      </c>
      <c r="E11">
        <v>3000</v>
      </c>
      <c r="F11">
        <v>1000</v>
      </c>
      <c r="G11">
        <v>500</v>
      </c>
      <c r="H11">
        <v>3000</v>
      </c>
      <c r="I11">
        <v>0</v>
      </c>
      <c r="J11">
        <v>3000</v>
      </c>
      <c r="K11">
        <v>500</v>
      </c>
      <c r="L11">
        <v>500</v>
      </c>
      <c r="M11">
        <v>0</v>
      </c>
      <c r="N11">
        <v>0</v>
      </c>
      <c r="O11">
        <v>0</v>
      </c>
      <c r="P11">
        <v>3000</v>
      </c>
      <c r="Q11">
        <v>0</v>
      </c>
      <c r="R11">
        <v>3000</v>
      </c>
      <c r="S11">
        <v>2000</v>
      </c>
      <c r="T11">
        <v>2000</v>
      </c>
      <c r="U11">
        <v>2000</v>
      </c>
      <c r="V11">
        <v>0</v>
      </c>
      <c r="W11">
        <v>3000</v>
      </c>
      <c r="X11">
        <v>3000</v>
      </c>
    </row>
    <row r="12" spans="1:26" x14ac:dyDescent="0.25">
      <c r="A12" s="6">
        <v>43403</v>
      </c>
      <c r="B12">
        <v>0</v>
      </c>
      <c r="C12">
        <v>500</v>
      </c>
      <c r="D12">
        <v>1000</v>
      </c>
      <c r="E12">
        <v>2000</v>
      </c>
      <c r="F12">
        <v>1000</v>
      </c>
      <c r="G12">
        <v>500</v>
      </c>
      <c r="H12">
        <v>3000</v>
      </c>
      <c r="I12">
        <v>0</v>
      </c>
      <c r="J12">
        <v>3000</v>
      </c>
      <c r="K12">
        <v>500</v>
      </c>
      <c r="L12">
        <v>500</v>
      </c>
      <c r="M12">
        <v>0</v>
      </c>
      <c r="N12">
        <v>0</v>
      </c>
      <c r="O12">
        <v>0</v>
      </c>
      <c r="P12">
        <v>3000</v>
      </c>
      <c r="Q12">
        <v>1000</v>
      </c>
      <c r="R12">
        <v>3000</v>
      </c>
      <c r="S12">
        <v>2000</v>
      </c>
      <c r="T12">
        <v>2000</v>
      </c>
      <c r="U12">
        <v>2000</v>
      </c>
      <c r="V12">
        <v>0</v>
      </c>
      <c r="W12">
        <v>3000</v>
      </c>
      <c r="X12">
        <v>3000</v>
      </c>
    </row>
    <row r="13" spans="1:26" x14ac:dyDescent="0.25">
      <c r="A13" s="6">
        <v>43419</v>
      </c>
      <c r="B13">
        <v>0</v>
      </c>
      <c r="C13">
        <v>500</v>
      </c>
      <c r="D13">
        <v>2000</v>
      </c>
      <c r="E13">
        <v>3000</v>
      </c>
      <c r="F13">
        <v>1000</v>
      </c>
      <c r="G13">
        <v>500</v>
      </c>
      <c r="H13">
        <v>3000</v>
      </c>
      <c r="I13">
        <v>0</v>
      </c>
      <c r="J13">
        <v>3000</v>
      </c>
      <c r="K13">
        <v>0</v>
      </c>
      <c r="L13">
        <v>500</v>
      </c>
      <c r="M13">
        <v>0</v>
      </c>
      <c r="N13">
        <v>0</v>
      </c>
      <c r="O13">
        <v>0</v>
      </c>
      <c r="P13">
        <v>3000</v>
      </c>
      <c r="Q13">
        <v>500</v>
      </c>
      <c r="R13">
        <v>3000</v>
      </c>
      <c r="S13">
        <v>2000</v>
      </c>
      <c r="T13">
        <v>2000</v>
      </c>
      <c r="U13">
        <v>2000</v>
      </c>
      <c r="V13">
        <v>3000</v>
      </c>
      <c r="W13">
        <v>3000</v>
      </c>
      <c r="X13">
        <v>3000</v>
      </c>
    </row>
    <row r="14" spans="1:26" x14ac:dyDescent="0.25">
      <c r="A14" s="6">
        <v>43434</v>
      </c>
      <c r="B14">
        <v>0</v>
      </c>
      <c r="C14">
        <v>0</v>
      </c>
      <c r="D14">
        <v>2000</v>
      </c>
      <c r="E14">
        <v>3000</v>
      </c>
      <c r="F14">
        <v>1000</v>
      </c>
      <c r="G14">
        <v>500</v>
      </c>
      <c r="H14">
        <v>3000</v>
      </c>
      <c r="I14">
        <v>0</v>
      </c>
      <c r="J14">
        <v>3000</v>
      </c>
      <c r="K14">
        <v>0</v>
      </c>
      <c r="L14">
        <v>500</v>
      </c>
      <c r="M14">
        <v>0</v>
      </c>
      <c r="N14">
        <v>0</v>
      </c>
      <c r="O14">
        <v>0</v>
      </c>
      <c r="P14">
        <v>3000</v>
      </c>
      <c r="Q14">
        <v>500</v>
      </c>
      <c r="R14">
        <v>3000</v>
      </c>
      <c r="S14">
        <v>2000</v>
      </c>
      <c r="T14">
        <v>2000</v>
      </c>
      <c r="U14">
        <v>2000</v>
      </c>
      <c r="V14">
        <v>3000</v>
      </c>
      <c r="W14">
        <v>3000</v>
      </c>
      <c r="X14">
        <v>3000</v>
      </c>
    </row>
    <row r="15" spans="1:26" x14ac:dyDescent="0.25">
      <c r="A15" s="6">
        <v>43449</v>
      </c>
      <c r="B15">
        <v>0</v>
      </c>
      <c r="C15">
        <v>0</v>
      </c>
      <c r="D15">
        <v>1000</v>
      </c>
      <c r="E15">
        <v>27182</v>
      </c>
      <c r="F15">
        <v>1000</v>
      </c>
      <c r="G15">
        <v>500</v>
      </c>
      <c r="H15">
        <v>52913</v>
      </c>
      <c r="I15">
        <v>995</v>
      </c>
      <c r="J15">
        <v>47033</v>
      </c>
      <c r="K15">
        <v>0</v>
      </c>
      <c r="L15">
        <v>500</v>
      </c>
      <c r="M15">
        <v>5690</v>
      </c>
      <c r="N15">
        <v>887</v>
      </c>
      <c r="O15">
        <v>2881</v>
      </c>
      <c r="P15">
        <v>59463</v>
      </c>
      <c r="Q15">
        <v>468</v>
      </c>
      <c r="R15">
        <v>51849</v>
      </c>
      <c r="S15">
        <v>25876</v>
      </c>
      <c r="T15">
        <v>3934</v>
      </c>
      <c r="U15">
        <v>3911</v>
      </c>
      <c r="V15">
        <v>2536</v>
      </c>
      <c r="W15">
        <v>7590</v>
      </c>
      <c r="X15">
        <v>8590</v>
      </c>
      <c r="Y15">
        <v>0</v>
      </c>
    </row>
    <row r="16" spans="1:26" x14ac:dyDescent="0.25">
      <c r="A16" s="6">
        <v>43464</v>
      </c>
      <c r="B16">
        <v>0</v>
      </c>
      <c r="C16">
        <v>0</v>
      </c>
      <c r="D16">
        <v>0</v>
      </c>
      <c r="E16">
        <v>3000</v>
      </c>
      <c r="F16">
        <v>1000</v>
      </c>
      <c r="G16">
        <v>500</v>
      </c>
      <c r="H16">
        <v>3000</v>
      </c>
      <c r="I16">
        <v>0</v>
      </c>
      <c r="J16">
        <v>3000</v>
      </c>
      <c r="K16">
        <v>0</v>
      </c>
      <c r="L16">
        <v>500</v>
      </c>
      <c r="M16">
        <v>0</v>
      </c>
      <c r="N16">
        <v>0</v>
      </c>
      <c r="O16">
        <v>0</v>
      </c>
      <c r="P16">
        <v>3000</v>
      </c>
      <c r="Q16">
        <v>0</v>
      </c>
      <c r="R16">
        <v>3000</v>
      </c>
      <c r="S16">
        <v>3000</v>
      </c>
      <c r="T16">
        <v>2000</v>
      </c>
      <c r="U16">
        <v>1000</v>
      </c>
      <c r="V16">
        <v>0</v>
      </c>
      <c r="W16">
        <v>3000</v>
      </c>
      <c r="X16">
        <v>3000</v>
      </c>
    </row>
    <row r="17" spans="1:24" x14ac:dyDescent="0.25">
      <c r="A17" s="7">
        <v>43480</v>
      </c>
      <c r="B17">
        <v>0</v>
      </c>
      <c r="C17">
        <v>0</v>
      </c>
      <c r="D17">
        <v>1000</v>
      </c>
      <c r="E17">
        <v>3000</v>
      </c>
      <c r="F17">
        <v>3000</v>
      </c>
      <c r="G17">
        <v>500</v>
      </c>
      <c r="H17">
        <v>3000</v>
      </c>
      <c r="I17">
        <v>0</v>
      </c>
      <c r="J17">
        <v>3000</v>
      </c>
      <c r="K17">
        <v>500</v>
      </c>
      <c r="L17">
        <v>500</v>
      </c>
      <c r="M17">
        <v>0</v>
      </c>
      <c r="N17">
        <v>0</v>
      </c>
      <c r="O17">
        <v>0</v>
      </c>
      <c r="P17">
        <v>3000</v>
      </c>
      <c r="Q17">
        <v>0</v>
      </c>
      <c r="R17">
        <v>3000</v>
      </c>
      <c r="S17">
        <v>3000</v>
      </c>
      <c r="T17">
        <v>2000</v>
      </c>
      <c r="U17">
        <v>0</v>
      </c>
      <c r="V17">
        <v>0</v>
      </c>
      <c r="W17">
        <v>3000</v>
      </c>
      <c r="X17">
        <v>3000</v>
      </c>
    </row>
    <row r="18" spans="1:24" x14ac:dyDescent="0.25">
      <c r="A18" s="7">
        <v>43495</v>
      </c>
      <c r="B18">
        <v>0</v>
      </c>
      <c r="C18">
        <v>300</v>
      </c>
      <c r="D18">
        <v>1000</v>
      </c>
      <c r="E18">
        <v>3000</v>
      </c>
      <c r="F18">
        <v>3000</v>
      </c>
      <c r="G18">
        <v>500</v>
      </c>
      <c r="H18">
        <v>3000</v>
      </c>
      <c r="I18">
        <v>0</v>
      </c>
      <c r="J18">
        <v>3000</v>
      </c>
      <c r="K18">
        <v>0</v>
      </c>
      <c r="L18">
        <v>500</v>
      </c>
      <c r="M18">
        <v>0</v>
      </c>
      <c r="N18">
        <v>1000</v>
      </c>
      <c r="O18">
        <v>0</v>
      </c>
      <c r="P18">
        <v>3000</v>
      </c>
      <c r="Q18">
        <v>0</v>
      </c>
      <c r="R18">
        <v>3000</v>
      </c>
      <c r="S18">
        <v>3000</v>
      </c>
      <c r="T18">
        <v>2000</v>
      </c>
      <c r="U18">
        <v>2000</v>
      </c>
      <c r="V18">
        <v>0</v>
      </c>
      <c r="W18">
        <v>3000</v>
      </c>
      <c r="X18">
        <v>3000</v>
      </c>
    </row>
    <row r="19" spans="1:24" x14ac:dyDescent="0.25">
      <c r="A19" s="7">
        <v>43511</v>
      </c>
      <c r="B19">
        <v>0</v>
      </c>
      <c r="C19">
        <v>300</v>
      </c>
      <c r="D19">
        <v>0</v>
      </c>
      <c r="E19">
        <v>1000</v>
      </c>
      <c r="F19">
        <v>3000</v>
      </c>
      <c r="G19">
        <v>500</v>
      </c>
      <c r="H19">
        <v>3000</v>
      </c>
      <c r="I19">
        <v>0</v>
      </c>
      <c r="J19">
        <v>3000</v>
      </c>
      <c r="K19">
        <v>0</v>
      </c>
      <c r="L19">
        <v>500</v>
      </c>
      <c r="M19">
        <v>0</v>
      </c>
      <c r="N19">
        <v>1000</v>
      </c>
      <c r="O19">
        <v>0</v>
      </c>
      <c r="P19">
        <v>3000</v>
      </c>
      <c r="Q19">
        <v>0</v>
      </c>
      <c r="R19">
        <v>3000</v>
      </c>
      <c r="S19">
        <v>3000</v>
      </c>
      <c r="T19">
        <v>2000</v>
      </c>
      <c r="U19">
        <v>2000</v>
      </c>
      <c r="V19">
        <v>0</v>
      </c>
      <c r="W19">
        <v>3000</v>
      </c>
      <c r="X19">
        <v>3000</v>
      </c>
    </row>
    <row r="20" spans="1:24" x14ac:dyDescent="0.25">
      <c r="A20" s="7">
        <v>43524</v>
      </c>
      <c r="B20">
        <v>0</v>
      </c>
      <c r="C20">
        <v>300</v>
      </c>
      <c r="D20">
        <v>1500</v>
      </c>
      <c r="E20">
        <v>1000</v>
      </c>
      <c r="F20">
        <v>3000</v>
      </c>
      <c r="G20">
        <v>500</v>
      </c>
      <c r="H20">
        <v>3000</v>
      </c>
      <c r="I20">
        <v>0</v>
      </c>
      <c r="J20">
        <v>3000</v>
      </c>
      <c r="K20">
        <v>500</v>
      </c>
      <c r="L20">
        <v>500</v>
      </c>
      <c r="M20">
        <v>0</v>
      </c>
      <c r="N20">
        <v>500</v>
      </c>
      <c r="O20">
        <v>0</v>
      </c>
      <c r="P20">
        <v>3000</v>
      </c>
      <c r="Q20">
        <v>410</v>
      </c>
      <c r="R20">
        <v>3000</v>
      </c>
      <c r="S20">
        <v>3000</v>
      </c>
      <c r="T20">
        <v>2000</v>
      </c>
      <c r="U20">
        <v>0</v>
      </c>
      <c r="V20">
        <v>0</v>
      </c>
      <c r="W20">
        <v>3000</v>
      </c>
      <c r="X20">
        <v>3000</v>
      </c>
    </row>
    <row r="21" spans="1:24" x14ac:dyDescent="0.25">
      <c r="A21" s="7">
        <v>43539</v>
      </c>
      <c r="B21">
        <v>0</v>
      </c>
      <c r="C21">
        <v>0</v>
      </c>
      <c r="D21">
        <v>0</v>
      </c>
      <c r="E21">
        <v>1000</v>
      </c>
      <c r="F21">
        <v>3000</v>
      </c>
      <c r="G21">
        <v>0</v>
      </c>
      <c r="H21">
        <v>3000</v>
      </c>
      <c r="I21">
        <v>0</v>
      </c>
      <c r="J21">
        <v>3000</v>
      </c>
      <c r="K21">
        <v>500</v>
      </c>
      <c r="L21">
        <v>500</v>
      </c>
      <c r="M21">
        <v>0</v>
      </c>
      <c r="N21">
        <v>1000</v>
      </c>
      <c r="O21">
        <v>0</v>
      </c>
      <c r="P21">
        <v>3000</v>
      </c>
      <c r="Q21">
        <v>1000</v>
      </c>
      <c r="R21">
        <v>3000</v>
      </c>
      <c r="S21">
        <v>3000</v>
      </c>
      <c r="T21">
        <v>2000</v>
      </c>
      <c r="U21">
        <v>0</v>
      </c>
      <c r="V21">
        <v>2000</v>
      </c>
      <c r="W21">
        <v>3000</v>
      </c>
      <c r="X21">
        <v>3000</v>
      </c>
    </row>
    <row r="22" spans="1:24" x14ac:dyDescent="0.25">
      <c r="A22" s="7">
        <v>43554</v>
      </c>
      <c r="B22">
        <v>0</v>
      </c>
      <c r="C22">
        <v>0</v>
      </c>
      <c r="D22">
        <v>0</v>
      </c>
      <c r="E22">
        <v>2000</v>
      </c>
      <c r="F22">
        <v>3000</v>
      </c>
      <c r="G22">
        <v>0</v>
      </c>
      <c r="H22">
        <v>3000</v>
      </c>
      <c r="I22">
        <v>0</v>
      </c>
      <c r="J22">
        <v>3000</v>
      </c>
      <c r="K22">
        <v>500</v>
      </c>
      <c r="L22">
        <v>500</v>
      </c>
      <c r="M22">
        <v>0</v>
      </c>
      <c r="N22">
        <v>0</v>
      </c>
      <c r="O22">
        <v>0</v>
      </c>
      <c r="P22">
        <v>3000</v>
      </c>
      <c r="Q22">
        <v>0</v>
      </c>
      <c r="R22">
        <v>0</v>
      </c>
      <c r="S22">
        <v>3000</v>
      </c>
      <c r="T22">
        <v>2000</v>
      </c>
      <c r="U22">
        <v>0</v>
      </c>
      <c r="V22">
        <v>0</v>
      </c>
      <c r="W22">
        <v>3000</v>
      </c>
      <c r="X22">
        <v>3000</v>
      </c>
    </row>
    <row r="23" spans="1:24" x14ac:dyDescent="0.25">
      <c r="A23" s="7">
        <v>43570</v>
      </c>
      <c r="B23">
        <v>0</v>
      </c>
      <c r="C23">
        <v>0</v>
      </c>
      <c r="D23">
        <v>0</v>
      </c>
      <c r="E23">
        <v>1000</v>
      </c>
      <c r="F23">
        <v>3000</v>
      </c>
      <c r="G23">
        <v>0</v>
      </c>
      <c r="H23">
        <v>3000</v>
      </c>
      <c r="I23">
        <v>0</v>
      </c>
      <c r="J23">
        <v>3000</v>
      </c>
      <c r="K23">
        <v>500</v>
      </c>
      <c r="L23">
        <v>1000</v>
      </c>
      <c r="M23">
        <v>0</v>
      </c>
      <c r="N23">
        <v>1000</v>
      </c>
      <c r="O23">
        <v>0</v>
      </c>
      <c r="P23">
        <v>3000</v>
      </c>
      <c r="Q23">
        <v>0</v>
      </c>
      <c r="R23">
        <v>3000</v>
      </c>
      <c r="S23">
        <v>3000</v>
      </c>
      <c r="T23">
        <v>2000</v>
      </c>
      <c r="U23">
        <v>0</v>
      </c>
      <c r="V23">
        <v>3000</v>
      </c>
      <c r="W23">
        <v>3000</v>
      </c>
      <c r="X23">
        <v>3000</v>
      </c>
    </row>
    <row r="24" spans="1:24" x14ac:dyDescent="0.25">
      <c r="A24" s="7">
        <v>43585</v>
      </c>
      <c r="B24">
        <v>0</v>
      </c>
      <c r="C24">
        <v>0</v>
      </c>
      <c r="D24">
        <v>0</v>
      </c>
      <c r="E24">
        <v>1000</v>
      </c>
      <c r="F24">
        <v>3000</v>
      </c>
      <c r="G24">
        <v>0</v>
      </c>
      <c r="H24">
        <v>3000</v>
      </c>
      <c r="I24">
        <v>0</v>
      </c>
      <c r="J24">
        <v>3000</v>
      </c>
      <c r="K24">
        <v>500</v>
      </c>
      <c r="L24">
        <v>1000</v>
      </c>
      <c r="M24">
        <v>0</v>
      </c>
      <c r="N24">
        <v>1000</v>
      </c>
      <c r="O24">
        <v>0</v>
      </c>
      <c r="P24">
        <v>3000</v>
      </c>
      <c r="Q24">
        <v>0</v>
      </c>
      <c r="R24">
        <v>3000</v>
      </c>
      <c r="S24">
        <v>3000</v>
      </c>
      <c r="T24">
        <v>2000</v>
      </c>
      <c r="U24">
        <v>0</v>
      </c>
      <c r="V24">
        <v>0</v>
      </c>
      <c r="W24">
        <v>3000</v>
      </c>
      <c r="X24">
        <v>3000</v>
      </c>
    </row>
    <row r="25" spans="1:24" x14ac:dyDescent="0.25">
      <c r="A25" s="7">
        <v>43600</v>
      </c>
      <c r="B25">
        <v>0</v>
      </c>
      <c r="C25">
        <v>0</v>
      </c>
      <c r="D25">
        <v>0</v>
      </c>
      <c r="E25">
        <v>1000</v>
      </c>
      <c r="F25">
        <v>3000</v>
      </c>
      <c r="G25">
        <v>0</v>
      </c>
      <c r="H25">
        <v>3000</v>
      </c>
      <c r="I25">
        <v>0</v>
      </c>
      <c r="J25">
        <v>3000</v>
      </c>
      <c r="K25">
        <v>0</v>
      </c>
      <c r="L25">
        <v>1000</v>
      </c>
      <c r="M25">
        <v>0</v>
      </c>
      <c r="N25">
        <v>1000</v>
      </c>
      <c r="O25">
        <v>0</v>
      </c>
      <c r="P25">
        <v>0</v>
      </c>
      <c r="Q25">
        <v>0</v>
      </c>
      <c r="R25">
        <v>2000</v>
      </c>
      <c r="S25">
        <v>3000</v>
      </c>
      <c r="T25">
        <v>2000</v>
      </c>
      <c r="U25">
        <v>0</v>
      </c>
      <c r="V25">
        <v>1000</v>
      </c>
      <c r="W25">
        <v>3000</v>
      </c>
      <c r="X25">
        <v>3000</v>
      </c>
    </row>
    <row r="26" spans="1:24" x14ac:dyDescent="0.25">
      <c r="A26" s="7">
        <v>43615</v>
      </c>
      <c r="B26">
        <v>0</v>
      </c>
      <c r="C26">
        <v>0</v>
      </c>
      <c r="D26">
        <v>1000</v>
      </c>
      <c r="E26">
        <v>1000</v>
      </c>
      <c r="F26">
        <v>3000</v>
      </c>
      <c r="G26">
        <v>0</v>
      </c>
      <c r="H26">
        <v>0</v>
      </c>
      <c r="I26">
        <v>0</v>
      </c>
      <c r="J26">
        <v>3000</v>
      </c>
      <c r="K26">
        <v>500</v>
      </c>
      <c r="L26">
        <v>1000</v>
      </c>
      <c r="M26">
        <v>0</v>
      </c>
      <c r="N26">
        <v>1000</v>
      </c>
      <c r="O26">
        <v>0</v>
      </c>
      <c r="P26">
        <v>0</v>
      </c>
      <c r="Q26">
        <v>0</v>
      </c>
      <c r="R26">
        <v>0</v>
      </c>
      <c r="S26">
        <v>3000</v>
      </c>
      <c r="T26">
        <v>0</v>
      </c>
      <c r="U26">
        <v>2000</v>
      </c>
      <c r="V26">
        <v>0</v>
      </c>
      <c r="W26">
        <v>3000</v>
      </c>
      <c r="X26">
        <v>3000</v>
      </c>
    </row>
    <row r="27" spans="1:24" x14ac:dyDescent="0.25">
      <c r="A27" s="7">
        <v>43631</v>
      </c>
      <c r="B27">
        <v>0</v>
      </c>
      <c r="C27">
        <v>0</v>
      </c>
      <c r="D27">
        <v>1000</v>
      </c>
      <c r="E27">
        <v>21000</v>
      </c>
      <c r="F27">
        <v>3000</v>
      </c>
      <c r="G27">
        <v>0</v>
      </c>
      <c r="H27">
        <v>26861</v>
      </c>
      <c r="I27">
        <v>-5829</v>
      </c>
      <c r="J27">
        <v>52662</v>
      </c>
      <c r="K27">
        <v>500</v>
      </c>
      <c r="L27">
        <v>11000</v>
      </c>
      <c r="M27">
        <v>0</v>
      </c>
      <c r="N27">
        <v>2919</v>
      </c>
      <c r="O27">
        <v>0</v>
      </c>
      <c r="P27">
        <v>4908</v>
      </c>
      <c r="Q27">
        <v>2611</v>
      </c>
      <c r="R27">
        <v>41124</v>
      </c>
      <c r="S27">
        <v>18000</v>
      </c>
      <c r="T27">
        <v>13235</v>
      </c>
      <c r="U27">
        <v>7543</v>
      </c>
      <c r="V27">
        <v>8662</v>
      </c>
      <c r="W27">
        <v>18367</v>
      </c>
      <c r="X27">
        <v>18618</v>
      </c>
    </row>
    <row r="28" spans="1:24" x14ac:dyDescent="0.25">
      <c r="A28" s="7">
        <v>43646</v>
      </c>
      <c r="B28">
        <v>0</v>
      </c>
    </row>
    <row r="29" spans="1:24" x14ac:dyDescent="0.25">
      <c r="A29" s="7">
        <v>43661</v>
      </c>
      <c r="B29">
        <v>0</v>
      </c>
    </row>
    <row r="30" spans="1:24" x14ac:dyDescent="0.25">
      <c r="A30" s="7">
        <v>43676</v>
      </c>
      <c r="B30">
        <v>0</v>
      </c>
    </row>
    <row r="31" spans="1:24" x14ac:dyDescent="0.25">
      <c r="A31" s="7">
        <v>43692</v>
      </c>
    </row>
    <row r="32" spans="1:24" x14ac:dyDescent="0.25">
      <c r="A32" s="7">
        <v>43707</v>
      </c>
    </row>
    <row r="33" spans="1:1" x14ac:dyDescent="0.25">
      <c r="A33" s="7">
        <v>43723</v>
      </c>
    </row>
    <row r="34" spans="1:1" x14ac:dyDescent="0.25">
      <c r="A34" s="7">
        <v>43738</v>
      </c>
    </row>
    <row r="35" spans="1:1" x14ac:dyDescent="0.25">
      <c r="A35" s="7">
        <v>43753</v>
      </c>
    </row>
    <row r="36" spans="1:1" x14ac:dyDescent="0.25">
      <c r="A36" s="7">
        <v>43768</v>
      </c>
    </row>
    <row r="37" spans="1:1" x14ac:dyDescent="0.25">
      <c r="A37" s="7">
        <v>43784</v>
      </c>
    </row>
    <row r="38" spans="1:1" x14ac:dyDescent="0.25">
      <c r="A38" s="7">
        <v>43799</v>
      </c>
    </row>
    <row r="39" spans="1:1" x14ac:dyDescent="0.25">
      <c r="A39" s="7">
        <v>43814</v>
      </c>
    </row>
    <row r="40" spans="1:1" x14ac:dyDescent="0.25">
      <c r="A40" s="7">
        <v>43829</v>
      </c>
    </row>
    <row r="41" spans="1:1" x14ac:dyDescent="0.25">
      <c r="A41" s="8">
        <v>43845</v>
      </c>
    </row>
    <row r="42" spans="1:1" x14ac:dyDescent="0.25">
      <c r="A42" s="8">
        <v>43860</v>
      </c>
    </row>
    <row r="43" spans="1:1" x14ac:dyDescent="0.25">
      <c r="A43" s="8">
        <v>43876</v>
      </c>
    </row>
    <row r="44" spans="1:1" x14ac:dyDescent="0.25">
      <c r="A44" s="8">
        <v>43889</v>
      </c>
    </row>
    <row r="45" spans="1:1" x14ac:dyDescent="0.25">
      <c r="A45" s="8">
        <v>43905</v>
      </c>
    </row>
    <row r="46" spans="1:1" x14ac:dyDescent="0.25">
      <c r="A46" s="8">
        <v>43920</v>
      </c>
    </row>
    <row r="47" spans="1:1" x14ac:dyDescent="0.25">
      <c r="A47" s="8">
        <v>43936</v>
      </c>
    </row>
    <row r="48" spans="1:1" x14ac:dyDescent="0.25">
      <c r="A48" s="8">
        <v>43951</v>
      </c>
    </row>
    <row r="49" spans="1:26" x14ac:dyDescent="0.25">
      <c r="A49" s="8">
        <v>43966</v>
      </c>
    </row>
    <row r="50" spans="1:26" x14ac:dyDescent="0.25">
      <c r="A50" s="8">
        <v>43981</v>
      </c>
    </row>
    <row r="51" spans="1:26" x14ac:dyDescent="0.25">
      <c r="A51" s="8">
        <v>43997</v>
      </c>
    </row>
    <row r="52" spans="1:26" x14ac:dyDescent="0.25">
      <c r="A52" s="8">
        <v>44012</v>
      </c>
    </row>
    <row r="53" spans="1:26" x14ac:dyDescent="0.25">
      <c r="A53" s="8">
        <v>44027</v>
      </c>
    </row>
    <row r="54" spans="1:26" x14ac:dyDescent="0.25">
      <c r="A54" s="8">
        <v>44042</v>
      </c>
    </row>
    <row r="55" spans="1:26" x14ac:dyDescent="0.25">
      <c r="A55" s="8">
        <v>44058</v>
      </c>
    </row>
    <row r="56" spans="1:26" x14ac:dyDescent="0.25">
      <c r="A56" s="8">
        <v>44073</v>
      </c>
    </row>
    <row r="57" spans="1:26" x14ac:dyDescent="0.25">
      <c r="A57" s="8">
        <v>44089</v>
      </c>
    </row>
    <row r="58" spans="1:26" x14ac:dyDescent="0.25">
      <c r="A58" s="8">
        <v>44104</v>
      </c>
    </row>
    <row r="59" spans="1:26" x14ac:dyDescent="0.25">
      <c r="A59" s="8">
        <v>44119</v>
      </c>
    </row>
    <row r="60" spans="1:26" x14ac:dyDescent="0.25">
      <c r="A60" s="8">
        <v>44134</v>
      </c>
    </row>
    <row r="61" spans="1:26" x14ac:dyDescent="0.25">
      <c r="A61" s="8">
        <v>44150</v>
      </c>
    </row>
    <row r="62" spans="1:26" x14ac:dyDescent="0.25">
      <c r="A62" s="8">
        <v>44165</v>
      </c>
    </row>
    <row r="63" spans="1:26" x14ac:dyDescent="0.25">
      <c r="A63" s="8">
        <v>44180</v>
      </c>
      <c r="Z63">
        <v>20000</v>
      </c>
    </row>
    <row r="64" spans="1:26" x14ac:dyDescent="0.25">
      <c r="A64" s="8">
        <v>44195</v>
      </c>
    </row>
    <row r="65" spans="1:32" x14ac:dyDescent="0.25">
      <c r="A65" s="9" t="s">
        <v>7</v>
      </c>
      <c r="B65">
        <v>300000</v>
      </c>
      <c r="C65">
        <v>21210</v>
      </c>
      <c r="D65">
        <v>63740</v>
      </c>
      <c r="E65">
        <v>166927</v>
      </c>
      <c r="F65">
        <v>146733</v>
      </c>
      <c r="G65">
        <v>70667</v>
      </c>
      <c r="H65">
        <v>300000</v>
      </c>
      <c r="I65">
        <v>0</v>
      </c>
      <c r="J65">
        <v>300000</v>
      </c>
      <c r="K65">
        <v>53565</v>
      </c>
      <c r="L65">
        <v>69000</v>
      </c>
      <c r="M65">
        <v>32862</v>
      </c>
      <c r="N65">
        <v>17306</v>
      </c>
      <c r="O65">
        <v>16951</v>
      </c>
      <c r="P65">
        <v>300000</v>
      </c>
      <c r="Q65">
        <v>14989</v>
      </c>
      <c r="R65">
        <v>300000</v>
      </c>
      <c r="S65">
        <v>165040</v>
      </c>
      <c r="T65">
        <v>64169</v>
      </c>
      <c r="U65">
        <v>41454</v>
      </c>
      <c r="V65">
        <v>47198</v>
      </c>
      <c r="W65">
        <v>96957</v>
      </c>
      <c r="X65">
        <v>98208</v>
      </c>
      <c r="Y65">
        <v>0</v>
      </c>
      <c r="Z65">
        <v>26600</v>
      </c>
    </row>
    <row r="66" spans="1:32" x14ac:dyDescent="0.25">
      <c r="A66" s="10" t="s">
        <v>9</v>
      </c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AE66" s="3"/>
    </row>
    <row r="67" spans="1:32" ht="18.75" x14ac:dyDescent="0.3">
      <c r="A67" s="15">
        <f>SUM(B65:AO65)</f>
        <v>2713576</v>
      </c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AE67" s="3"/>
    </row>
    <row r="68" spans="1:32" x14ac:dyDescent="0.25">
      <c r="A68" s="16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AF68" s="3"/>
    </row>
    <row r="69" spans="1:32" x14ac:dyDescent="0.25">
      <c r="A69" s="16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AF69" s="3"/>
    </row>
    <row r="70" spans="1:32" x14ac:dyDescent="0.25">
      <c r="A70" s="16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AF70" s="3"/>
    </row>
    <row r="71" spans="1:32" x14ac:dyDescent="0.25">
      <c r="A71" s="14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AF71" s="3"/>
    </row>
    <row r="72" spans="1:3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AF72" s="3"/>
    </row>
    <row r="73" spans="1:3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AF73" s="3"/>
    </row>
    <row r="74" spans="1:3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AF74" s="3"/>
    </row>
    <row r="75" spans="1:3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AF75" s="3"/>
    </row>
    <row r="76" spans="1:3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AF76" s="3"/>
    </row>
    <row r="77" spans="1:3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AF77" s="3"/>
    </row>
    <row r="78" spans="1:3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AF78" s="3"/>
    </row>
    <row r="79" spans="1:3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AF79" s="3"/>
    </row>
    <row r="80" spans="1:3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AF80" s="3"/>
    </row>
    <row r="81" spans="1:3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AF81" s="3"/>
    </row>
    <row r="82" spans="1:3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AF82" s="3"/>
    </row>
    <row r="83" spans="1:3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AF83" s="3"/>
    </row>
    <row r="84" spans="1:3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AF84" s="3"/>
    </row>
    <row r="85" spans="1:3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AF85" s="3"/>
    </row>
    <row r="86" spans="1:3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AF86" s="3"/>
    </row>
    <row r="87" spans="1:3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AF87" s="3"/>
    </row>
    <row r="88" spans="1:3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AF88" s="3"/>
    </row>
    <row r="89" spans="1:3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AF89" s="3"/>
    </row>
    <row r="90" spans="1:3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AF90" s="3"/>
    </row>
    <row r="91" spans="1:3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AF91" s="3"/>
    </row>
    <row r="92" spans="1:3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AF92" s="3"/>
    </row>
    <row r="93" spans="1:3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AF93" s="3"/>
    </row>
    <row r="94" spans="1:3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AF94" s="3"/>
    </row>
    <row r="95" spans="1:3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AF95" s="3"/>
    </row>
    <row r="96" spans="1:3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AF96" s="3"/>
    </row>
    <row r="97" spans="1:3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AF97" s="3"/>
    </row>
    <row r="98" spans="1:32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AF98" s="3"/>
    </row>
    <row r="99" spans="1:32" x14ac:dyDescent="0.25">
      <c r="A99" s="2" t="s">
        <v>3</v>
      </c>
      <c r="B99" s="2"/>
      <c r="C99">
        <f>COUNTA(B2:AD2)</f>
        <v>25</v>
      </c>
      <c r="E99" s="2" t="s">
        <v>20</v>
      </c>
      <c r="F99" s="2"/>
      <c r="H99" s="2"/>
      <c r="I99" s="2"/>
      <c r="K99">
        <f>COUNTA(A2:A95)</f>
        <v>66</v>
      </c>
      <c r="AF99" s="3"/>
    </row>
    <row r="100" spans="1:32" x14ac:dyDescent="0.25">
      <c r="A100" t="s">
        <v>24</v>
      </c>
      <c r="C100" t="s">
        <v>1</v>
      </c>
      <c r="E100">
        <f>COUNTA(A1:A65)</f>
        <v>65</v>
      </c>
      <c r="AF100" s="3"/>
    </row>
    <row r="101" spans="1:32" x14ac:dyDescent="0.25">
      <c r="A101" t="s">
        <v>25</v>
      </c>
      <c r="C101" t="s">
        <v>5</v>
      </c>
      <c r="AF101" s="3"/>
    </row>
    <row r="102" spans="1:32" x14ac:dyDescent="0.25">
      <c r="A102" t="s">
        <v>26</v>
      </c>
      <c r="C102" t="s">
        <v>2</v>
      </c>
      <c r="AF102" s="3"/>
    </row>
    <row r="103" spans="1:32" x14ac:dyDescent="0.25">
      <c r="A103" t="s">
        <v>27</v>
      </c>
      <c r="AF103" s="3"/>
    </row>
    <row r="104" spans="1:32" x14ac:dyDescent="0.25">
      <c r="A104" t="s">
        <v>28</v>
      </c>
      <c r="AF104" s="3"/>
    </row>
    <row r="105" spans="1:32" x14ac:dyDescent="0.25">
      <c r="A105" t="s">
        <v>29</v>
      </c>
      <c r="AF105" s="3"/>
    </row>
    <row r="106" spans="1:32" x14ac:dyDescent="0.25">
      <c r="A106" t="s">
        <v>30</v>
      </c>
      <c r="AF106" s="3"/>
    </row>
    <row r="107" spans="1:32" x14ac:dyDescent="0.25">
      <c r="A107" t="s">
        <v>31</v>
      </c>
      <c r="AF107" s="3"/>
    </row>
    <row r="108" spans="1:32" x14ac:dyDescent="0.25">
      <c r="A108" t="s">
        <v>32</v>
      </c>
      <c r="AF108" s="3"/>
    </row>
    <row r="109" spans="1:32" x14ac:dyDescent="0.25">
      <c r="A109" t="s">
        <v>23</v>
      </c>
      <c r="AF109" s="3"/>
    </row>
    <row r="110" spans="1:32" x14ac:dyDescent="0.25">
      <c r="A110" t="s">
        <v>33</v>
      </c>
      <c r="AF110" s="3"/>
    </row>
    <row r="111" spans="1:32" x14ac:dyDescent="0.25">
      <c r="A111" t="s">
        <v>34</v>
      </c>
      <c r="AF111" s="3"/>
    </row>
    <row r="112" spans="1:32" x14ac:dyDescent="0.25">
      <c r="A112" t="s">
        <v>35</v>
      </c>
      <c r="AF112" s="3"/>
    </row>
    <row r="113" spans="1:32" x14ac:dyDescent="0.25">
      <c r="A113" t="s">
        <v>36</v>
      </c>
      <c r="AF113" s="3"/>
    </row>
    <row r="114" spans="1:32" x14ac:dyDescent="0.25">
      <c r="A114" t="s">
        <v>37</v>
      </c>
      <c r="AF114" s="3"/>
    </row>
    <row r="115" spans="1:32" x14ac:dyDescent="0.25">
      <c r="A115" t="s">
        <v>38</v>
      </c>
      <c r="AF115" s="3"/>
    </row>
    <row r="116" spans="1:32" x14ac:dyDescent="0.25">
      <c r="A116" t="s">
        <v>39</v>
      </c>
      <c r="AF116" s="3"/>
    </row>
    <row r="117" spans="1:32" x14ac:dyDescent="0.25">
      <c r="A117" t="s">
        <v>40</v>
      </c>
      <c r="AF117" s="3"/>
    </row>
    <row r="118" spans="1:32" x14ac:dyDescent="0.25">
      <c r="A118" t="s">
        <v>8</v>
      </c>
      <c r="AF118" s="3"/>
    </row>
    <row r="119" spans="1:32" x14ac:dyDescent="0.25">
      <c r="A119" t="s">
        <v>0</v>
      </c>
      <c r="AF119" s="3"/>
    </row>
    <row r="120" spans="1:32" x14ac:dyDescent="0.25">
      <c r="A120" t="s">
        <v>41</v>
      </c>
      <c r="AF120" s="3"/>
    </row>
    <row r="121" spans="1:32" x14ac:dyDescent="0.25">
      <c r="A121" t="s">
        <v>42</v>
      </c>
      <c r="AF121" s="4"/>
    </row>
    <row r="122" spans="1:32" x14ac:dyDescent="0.25">
      <c r="A122" t="s">
        <v>43</v>
      </c>
      <c r="AF122" s="4"/>
    </row>
    <row r="123" spans="1:32" x14ac:dyDescent="0.25">
      <c r="A123" t="s">
        <v>47</v>
      </c>
      <c r="AF123" s="4"/>
    </row>
    <row r="124" spans="1:32" x14ac:dyDescent="0.25">
      <c r="A124" t="s">
        <v>48</v>
      </c>
      <c r="AF124" s="4"/>
    </row>
    <row r="125" spans="1:32" x14ac:dyDescent="0.25">
      <c r="AF125" s="4"/>
    </row>
    <row r="126" spans="1:32" x14ac:dyDescent="0.25">
      <c r="AF126" s="4"/>
    </row>
    <row r="127" spans="1:32" x14ac:dyDescent="0.25">
      <c r="AF127" s="4"/>
    </row>
    <row r="128" spans="1:32" x14ac:dyDescent="0.25">
      <c r="AF128" s="4"/>
    </row>
    <row r="129" spans="32:32" x14ac:dyDescent="0.25">
      <c r="AF129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C148"/>
  <sheetViews>
    <sheetView workbookViewId="0">
      <pane ySplit="2" topLeftCell="A3" activePane="bottomLeft" state="frozen"/>
      <selection pane="bottomLeft" activeCell="D102" sqref="D102"/>
    </sheetView>
  </sheetViews>
  <sheetFormatPr defaultRowHeight="15" x14ac:dyDescent="0.25"/>
  <cols>
    <col min="1" max="1" width="13" customWidth="1"/>
    <col min="2" max="2" width="9.28515625" bestFit="1" customWidth="1"/>
    <col min="3" max="3" width="16.5703125" customWidth="1"/>
    <col min="4" max="4" width="14.28515625" customWidth="1"/>
    <col min="5" max="5" width="17.140625" customWidth="1"/>
    <col min="6" max="6" width="16.7109375" customWidth="1"/>
    <col min="7" max="7" width="15.5703125" customWidth="1"/>
    <col min="8" max="8" width="13.5703125" customWidth="1"/>
    <col min="9" max="9" width="14.28515625" bestFit="1" customWidth="1"/>
    <col min="11" max="11" width="9.28515625" bestFit="1" customWidth="1"/>
    <col min="13" max="13" width="14.28515625" bestFit="1" customWidth="1"/>
    <col min="15" max="15" width="9.28515625" bestFit="1" customWidth="1"/>
    <col min="33" max="34" width="8.7109375" customWidth="1"/>
  </cols>
  <sheetData>
    <row r="1" spans="1:169" x14ac:dyDescent="0.25">
      <c r="A1" s="25" t="s">
        <v>44</v>
      </c>
      <c r="B1" s="14"/>
      <c r="C1" s="14"/>
      <c r="D1" s="14"/>
      <c r="E1" s="25" t="s">
        <v>45</v>
      </c>
      <c r="F1" s="14"/>
      <c r="G1" s="14"/>
      <c r="H1" s="14"/>
      <c r="I1" s="25" t="s">
        <v>46</v>
      </c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169" x14ac:dyDescent="0.25">
      <c r="A2" s="14" t="s">
        <v>16</v>
      </c>
      <c r="B2" s="14" t="s">
        <v>17</v>
      </c>
      <c r="C2" s="14" t="s">
        <v>18</v>
      </c>
      <c r="D2" s="14" t="s">
        <v>10</v>
      </c>
      <c r="E2" s="14" t="s">
        <v>16</v>
      </c>
      <c r="F2" s="14" t="s">
        <v>17</v>
      </c>
      <c r="G2" s="14" t="s">
        <v>18</v>
      </c>
      <c r="H2" s="14" t="s">
        <v>10</v>
      </c>
      <c r="I2" s="14" t="s">
        <v>16</v>
      </c>
      <c r="J2" s="14" t="s">
        <v>17</v>
      </c>
      <c r="K2" s="14" t="s">
        <v>18</v>
      </c>
      <c r="L2" s="14" t="s">
        <v>10</v>
      </c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169" x14ac:dyDescent="0.25">
      <c r="A3" s="30">
        <v>43586.259375000001</v>
      </c>
      <c r="B3" s="14">
        <v>10000</v>
      </c>
      <c r="C3" s="31"/>
      <c r="D3" s="14">
        <v>10000</v>
      </c>
      <c r="E3" s="33">
        <v>43587.180451388886</v>
      </c>
      <c r="F3" s="16">
        <v>50000</v>
      </c>
      <c r="G3" s="31"/>
      <c r="H3" s="16">
        <v>50000</v>
      </c>
      <c r="I3" s="30">
        <v>43587.187615740739</v>
      </c>
      <c r="J3" s="14">
        <v>20000</v>
      </c>
      <c r="K3" s="31"/>
      <c r="L3" s="14">
        <v>20000</v>
      </c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</row>
    <row r="4" spans="1:169" x14ac:dyDescent="0.25">
      <c r="A4" s="30">
        <v>43586.259398148148</v>
      </c>
      <c r="B4" s="14">
        <v>0</v>
      </c>
      <c r="C4" s="32">
        <v>300</v>
      </c>
      <c r="D4" s="14">
        <v>10300</v>
      </c>
      <c r="E4" s="33">
        <v>43587.180474537039</v>
      </c>
      <c r="F4" s="16">
        <v>0</v>
      </c>
      <c r="G4" s="31">
        <v>1500</v>
      </c>
      <c r="H4" s="16">
        <v>53000</v>
      </c>
      <c r="I4" s="30">
        <v>43587.195613425924</v>
      </c>
      <c r="J4" s="14"/>
      <c r="K4" s="32">
        <v>600</v>
      </c>
      <c r="L4" s="14">
        <v>21200</v>
      </c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</row>
    <row r="5" spans="1:169" ht="15.75" customHeight="1" x14ac:dyDescent="0.25">
      <c r="A5" s="30">
        <v>43586.259699074071</v>
      </c>
      <c r="B5" s="14">
        <v>0</v>
      </c>
      <c r="C5" s="14"/>
      <c r="D5" s="14">
        <v>10000</v>
      </c>
      <c r="E5" s="33">
        <v>43587.180474537039</v>
      </c>
      <c r="F5" s="16">
        <v>0</v>
      </c>
      <c r="G5" s="31">
        <v>1500</v>
      </c>
      <c r="H5" s="16">
        <v>56000</v>
      </c>
      <c r="I5" s="30">
        <v>43587.206620370373</v>
      </c>
      <c r="J5" s="14"/>
      <c r="K5" s="14"/>
      <c r="L5" s="14">
        <v>20000</v>
      </c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</row>
    <row r="6" spans="1:169" x14ac:dyDescent="0.25">
      <c r="A6" s="30">
        <v>43586.260092592594</v>
      </c>
      <c r="B6" s="14"/>
      <c r="C6" s="32">
        <v>300</v>
      </c>
      <c r="D6" s="14">
        <v>10300</v>
      </c>
      <c r="E6" s="33">
        <v>43587.180486111109</v>
      </c>
      <c r="F6" s="16">
        <v>0</v>
      </c>
      <c r="G6" s="31">
        <v>1500</v>
      </c>
      <c r="H6" s="16">
        <v>59000</v>
      </c>
      <c r="I6" s="30">
        <v>43587.206643518519</v>
      </c>
      <c r="J6" s="14"/>
      <c r="K6" s="31">
        <v>600</v>
      </c>
      <c r="L6" s="14">
        <v>21200</v>
      </c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</row>
    <row r="7" spans="1:169" x14ac:dyDescent="0.25">
      <c r="A7" s="30">
        <v>43586.26017361111</v>
      </c>
      <c r="B7" s="14"/>
      <c r="C7" s="14"/>
      <c r="D7" s="14">
        <v>10000</v>
      </c>
      <c r="E7" s="33">
        <v>43587.180509259262</v>
      </c>
      <c r="F7" s="16">
        <v>0</v>
      </c>
      <c r="G7" s="32">
        <v>1500</v>
      </c>
      <c r="H7" s="16">
        <v>62000</v>
      </c>
      <c r="I7" s="30">
        <v>43587.206666666665</v>
      </c>
      <c r="J7" s="14"/>
      <c r="K7" s="31">
        <v>600</v>
      </c>
      <c r="L7" s="14">
        <v>22400</v>
      </c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</row>
    <row r="8" spans="1:169" x14ac:dyDescent="0.25">
      <c r="A8" s="30">
        <v>43586.260243055556</v>
      </c>
      <c r="B8" s="14">
        <v>-3000</v>
      </c>
      <c r="C8" s="31"/>
      <c r="D8" s="14">
        <v>7000</v>
      </c>
      <c r="E8" s="33">
        <v>43587.180567129632</v>
      </c>
      <c r="F8" s="16">
        <v>0</v>
      </c>
      <c r="G8" s="32"/>
      <c r="H8" s="16">
        <v>60500</v>
      </c>
      <c r="I8" s="30">
        <v>43587.206666666665</v>
      </c>
      <c r="J8" s="14"/>
      <c r="K8" s="32">
        <v>600</v>
      </c>
      <c r="L8" s="14">
        <v>23600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</row>
    <row r="9" spans="1:169" x14ac:dyDescent="0.25">
      <c r="A9" s="33">
        <v>43586.260254629633</v>
      </c>
      <c r="B9" s="16">
        <v>0</v>
      </c>
      <c r="C9" s="32">
        <v>210</v>
      </c>
      <c r="D9" s="16">
        <v>7210</v>
      </c>
      <c r="E9" s="33">
        <v>43587.181747685187</v>
      </c>
      <c r="F9" s="16"/>
      <c r="G9" s="16"/>
      <c r="H9" s="16">
        <v>56000</v>
      </c>
      <c r="I9" s="30">
        <v>43587.206712962965</v>
      </c>
      <c r="J9" s="14"/>
      <c r="K9" s="32"/>
      <c r="L9" s="14">
        <v>21600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</row>
    <row r="10" spans="1:169" x14ac:dyDescent="0.25">
      <c r="A10" s="33">
        <v>43586.260347222225</v>
      </c>
      <c r="B10" s="16">
        <v>0</v>
      </c>
      <c r="C10" s="16"/>
      <c r="D10" s="16">
        <v>7000</v>
      </c>
      <c r="E10" s="33">
        <v>43587.181979166664</v>
      </c>
      <c r="F10" s="16"/>
      <c r="G10" s="32">
        <v>1500</v>
      </c>
      <c r="H10" s="16">
        <v>59000</v>
      </c>
      <c r="I10" s="33">
        <v>43587.206747685188</v>
      </c>
      <c r="J10" s="14"/>
      <c r="K10" s="14"/>
      <c r="L10" s="14">
        <v>20000</v>
      </c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</row>
    <row r="11" spans="1:169" x14ac:dyDescent="0.25">
      <c r="A11" s="33">
        <v>43586.952615740738</v>
      </c>
      <c r="B11" s="16"/>
      <c r="C11" s="32">
        <v>210</v>
      </c>
      <c r="D11" s="16">
        <v>7210</v>
      </c>
      <c r="E11" s="33">
        <v>43587.182164351849</v>
      </c>
      <c r="F11" s="16"/>
      <c r="G11" s="16"/>
      <c r="H11" s="16">
        <v>57500</v>
      </c>
      <c r="I11" s="33">
        <v>43587.206805555557</v>
      </c>
      <c r="J11" s="16">
        <v>-5000</v>
      </c>
      <c r="K11" s="31"/>
      <c r="L11" s="16">
        <v>15000</v>
      </c>
      <c r="M11" s="16"/>
      <c r="N11" s="16"/>
      <c r="O11" s="16"/>
      <c r="P11" s="16"/>
      <c r="Q11" s="16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</row>
    <row r="12" spans="1:169" s="27" customFormat="1" x14ac:dyDescent="0.25">
      <c r="A12" s="33">
        <v>43586.952766203707</v>
      </c>
      <c r="B12" s="16"/>
      <c r="C12" s="16"/>
      <c r="D12" s="16">
        <v>7000</v>
      </c>
      <c r="E12" s="33">
        <v>43587.182233796295</v>
      </c>
      <c r="F12" s="16"/>
      <c r="G12" s="32">
        <v>1500</v>
      </c>
      <c r="H12" s="16">
        <v>60500</v>
      </c>
      <c r="I12" s="33">
        <v>43587.206817129627</v>
      </c>
      <c r="J12" s="16">
        <v>0</v>
      </c>
      <c r="K12" s="31">
        <v>450</v>
      </c>
      <c r="L12" s="16">
        <v>15900</v>
      </c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</row>
    <row r="13" spans="1:169" x14ac:dyDescent="0.25">
      <c r="A13" s="30">
        <v>43586.952800925923</v>
      </c>
      <c r="B13" s="14"/>
      <c r="C13" s="32">
        <v>210</v>
      </c>
      <c r="D13" s="14">
        <v>7210</v>
      </c>
      <c r="E13" s="33">
        <v>43587.182303240741</v>
      </c>
      <c r="F13" s="16"/>
      <c r="G13" s="16"/>
      <c r="H13" s="16">
        <v>59000</v>
      </c>
      <c r="I13" s="30">
        <v>43587.20684027778</v>
      </c>
      <c r="J13" s="14">
        <v>0</v>
      </c>
      <c r="K13" s="32">
        <v>450</v>
      </c>
      <c r="L13" s="14">
        <v>16800</v>
      </c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</row>
    <row r="14" spans="1:169" x14ac:dyDescent="0.25">
      <c r="A14" s="30">
        <v>43586.958854166667</v>
      </c>
      <c r="B14" s="14"/>
      <c r="C14" s="14"/>
      <c r="D14" s="14">
        <v>5770</v>
      </c>
      <c r="E14" s="33">
        <v>43587.186967592592</v>
      </c>
      <c r="F14" s="16"/>
      <c r="G14" s="31">
        <v>1500</v>
      </c>
      <c r="H14" s="16">
        <v>53000</v>
      </c>
      <c r="I14" s="30">
        <v>43587.206863425927</v>
      </c>
      <c r="J14" s="14">
        <v>0</v>
      </c>
      <c r="K14" s="32"/>
      <c r="L14" s="14">
        <v>16000</v>
      </c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</row>
    <row r="15" spans="1:169" x14ac:dyDescent="0.25">
      <c r="A15" s="30">
        <v>43586.958958333336</v>
      </c>
      <c r="B15" s="14"/>
      <c r="C15" s="32">
        <v>210</v>
      </c>
      <c r="D15" s="14">
        <v>5980</v>
      </c>
      <c r="E15" s="33">
        <v>43587.186990740738</v>
      </c>
      <c r="F15" s="16"/>
      <c r="G15" s="31">
        <v>1500</v>
      </c>
      <c r="H15" s="16">
        <v>56000</v>
      </c>
      <c r="I15" s="30">
        <v>43587.206886574073</v>
      </c>
      <c r="J15" s="14">
        <v>0</v>
      </c>
      <c r="K15" s="14"/>
      <c r="L15" s="14">
        <v>15000</v>
      </c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</row>
    <row r="16" spans="1:169" x14ac:dyDescent="0.25">
      <c r="A16" s="30">
        <v>43586.959027777775</v>
      </c>
      <c r="B16" s="14"/>
      <c r="C16" s="14"/>
      <c r="D16" s="14">
        <v>5560</v>
      </c>
      <c r="E16" s="33">
        <v>43587.186990740738</v>
      </c>
      <c r="F16" s="16"/>
      <c r="G16" s="31">
        <v>1500</v>
      </c>
      <c r="H16" s="16">
        <v>59000</v>
      </c>
      <c r="I16" s="30">
        <v>43587.206932870373</v>
      </c>
      <c r="J16" s="14">
        <v>2000</v>
      </c>
      <c r="K16" s="31"/>
      <c r="L16" s="14">
        <v>17000</v>
      </c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</row>
    <row r="17" spans="1:185" x14ac:dyDescent="0.25">
      <c r="A17" s="30">
        <v>43586.961481481485</v>
      </c>
      <c r="B17" s="14"/>
      <c r="C17" s="32">
        <v>210</v>
      </c>
      <c r="D17" s="14">
        <v>7420</v>
      </c>
      <c r="E17" s="33">
        <v>43587.187013888892</v>
      </c>
      <c r="F17" s="16"/>
      <c r="G17" s="32">
        <v>1500</v>
      </c>
      <c r="H17" s="16">
        <v>62000</v>
      </c>
      <c r="I17" s="30">
        <v>43587.206944444442</v>
      </c>
      <c r="J17" s="14">
        <v>0</v>
      </c>
      <c r="K17" s="32">
        <v>510</v>
      </c>
      <c r="L17" s="14">
        <v>18020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</row>
    <row r="18" spans="1:185" x14ac:dyDescent="0.25">
      <c r="A18" s="30">
        <v>43586.961539351854</v>
      </c>
      <c r="B18" s="14"/>
      <c r="C18" s="14"/>
      <c r="D18" s="14">
        <v>7000</v>
      </c>
      <c r="E18" s="33">
        <v>43587.187060185184</v>
      </c>
      <c r="F18" s="16"/>
      <c r="G18" s="32"/>
      <c r="H18" s="16">
        <v>59000</v>
      </c>
      <c r="I18" s="30">
        <v>43587.206979166665</v>
      </c>
      <c r="J18" s="14">
        <v>0</v>
      </c>
      <c r="K18" s="14"/>
      <c r="L18" s="14">
        <v>17000</v>
      </c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</row>
    <row r="19" spans="1:185" x14ac:dyDescent="0.25">
      <c r="A19" s="24">
        <v>43586.961597222224</v>
      </c>
      <c r="B19" s="16"/>
      <c r="C19" s="32">
        <v>210</v>
      </c>
      <c r="D19" s="16">
        <v>7420</v>
      </c>
      <c r="E19" s="33">
        <v>43587.187118055554</v>
      </c>
      <c r="F19" s="16"/>
      <c r="G19" s="16"/>
      <c r="H19" s="16">
        <v>50000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</row>
    <row r="20" spans="1:185" x14ac:dyDescent="0.25">
      <c r="A20" s="19">
        <v>43586.961863425924</v>
      </c>
      <c r="B20" s="16"/>
      <c r="C20" s="16"/>
      <c r="D20" s="22">
        <v>7000</v>
      </c>
      <c r="E20" s="24">
        <v>43587.18712962963</v>
      </c>
      <c r="F20" s="16"/>
      <c r="G20" s="32">
        <v>1500</v>
      </c>
      <c r="H20" s="16">
        <v>53000</v>
      </c>
      <c r="I20" s="16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</row>
    <row r="21" spans="1:185" x14ac:dyDescent="0.25">
      <c r="A21" s="19">
        <v>43586.962094907409</v>
      </c>
      <c r="B21" s="16"/>
      <c r="C21" s="32">
        <v>210</v>
      </c>
      <c r="D21" s="22">
        <v>7420</v>
      </c>
      <c r="E21" s="24">
        <v>43587.187175925923</v>
      </c>
      <c r="F21" s="16"/>
      <c r="G21" s="16"/>
      <c r="H21" s="16">
        <v>50000</v>
      </c>
      <c r="I21" s="16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</row>
    <row r="22" spans="1:185" x14ac:dyDescent="0.25">
      <c r="A22" s="19">
        <v>43586.971516203703</v>
      </c>
      <c r="B22" s="16"/>
      <c r="C22" s="16"/>
      <c r="D22" s="22">
        <v>7000</v>
      </c>
      <c r="E22" s="24">
        <v>43587.187476851854</v>
      </c>
      <c r="F22" s="16">
        <v>-20000</v>
      </c>
      <c r="G22" s="31"/>
      <c r="H22" s="16">
        <v>30000</v>
      </c>
      <c r="I22" s="16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</row>
    <row r="23" spans="1:185" x14ac:dyDescent="0.25">
      <c r="A23" s="19">
        <v>43586.971550925926</v>
      </c>
      <c r="B23" s="16"/>
      <c r="C23" s="31">
        <v>210</v>
      </c>
      <c r="D23" s="22">
        <v>7420</v>
      </c>
      <c r="E23" s="23">
        <v>43587.1875</v>
      </c>
      <c r="F23" s="14">
        <v>0</v>
      </c>
      <c r="G23" s="32">
        <v>900</v>
      </c>
      <c r="H23" s="14">
        <v>31800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</row>
    <row r="24" spans="1:185" x14ac:dyDescent="0.25">
      <c r="A24" s="19">
        <v>43586.971550925926</v>
      </c>
      <c r="B24" s="16"/>
      <c r="C24" s="31">
        <v>210</v>
      </c>
      <c r="D24" s="22">
        <v>7840</v>
      </c>
      <c r="E24" s="23">
        <v>43587.1875462963</v>
      </c>
      <c r="F24" s="14">
        <v>0</v>
      </c>
      <c r="G24" s="14"/>
      <c r="H24" s="14">
        <v>30000</v>
      </c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</row>
    <row r="25" spans="1:185" x14ac:dyDescent="0.25">
      <c r="A25" s="19">
        <v>43586.971562500003</v>
      </c>
      <c r="B25" s="16"/>
      <c r="C25" s="32">
        <v>210</v>
      </c>
      <c r="D25" s="22">
        <v>8260</v>
      </c>
      <c r="E25" s="23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</row>
    <row r="26" spans="1:185" x14ac:dyDescent="0.25">
      <c r="A26" s="19">
        <v>43586.971620370372</v>
      </c>
      <c r="B26" s="16"/>
      <c r="C26" s="16"/>
      <c r="D26" s="22">
        <v>7000</v>
      </c>
      <c r="E26" s="23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</row>
    <row r="27" spans="1:185" x14ac:dyDescent="0.25">
      <c r="A27" s="19">
        <v>43587.008402777778</v>
      </c>
      <c r="B27" s="16"/>
      <c r="C27" s="32">
        <v>210</v>
      </c>
      <c r="D27" s="22">
        <v>7420</v>
      </c>
      <c r="E27" s="23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</row>
    <row r="28" spans="1:185" x14ac:dyDescent="0.25">
      <c r="A28" s="19">
        <v>43587.178761574076</v>
      </c>
      <c r="B28" s="16"/>
      <c r="C28" s="16"/>
      <c r="D28" s="22">
        <v>7000</v>
      </c>
      <c r="E28" s="23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</row>
    <row r="29" spans="1:185" x14ac:dyDescent="0.25">
      <c r="A29" s="19">
        <v>43587.186921296299</v>
      </c>
      <c r="B29" s="16"/>
      <c r="C29" s="31">
        <v>210</v>
      </c>
      <c r="D29" s="22">
        <v>7420</v>
      </c>
      <c r="E29" s="2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</row>
    <row r="30" spans="1:185" x14ac:dyDescent="0.25">
      <c r="A30" s="19">
        <v>43587.187326388892</v>
      </c>
      <c r="B30" s="16">
        <v>-2000</v>
      </c>
      <c r="C30" s="32"/>
      <c r="D30" s="22">
        <v>5420</v>
      </c>
      <c r="E30" s="23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</row>
    <row r="31" spans="1:185" x14ac:dyDescent="0.25">
      <c r="A31" s="19">
        <v>43587.187372685185</v>
      </c>
      <c r="B31" s="16">
        <v>0</v>
      </c>
      <c r="C31" s="16"/>
      <c r="D31" s="22">
        <v>5000</v>
      </c>
      <c r="E31" s="23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</row>
    <row r="32" spans="1:185" x14ac:dyDescent="0.25">
      <c r="A32" s="19"/>
      <c r="B32" s="16"/>
      <c r="C32" s="16"/>
      <c r="D32" s="22"/>
      <c r="E32" s="23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</row>
    <row r="33" spans="1:185" x14ac:dyDescent="0.25">
      <c r="A33" s="19"/>
      <c r="B33" s="16"/>
      <c r="C33" s="16"/>
      <c r="D33" s="22"/>
      <c r="E33" s="23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</row>
    <row r="34" spans="1:185" x14ac:dyDescent="0.25">
      <c r="A34" s="19"/>
      <c r="B34" s="16"/>
      <c r="C34" s="16"/>
      <c r="D34" s="22"/>
      <c r="E34" s="23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</row>
    <row r="35" spans="1:185" x14ac:dyDescent="0.25">
      <c r="A35" s="19"/>
      <c r="B35" s="16"/>
      <c r="C35" s="16"/>
      <c r="D35" s="22"/>
      <c r="E35" s="2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</row>
    <row r="36" spans="1:185" x14ac:dyDescent="0.25">
      <c r="A36" s="19"/>
      <c r="B36" s="16"/>
      <c r="C36" s="16"/>
      <c r="D36" s="22"/>
      <c r="E36" s="23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</row>
    <row r="37" spans="1:185" x14ac:dyDescent="0.25">
      <c r="A37" s="19"/>
      <c r="B37" s="16"/>
      <c r="C37" s="16"/>
      <c r="D37" s="22"/>
      <c r="E37" s="23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</row>
    <row r="38" spans="1:185" x14ac:dyDescent="0.25">
      <c r="A38" s="19"/>
      <c r="B38" s="16"/>
      <c r="C38" s="16"/>
      <c r="D38" s="22"/>
      <c r="E38" s="23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</row>
    <row r="39" spans="1:185" x14ac:dyDescent="0.25">
      <c r="A39" s="19"/>
      <c r="B39" s="16"/>
      <c r="C39" s="16"/>
      <c r="D39" s="22"/>
      <c r="E39" s="23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</row>
    <row r="40" spans="1:185" x14ac:dyDescent="0.25">
      <c r="A40" s="19"/>
      <c r="B40" s="16"/>
      <c r="C40" s="16"/>
      <c r="D40" s="22"/>
      <c r="E40" s="23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</row>
    <row r="41" spans="1:185" x14ac:dyDescent="0.25">
      <c r="A41" s="19"/>
      <c r="B41" s="16"/>
      <c r="C41" s="16"/>
      <c r="D41" s="22"/>
      <c r="E41" s="23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</row>
    <row r="42" spans="1:185" x14ac:dyDescent="0.25">
      <c r="A42" s="19"/>
      <c r="B42" s="16"/>
      <c r="C42" s="16"/>
      <c r="D42" s="22"/>
      <c r="E42" s="23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</row>
    <row r="43" spans="1:185" x14ac:dyDescent="0.25">
      <c r="A43" s="19"/>
      <c r="B43" s="16"/>
      <c r="C43" s="16"/>
      <c r="D43" s="22"/>
      <c r="E43" s="2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</row>
    <row r="44" spans="1:185" x14ac:dyDescent="0.25">
      <c r="A44" s="19"/>
      <c r="B44" s="16"/>
      <c r="C44" s="16"/>
      <c r="D44" s="22"/>
      <c r="E44" s="23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</row>
    <row r="45" spans="1:185" x14ac:dyDescent="0.25">
      <c r="A45" s="19"/>
      <c r="B45" s="16"/>
      <c r="C45" s="16"/>
      <c r="D45" s="22"/>
      <c r="E45" s="23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</row>
    <row r="46" spans="1:185" x14ac:dyDescent="0.25">
      <c r="A46" s="19"/>
      <c r="B46" s="16"/>
      <c r="C46" s="16"/>
      <c r="D46" s="22"/>
      <c r="E46" s="23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</row>
    <row r="47" spans="1:185" x14ac:dyDescent="0.25">
      <c r="A47" s="19"/>
      <c r="B47" s="16"/>
      <c r="C47" s="16"/>
      <c r="D47" s="22"/>
      <c r="E47" s="23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</row>
    <row r="48" spans="1:185" x14ac:dyDescent="0.25">
      <c r="A48" s="19"/>
      <c r="B48" s="16"/>
      <c r="C48" s="16"/>
      <c r="D48" s="22"/>
      <c r="E48" s="23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</row>
    <row r="49" spans="1:185" x14ac:dyDescent="0.25">
      <c r="A49" s="19"/>
      <c r="B49" s="16"/>
      <c r="C49" s="16"/>
      <c r="D49" s="22"/>
      <c r="E49" s="23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</row>
    <row r="50" spans="1:185" x14ac:dyDescent="0.25">
      <c r="A50" s="19"/>
      <c r="B50" s="16"/>
      <c r="C50" s="16"/>
      <c r="D50" s="22"/>
      <c r="E50" s="23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</row>
    <row r="51" spans="1:185" x14ac:dyDescent="0.25">
      <c r="A51" s="19"/>
      <c r="B51" s="16"/>
      <c r="C51" s="16"/>
      <c r="D51" s="22"/>
      <c r="E51" s="23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</row>
    <row r="52" spans="1:185" x14ac:dyDescent="0.25">
      <c r="A52" s="19"/>
      <c r="B52" s="16"/>
      <c r="C52" s="16"/>
      <c r="D52" s="22"/>
      <c r="E52" s="23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</row>
    <row r="53" spans="1:185" x14ac:dyDescent="0.25">
      <c r="A53" s="19"/>
      <c r="B53" s="16"/>
      <c r="C53" s="16"/>
      <c r="D53" s="22"/>
      <c r="E53" s="2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</row>
    <row r="54" spans="1:185" x14ac:dyDescent="0.25">
      <c r="A54" s="19"/>
      <c r="B54" s="16"/>
      <c r="C54" s="16"/>
      <c r="D54" s="22"/>
      <c r="E54" s="23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</row>
    <row r="55" spans="1:185" x14ac:dyDescent="0.25">
      <c r="A55" s="19"/>
      <c r="B55" s="16"/>
      <c r="C55" s="16"/>
      <c r="D55" s="22"/>
      <c r="E55" s="23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</row>
    <row r="56" spans="1:185" x14ac:dyDescent="0.25">
      <c r="A56" s="19"/>
      <c r="B56" s="16"/>
      <c r="C56" s="16"/>
      <c r="D56" s="22"/>
      <c r="E56" s="23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</row>
    <row r="57" spans="1:185" x14ac:dyDescent="0.25">
      <c r="A57" s="19"/>
      <c r="B57" s="16"/>
      <c r="C57" s="16"/>
      <c r="D57" s="22"/>
      <c r="E57" s="23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</row>
    <row r="58" spans="1:185" x14ac:dyDescent="0.25">
      <c r="A58" s="19"/>
      <c r="B58" s="16"/>
      <c r="C58" s="16"/>
      <c r="D58" s="22"/>
      <c r="E58" s="23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</row>
    <row r="59" spans="1:185" x14ac:dyDescent="0.25">
      <c r="A59" s="19"/>
      <c r="B59" s="16"/>
      <c r="C59" s="16"/>
      <c r="D59" s="22"/>
      <c r="E59" s="23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</row>
    <row r="60" spans="1:185" x14ac:dyDescent="0.25">
      <c r="A60" s="19"/>
      <c r="B60" s="16"/>
      <c r="C60" s="16"/>
      <c r="D60" s="22"/>
      <c r="E60" s="23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</row>
    <row r="61" spans="1:185" x14ac:dyDescent="0.25">
      <c r="A61" s="19"/>
      <c r="B61" s="16"/>
      <c r="C61" s="16"/>
      <c r="D61" s="22"/>
      <c r="E61" s="23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</row>
    <row r="62" spans="1:185" x14ac:dyDescent="0.25">
      <c r="A62" s="19"/>
      <c r="B62" s="16"/>
      <c r="C62" s="16"/>
      <c r="D62" s="22"/>
      <c r="E62" s="23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</row>
    <row r="63" spans="1:185" x14ac:dyDescent="0.25">
      <c r="A63" s="19"/>
      <c r="B63" s="16"/>
      <c r="C63" s="16"/>
      <c r="D63" s="22"/>
      <c r="E63" s="2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</row>
    <row r="64" spans="1:185" x14ac:dyDescent="0.25">
      <c r="A64" s="18"/>
      <c r="B64" s="16"/>
      <c r="C64" s="16"/>
      <c r="D64" s="22"/>
      <c r="E64" s="2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  <c r="EW64" s="14"/>
      <c r="EX64" s="14"/>
      <c r="EY64" s="14"/>
      <c r="EZ64" s="14"/>
      <c r="FA64" s="14"/>
      <c r="FB64" s="14"/>
      <c r="FC64" s="14"/>
      <c r="FD64" s="14"/>
      <c r="FE64" s="14"/>
      <c r="FF64" s="14"/>
      <c r="FG64" s="14"/>
      <c r="FH64" s="14"/>
      <c r="FI64" s="14"/>
      <c r="FJ64" s="14"/>
      <c r="FK64" s="14"/>
      <c r="FL64" s="14"/>
      <c r="FM64" s="14"/>
      <c r="FN64" s="14"/>
      <c r="FO64" s="14"/>
      <c r="FP64" s="14"/>
      <c r="FQ64" s="14"/>
      <c r="FR64" s="14"/>
      <c r="FS64" s="14"/>
      <c r="FT64" s="14"/>
      <c r="FU64" s="14"/>
      <c r="FV64" s="14"/>
      <c r="FW64" s="14"/>
      <c r="FX64" s="14"/>
      <c r="FY64" s="14"/>
      <c r="FZ64" s="14"/>
      <c r="GA64" s="14"/>
      <c r="GB64" s="14"/>
      <c r="GC64" s="14"/>
    </row>
    <row r="65" spans="2:185" x14ac:dyDescent="0.25">
      <c r="B65" s="16"/>
      <c r="C65" s="5"/>
      <c r="D65" s="22"/>
      <c r="E65" s="2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14"/>
      <c r="EZ65" s="14"/>
      <c r="FA65" s="14"/>
      <c r="FB65" s="14"/>
      <c r="FC65" s="14"/>
      <c r="FD65" s="14"/>
      <c r="FE65" s="14"/>
      <c r="FF65" s="14"/>
      <c r="FG65" s="14"/>
      <c r="FH65" s="14"/>
      <c r="FI65" s="14"/>
      <c r="FJ65" s="14"/>
      <c r="FK65" s="14"/>
      <c r="FL65" s="14"/>
      <c r="FM65" s="14"/>
      <c r="FN65" s="14"/>
      <c r="FO65" s="14"/>
      <c r="FP65" s="14"/>
      <c r="FQ65" s="14"/>
      <c r="FR65" s="14"/>
      <c r="FS65" s="14"/>
      <c r="FT65" s="14"/>
      <c r="FU65" s="14"/>
      <c r="FV65" s="14"/>
      <c r="FW65" s="14"/>
      <c r="FX65" s="14"/>
      <c r="FY65" s="14"/>
      <c r="FZ65" s="14"/>
      <c r="GA65" s="14"/>
      <c r="GB65" s="14"/>
      <c r="GC65" s="14"/>
    </row>
    <row r="66" spans="2:185" x14ac:dyDescent="0.25">
      <c r="B66" s="5"/>
      <c r="C66" s="5"/>
      <c r="D66" s="5"/>
      <c r="E66" s="2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14"/>
      <c r="EZ66" s="14"/>
      <c r="FA66" s="14"/>
      <c r="FB66" s="14"/>
      <c r="FC66" s="14"/>
      <c r="FD66" s="14"/>
      <c r="FE66" s="14"/>
      <c r="FF66" s="14"/>
      <c r="FG66" s="14"/>
      <c r="FH66" s="14"/>
      <c r="FI66" s="14"/>
      <c r="FJ66" s="14"/>
      <c r="FK66" s="14"/>
      <c r="FL66" s="14"/>
      <c r="FM66" s="14"/>
      <c r="FN66" s="14"/>
      <c r="FO66" s="14"/>
      <c r="FP66" s="14"/>
      <c r="FQ66" s="14"/>
      <c r="FR66" s="14"/>
      <c r="FS66" s="14"/>
      <c r="FT66" s="14"/>
      <c r="FU66" s="14"/>
      <c r="FV66" s="14"/>
      <c r="FW66" s="14"/>
      <c r="FX66" s="14"/>
      <c r="FY66" s="14"/>
      <c r="FZ66" s="14"/>
      <c r="GA66" s="14"/>
      <c r="GB66" s="14"/>
      <c r="GC66" s="14"/>
    </row>
    <row r="67" spans="2:185" x14ac:dyDescent="0.25">
      <c r="B67" s="5"/>
      <c r="C67" s="5"/>
      <c r="D67" s="5"/>
      <c r="E67" s="23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14"/>
      <c r="EZ67" s="14"/>
      <c r="FA67" s="14"/>
      <c r="FB67" s="14"/>
      <c r="FC67" s="14"/>
      <c r="FD67" s="14"/>
      <c r="FE67" s="14"/>
      <c r="FF67" s="14"/>
      <c r="FG67" s="14"/>
      <c r="FH67" s="14"/>
      <c r="FI67" s="14"/>
      <c r="FJ67" s="14"/>
      <c r="FK67" s="14"/>
      <c r="FL67" s="14"/>
      <c r="FM67" s="14"/>
      <c r="FN67" s="14"/>
      <c r="FO67" s="14"/>
      <c r="FP67" s="14"/>
      <c r="FQ67" s="14"/>
      <c r="FR67" s="14"/>
      <c r="FS67" s="14"/>
      <c r="FT67" s="14"/>
      <c r="FU67" s="14"/>
      <c r="FV67" s="14"/>
      <c r="FW67" s="14"/>
      <c r="FX67" s="14"/>
      <c r="FY67" s="14"/>
      <c r="FZ67" s="14"/>
      <c r="GA67" s="14"/>
      <c r="GB67" s="14"/>
      <c r="GC67" s="14"/>
    </row>
    <row r="68" spans="2:185" x14ac:dyDescent="0.25">
      <c r="B68" s="5"/>
      <c r="C68" s="5"/>
      <c r="D68" s="5"/>
      <c r="E68" s="23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14"/>
      <c r="EZ68" s="14"/>
      <c r="FA68" s="14"/>
      <c r="FB68" s="14"/>
      <c r="FC68" s="14"/>
      <c r="FD68" s="14"/>
      <c r="FE68" s="14"/>
      <c r="FF68" s="14"/>
      <c r="FG68" s="14"/>
      <c r="FH68" s="14"/>
      <c r="FI68" s="14"/>
      <c r="FJ68" s="14"/>
      <c r="FK68" s="14"/>
      <c r="FL68" s="14"/>
      <c r="FM68" s="14"/>
      <c r="FN68" s="14"/>
      <c r="FO68" s="14"/>
      <c r="FP68" s="14"/>
      <c r="FQ68" s="14"/>
      <c r="FR68" s="14"/>
      <c r="FS68" s="14"/>
      <c r="FT68" s="14"/>
      <c r="FU68" s="14"/>
      <c r="FV68" s="14"/>
      <c r="FW68" s="14"/>
      <c r="FX68" s="14"/>
      <c r="FY68" s="14"/>
      <c r="FZ68" s="14"/>
      <c r="GA68" s="14"/>
      <c r="GB68" s="14"/>
      <c r="GC68" s="14"/>
    </row>
    <row r="69" spans="2:185" x14ac:dyDescent="0.25">
      <c r="B69" s="5"/>
      <c r="C69" s="5"/>
      <c r="D69" s="5"/>
      <c r="E69" s="23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14"/>
      <c r="FA69" s="14"/>
      <c r="FB69" s="14"/>
      <c r="FC69" s="14"/>
      <c r="FD69" s="14"/>
      <c r="FE69" s="14"/>
      <c r="FF69" s="14"/>
      <c r="FG69" s="14"/>
      <c r="FH69" s="14"/>
      <c r="FI69" s="14"/>
      <c r="FJ69" s="14"/>
      <c r="FK69" s="14"/>
      <c r="FL69" s="14"/>
      <c r="FM69" s="14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14"/>
      <c r="FY69" s="14"/>
      <c r="FZ69" s="14"/>
      <c r="GA69" s="14"/>
      <c r="GB69" s="14"/>
      <c r="GC69" s="14"/>
    </row>
    <row r="70" spans="2:185" x14ac:dyDescent="0.25">
      <c r="B70" s="5"/>
      <c r="D70" s="5"/>
      <c r="E70" s="23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14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14"/>
      <c r="FM70" s="14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14"/>
      <c r="FY70" s="14"/>
      <c r="FZ70" s="14"/>
      <c r="GA70" s="14"/>
      <c r="GB70" s="14"/>
      <c r="GC70" s="14"/>
    </row>
    <row r="71" spans="2:185" x14ac:dyDescent="0.25">
      <c r="E71" s="23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</row>
    <row r="72" spans="2:185" x14ac:dyDescent="0.25">
      <c r="E72" s="23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</row>
    <row r="73" spans="2:185" x14ac:dyDescent="0.25">
      <c r="E73" s="23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4"/>
      <c r="FA73" s="14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14"/>
      <c r="FM73" s="14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4"/>
      <c r="FY73" s="14"/>
      <c r="FZ73" s="14"/>
      <c r="GA73" s="14"/>
      <c r="GB73" s="14"/>
      <c r="GC73" s="14"/>
    </row>
    <row r="74" spans="2:185" x14ac:dyDescent="0.25">
      <c r="E74" s="23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4"/>
      <c r="FA74" s="14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14"/>
      <c r="FM74" s="14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4"/>
      <c r="FY74" s="14"/>
      <c r="FZ74" s="14"/>
      <c r="GA74" s="14"/>
      <c r="GB74" s="14"/>
      <c r="GC74" s="14"/>
    </row>
    <row r="75" spans="2:185" x14ac:dyDescent="0.25">
      <c r="E75" s="23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14"/>
      <c r="EZ75" s="14"/>
      <c r="FA75" s="14"/>
      <c r="FB75" s="14"/>
      <c r="FC75" s="14"/>
      <c r="FD75" s="14"/>
      <c r="FE75" s="14"/>
      <c r="FF75" s="14"/>
      <c r="FG75" s="14"/>
      <c r="FH75" s="14"/>
      <c r="FI75" s="14"/>
      <c r="FJ75" s="14"/>
      <c r="FK75" s="14"/>
      <c r="FL75" s="14"/>
      <c r="FM75" s="14"/>
      <c r="FN75" s="14"/>
      <c r="FO75" s="14"/>
      <c r="FP75" s="14"/>
      <c r="FQ75" s="14"/>
      <c r="FR75" s="14"/>
      <c r="FS75" s="14"/>
      <c r="FT75" s="14"/>
      <c r="FU75" s="14"/>
      <c r="FV75" s="14"/>
      <c r="FW75" s="14"/>
      <c r="FX75" s="14"/>
      <c r="FY75" s="14"/>
      <c r="FZ75" s="14"/>
      <c r="GA75" s="14"/>
      <c r="GB75" s="14"/>
      <c r="GC75" s="14"/>
    </row>
    <row r="76" spans="2:185" x14ac:dyDescent="0.25">
      <c r="E76" s="23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  <c r="EW76" s="14"/>
      <c r="EX76" s="14"/>
      <c r="EY76" s="14"/>
      <c r="EZ76" s="14"/>
      <c r="FA76" s="14"/>
      <c r="FB76" s="14"/>
      <c r="FC76" s="14"/>
      <c r="FD76" s="14"/>
      <c r="FE76" s="14"/>
      <c r="FF76" s="14"/>
      <c r="FG76" s="14"/>
      <c r="FH76" s="14"/>
      <c r="FI76" s="14"/>
      <c r="FJ76" s="14"/>
      <c r="FK76" s="14"/>
      <c r="FL76" s="14"/>
      <c r="FM76" s="14"/>
      <c r="FN76" s="14"/>
      <c r="FO76" s="14"/>
      <c r="FP76" s="14"/>
      <c r="FQ76" s="14"/>
      <c r="FR76" s="14"/>
      <c r="FS76" s="14"/>
      <c r="FT76" s="14"/>
      <c r="FU76" s="14"/>
      <c r="FV76" s="14"/>
      <c r="FW76" s="14"/>
      <c r="FX76" s="14"/>
      <c r="FY76" s="14"/>
      <c r="FZ76" s="14"/>
      <c r="GA76" s="14"/>
      <c r="GB76" s="14"/>
      <c r="GC76" s="14"/>
    </row>
    <row r="77" spans="2:185" x14ac:dyDescent="0.25">
      <c r="E77" s="23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4"/>
      <c r="EZ77" s="14"/>
      <c r="FA77" s="14"/>
      <c r="FB77" s="14"/>
      <c r="FC77" s="14"/>
      <c r="FD77" s="14"/>
      <c r="FE77" s="14"/>
      <c r="FF77" s="14"/>
      <c r="FG77" s="14"/>
      <c r="FH77" s="14"/>
      <c r="FI77" s="14"/>
      <c r="FJ77" s="14"/>
      <c r="FK77" s="14"/>
      <c r="FL77" s="14"/>
      <c r="FM77" s="14"/>
      <c r="FN77" s="14"/>
      <c r="FO77" s="14"/>
      <c r="FP77" s="14"/>
      <c r="FQ77" s="14"/>
      <c r="FR77" s="14"/>
      <c r="FS77" s="14"/>
      <c r="FT77" s="14"/>
      <c r="FU77" s="14"/>
      <c r="FV77" s="14"/>
      <c r="FW77" s="14"/>
      <c r="FX77" s="14"/>
      <c r="FY77" s="14"/>
      <c r="FZ77" s="14"/>
      <c r="GA77" s="14"/>
      <c r="GB77" s="14"/>
      <c r="GC77" s="14"/>
    </row>
    <row r="78" spans="2:185" x14ac:dyDescent="0.25">
      <c r="E78" s="23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14"/>
      <c r="EZ78" s="14"/>
      <c r="FA78" s="14"/>
      <c r="FB78" s="14"/>
      <c r="FC78" s="14"/>
      <c r="FD78" s="14"/>
      <c r="FE78" s="14"/>
      <c r="FF78" s="14"/>
      <c r="FG78" s="14"/>
      <c r="FH78" s="14"/>
      <c r="FI78" s="14"/>
      <c r="FJ78" s="14"/>
      <c r="FK78" s="14"/>
      <c r="FL78" s="14"/>
      <c r="FM78" s="14"/>
      <c r="FN78" s="14"/>
      <c r="FO78" s="14"/>
      <c r="FP78" s="14"/>
      <c r="FQ78" s="14"/>
      <c r="FR78" s="14"/>
      <c r="FS78" s="14"/>
      <c r="FT78" s="14"/>
      <c r="FU78" s="14"/>
      <c r="FV78" s="14"/>
      <c r="FW78" s="14"/>
      <c r="FX78" s="14"/>
      <c r="FY78" s="14"/>
      <c r="FZ78" s="14"/>
      <c r="GA78" s="14"/>
      <c r="GB78" s="14"/>
      <c r="GC78" s="14"/>
    </row>
    <row r="79" spans="2:185" x14ac:dyDescent="0.25">
      <c r="E79" s="23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</row>
    <row r="80" spans="2:185" x14ac:dyDescent="0.25">
      <c r="E80" s="23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</row>
    <row r="81" spans="5:185" x14ac:dyDescent="0.25">
      <c r="E81" s="23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4"/>
      <c r="FA81" s="14"/>
      <c r="FB81" s="14"/>
      <c r="FC81" s="14"/>
      <c r="FD81" s="14"/>
      <c r="FE81" s="14"/>
      <c r="FF81" s="14"/>
      <c r="FG81" s="14"/>
      <c r="FH81" s="14"/>
      <c r="FI81" s="14"/>
      <c r="FJ81" s="14"/>
      <c r="FK81" s="14"/>
      <c r="FL81" s="14"/>
      <c r="FM81" s="14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4"/>
      <c r="FY81" s="14"/>
      <c r="FZ81" s="14"/>
      <c r="GA81" s="14"/>
      <c r="GB81" s="14"/>
      <c r="GC81" s="14"/>
    </row>
    <row r="82" spans="5:185" x14ac:dyDescent="0.25">
      <c r="E82" s="23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4"/>
      <c r="FA82" s="14"/>
      <c r="FB82" s="14"/>
      <c r="FC82" s="14"/>
      <c r="FD82" s="14"/>
      <c r="FE82" s="14"/>
      <c r="FF82" s="14"/>
      <c r="FG82" s="14"/>
      <c r="FH82" s="14"/>
      <c r="FI82" s="14"/>
      <c r="FJ82" s="14"/>
      <c r="FK82" s="14"/>
      <c r="FL82" s="14"/>
      <c r="FM82" s="14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4"/>
      <c r="FY82" s="14"/>
      <c r="FZ82" s="14"/>
      <c r="GA82" s="14"/>
      <c r="GB82" s="14"/>
      <c r="GC82" s="14"/>
    </row>
    <row r="83" spans="5:185" x14ac:dyDescent="0.25">
      <c r="E83" s="23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4"/>
      <c r="FA83" s="14"/>
      <c r="FB83" s="14"/>
      <c r="FC83" s="14"/>
      <c r="FD83" s="14"/>
      <c r="FE83" s="14"/>
      <c r="FF83" s="14"/>
      <c r="FG83" s="14"/>
      <c r="FH83" s="14"/>
      <c r="FI83" s="14"/>
      <c r="FJ83" s="14"/>
      <c r="FK83" s="14"/>
      <c r="FL83" s="14"/>
      <c r="FM83" s="14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4"/>
      <c r="FY83" s="14"/>
      <c r="FZ83" s="14"/>
      <c r="GA83" s="14"/>
      <c r="GB83" s="14"/>
      <c r="GC83" s="14"/>
    </row>
    <row r="84" spans="5:185" x14ac:dyDescent="0.25">
      <c r="E84" s="23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  <c r="EW84" s="14"/>
      <c r="EX84" s="14"/>
      <c r="EY84" s="14"/>
      <c r="EZ84" s="14"/>
      <c r="FA84" s="14"/>
      <c r="FB84" s="14"/>
      <c r="FC84" s="14"/>
      <c r="FD84" s="14"/>
      <c r="FE84" s="14"/>
      <c r="FF84" s="14"/>
      <c r="FG84" s="14"/>
      <c r="FH84" s="14"/>
      <c r="FI84" s="14"/>
      <c r="FJ84" s="14"/>
      <c r="FK84" s="14"/>
      <c r="FL84" s="14"/>
      <c r="FM84" s="14"/>
      <c r="FN84" s="14"/>
      <c r="FO84" s="14"/>
      <c r="FP84" s="14"/>
      <c r="FQ84" s="14"/>
      <c r="FR84" s="14"/>
      <c r="FS84" s="14"/>
      <c r="FT84" s="14"/>
      <c r="FU84" s="14"/>
      <c r="FV84" s="14"/>
      <c r="FW84" s="14"/>
      <c r="FX84" s="14"/>
      <c r="FY84" s="14"/>
      <c r="FZ84" s="14"/>
      <c r="GA84" s="14"/>
      <c r="GB84" s="14"/>
      <c r="GC84" s="14"/>
    </row>
    <row r="85" spans="5:185" x14ac:dyDescent="0.25">
      <c r="E85" s="23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</row>
    <row r="86" spans="5:185" x14ac:dyDescent="0.25">
      <c r="E86" s="23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</row>
    <row r="87" spans="5:185" x14ac:dyDescent="0.25">
      <c r="E87" s="23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  <c r="EW87" s="14"/>
      <c r="EX87" s="14"/>
      <c r="EY87" s="14"/>
      <c r="EZ87" s="14"/>
      <c r="FA87" s="14"/>
      <c r="FB87" s="14"/>
      <c r="FC87" s="14"/>
      <c r="FD87" s="14"/>
      <c r="FE87" s="14"/>
      <c r="FF87" s="14"/>
      <c r="FG87" s="14"/>
      <c r="FH87" s="14"/>
      <c r="FI87" s="14"/>
      <c r="FJ87" s="14"/>
      <c r="FK87" s="14"/>
      <c r="FL87" s="14"/>
      <c r="FM87" s="14"/>
      <c r="FN87" s="14"/>
      <c r="FO87" s="14"/>
      <c r="FP87" s="14"/>
      <c r="FQ87" s="14"/>
      <c r="FR87" s="14"/>
      <c r="FS87" s="14"/>
      <c r="FT87" s="14"/>
      <c r="FU87" s="14"/>
      <c r="FV87" s="14"/>
      <c r="FW87" s="14"/>
      <c r="FX87" s="14"/>
      <c r="FY87" s="14"/>
      <c r="FZ87" s="14"/>
      <c r="GA87" s="14"/>
      <c r="GB87" s="14"/>
      <c r="GC87" s="14"/>
    </row>
    <row r="88" spans="5:185" x14ac:dyDescent="0.25">
      <c r="E88" s="23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  <c r="EW88" s="14"/>
      <c r="EX88" s="14"/>
      <c r="EY88" s="14"/>
      <c r="EZ88" s="14"/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14"/>
      <c r="FM88" s="14"/>
      <c r="FN88" s="14"/>
      <c r="FO88" s="14"/>
      <c r="FP88" s="14"/>
      <c r="FQ88" s="14"/>
      <c r="FR88" s="14"/>
      <c r="FS88" s="14"/>
      <c r="FT88" s="14"/>
      <c r="FU88" s="14"/>
      <c r="FV88" s="14"/>
      <c r="FW88" s="14"/>
      <c r="FX88" s="14"/>
      <c r="FY88" s="14"/>
      <c r="FZ88" s="14"/>
      <c r="GA88" s="14"/>
      <c r="GB88" s="14"/>
      <c r="GC88" s="14"/>
    </row>
    <row r="89" spans="5:185" x14ac:dyDescent="0.25">
      <c r="E89" s="23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</row>
    <row r="90" spans="5:185" x14ac:dyDescent="0.25">
      <c r="E90" s="23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  <c r="EW90" s="14"/>
      <c r="EX90" s="14"/>
      <c r="EY90" s="14"/>
      <c r="EZ90" s="14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14"/>
      <c r="FM90" s="14"/>
      <c r="FN90" s="14"/>
      <c r="FO90" s="14"/>
      <c r="FP90" s="14"/>
      <c r="FQ90" s="14"/>
      <c r="FR90" s="14"/>
      <c r="FS90" s="14"/>
      <c r="FT90" s="14"/>
      <c r="FU90" s="14"/>
      <c r="FV90" s="14"/>
      <c r="FW90" s="14"/>
      <c r="FX90" s="14"/>
      <c r="FY90" s="14"/>
      <c r="FZ90" s="14"/>
      <c r="GA90" s="14"/>
      <c r="GB90" s="14"/>
      <c r="GC90" s="14"/>
    </row>
    <row r="91" spans="5:185" x14ac:dyDescent="0.25">
      <c r="E91" s="23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</row>
    <row r="92" spans="5:185" x14ac:dyDescent="0.25">
      <c r="E92" s="23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</row>
    <row r="93" spans="5:185" x14ac:dyDescent="0.25">
      <c r="E93" s="23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  <c r="EW93" s="14"/>
      <c r="EX93" s="14"/>
      <c r="EY93" s="14"/>
      <c r="EZ93" s="14"/>
      <c r="FA93" s="14"/>
      <c r="FB93" s="14"/>
      <c r="FC93" s="14"/>
      <c r="FD93" s="14"/>
      <c r="FE93" s="14"/>
      <c r="FF93" s="14"/>
      <c r="FG93" s="14"/>
      <c r="FH93" s="14"/>
      <c r="FI93" s="14"/>
      <c r="FJ93" s="14"/>
      <c r="FK93" s="14"/>
      <c r="FL93" s="14"/>
      <c r="FM93" s="14"/>
      <c r="FN93" s="14"/>
      <c r="FO93" s="14"/>
      <c r="FP93" s="14"/>
      <c r="FQ93" s="14"/>
      <c r="FR93" s="14"/>
      <c r="FS93" s="14"/>
      <c r="FT93" s="14"/>
      <c r="FU93" s="14"/>
      <c r="FV93" s="14"/>
      <c r="FW93" s="14"/>
      <c r="FX93" s="14"/>
      <c r="FY93" s="14"/>
      <c r="FZ93" s="14"/>
      <c r="GA93" s="14"/>
      <c r="GB93" s="14"/>
      <c r="GC93" s="14"/>
    </row>
    <row r="94" spans="5:185" x14ac:dyDescent="0.25">
      <c r="E94" s="23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</row>
    <row r="95" spans="5:185" x14ac:dyDescent="0.25">
      <c r="E95" s="23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  <c r="EW95" s="14"/>
      <c r="EX95" s="14"/>
      <c r="EY95" s="14"/>
      <c r="EZ95" s="14"/>
      <c r="FA95" s="14"/>
      <c r="FB95" s="14"/>
      <c r="FC95" s="14"/>
      <c r="FD95" s="14"/>
      <c r="FE95" s="14"/>
      <c r="FF95" s="14"/>
      <c r="FG95" s="14"/>
      <c r="FH95" s="14"/>
      <c r="FI95" s="14"/>
      <c r="FJ95" s="14"/>
      <c r="FK95" s="14"/>
      <c r="FL95" s="14"/>
      <c r="FM95" s="14"/>
      <c r="FN95" s="14"/>
      <c r="FO95" s="14"/>
      <c r="FP95" s="14"/>
      <c r="FQ95" s="14"/>
      <c r="FR95" s="14"/>
      <c r="FS95" s="14"/>
      <c r="FT95" s="14"/>
      <c r="FU95" s="14"/>
      <c r="FV95" s="14"/>
      <c r="FW95" s="14"/>
      <c r="FX95" s="14"/>
      <c r="FY95" s="14"/>
      <c r="FZ95" s="14"/>
      <c r="GA95" s="14"/>
      <c r="GB95" s="14"/>
      <c r="GC95" s="14"/>
    </row>
    <row r="96" spans="5:185" x14ac:dyDescent="0.25">
      <c r="E96" s="21"/>
    </row>
    <row r="97" spans="1:8" x14ac:dyDescent="0.25">
      <c r="E97" s="21"/>
    </row>
    <row r="99" spans="1:8" x14ac:dyDescent="0.25">
      <c r="A99" s="20" t="s">
        <v>13</v>
      </c>
      <c r="B99" s="20" t="s">
        <v>11</v>
      </c>
      <c r="C99" s="20" t="s">
        <v>12</v>
      </c>
      <c r="D99" s="20" t="s">
        <v>10</v>
      </c>
      <c r="E99" s="20" t="s">
        <v>14</v>
      </c>
      <c r="F99" s="20" t="s">
        <v>15</v>
      </c>
      <c r="G99" s="20" t="s">
        <v>21</v>
      </c>
      <c r="H99" s="20" t="s">
        <v>19</v>
      </c>
    </row>
    <row r="100" spans="1:8" x14ac:dyDescent="0.25">
      <c r="A100" t="s">
        <v>44</v>
      </c>
      <c r="B100">
        <f>COUNTA(A1:AM1)</f>
        <v>3</v>
      </c>
      <c r="C100">
        <f>COUNTA(A1:A95)</f>
        <v>31</v>
      </c>
      <c r="D100">
        <f>SUM(E100,H100)</f>
        <v>5000</v>
      </c>
      <c r="E100">
        <f>SUM(B3:B95)</f>
        <v>5000</v>
      </c>
      <c r="F100">
        <f>SUM(C3:C95)</f>
        <v>3120</v>
      </c>
      <c r="G100">
        <v>3120</v>
      </c>
      <c r="H100">
        <f>F100-G100</f>
        <v>0</v>
      </c>
    </row>
    <row r="101" spans="1:8" x14ac:dyDescent="0.25">
      <c r="A101" t="s">
        <v>45</v>
      </c>
      <c r="C101">
        <f>COUNTA(E1:E95)</f>
        <v>24</v>
      </c>
      <c r="D101">
        <f t="shared" ref="D101:D148" si="0">SUM(E101,H101)</f>
        <v>30000</v>
      </c>
      <c r="E101">
        <f>SUM(F3:F95)</f>
        <v>30000</v>
      </c>
      <c r="F101">
        <f>SUM(G3:G95)</f>
        <v>17400</v>
      </c>
      <c r="G101">
        <v>17400</v>
      </c>
      <c r="H101">
        <f t="shared" ref="H101:H148" si="1">F101-G101</f>
        <v>0</v>
      </c>
    </row>
    <row r="102" spans="1:8" x14ac:dyDescent="0.25">
      <c r="A102" t="s">
        <v>46</v>
      </c>
      <c r="C102">
        <f>COUNTA(I1:I95)</f>
        <v>18</v>
      </c>
      <c r="D102">
        <f t="shared" si="0"/>
        <v>17000</v>
      </c>
      <c r="E102">
        <f>SUM(J3:J95)</f>
        <v>17000</v>
      </c>
      <c r="F102">
        <f>SUM(K3:K95)</f>
        <v>3810</v>
      </c>
      <c r="G102">
        <v>3810</v>
      </c>
      <c r="H102">
        <f t="shared" si="1"/>
        <v>0</v>
      </c>
    </row>
    <row r="103" spans="1:8" x14ac:dyDescent="0.25">
      <c r="C103">
        <f>COUNTA(M1:M95)</f>
        <v>0</v>
      </c>
      <c r="D103">
        <f t="shared" si="0"/>
        <v>0</v>
      </c>
      <c r="E103">
        <f>SUM(N3:N95)</f>
        <v>0</v>
      </c>
      <c r="F103">
        <f>SUM(O3:O95)</f>
        <v>0</v>
      </c>
      <c r="H103">
        <f t="shared" si="1"/>
        <v>0</v>
      </c>
    </row>
    <row r="104" spans="1:8" x14ac:dyDescent="0.25">
      <c r="C104">
        <f>COUNTA(Q1:Q95)</f>
        <v>0</v>
      </c>
      <c r="D104">
        <f t="shared" si="0"/>
        <v>0</v>
      </c>
      <c r="E104">
        <f>SUM(R3:R95)</f>
        <v>0</v>
      </c>
      <c r="F104">
        <f>SUM(S3:S95)</f>
        <v>0</v>
      </c>
      <c r="H104">
        <f t="shared" si="1"/>
        <v>0</v>
      </c>
    </row>
    <row r="105" spans="1:8" x14ac:dyDescent="0.25">
      <c r="C105">
        <f>COUNTA(U1:U95)</f>
        <v>0</v>
      </c>
      <c r="D105">
        <f t="shared" si="0"/>
        <v>0</v>
      </c>
      <c r="E105">
        <f>SUM(V3:V95)</f>
        <v>0</v>
      </c>
      <c r="F105">
        <f>SUM(W3:W95)</f>
        <v>0</v>
      </c>
      <c r="H105">
        <f t="shared" si="1"/>
        <v>0</v>
      </c>
    </row>
    <row r="106" spans="1:8" x14ac:dyDescent="0.25">
      <c r="C106">
        <f>COUNTA(Y1:Y95)</f>
        <v>0</v>
      </c>
      <c r="D106">
        <f t="shared" si="0"/>
        <v>0</v>
      </c>
      <c r="E106">
        <f>SUM(Z3:Z95)</f>
        <v>0</v>
      </c>
      <c r="F106">
        <f>SUM(AA3:AA95)</f>
        <v>0</v>
      </c>
      <c r="H106">
        <f t="shared" si="1"/>
        <v>0</v>
      </c>
    </row>
    <row r="107" spans="1:8" x14ac:dyDescent="0.25">
      <c r="C107">
        <f>COUNTA(AC1:AC95)</f>
        <v>0</v>
      </c>
      <c r="D107">
        <f t="shared" si="0"/>
        <v>0</v>
      </c>
      <c r="E107">
        <f>SUM(AD3:AD95)</f>
        <v>0</v>
      </c>
      <c r="F107">
        <f>SUM(AE3:AE95)</f>
        <v>0</v>
      </c>
      <c r="H107">
        <f t="shared" si="1"/>
        <v>0</v>
      </c>
    </row>
    <row r="108" spans="1:8" x14ac:dyDescent="0.25">
      <c r="C108">
        <f>COUNTA(AG1:AG95)</f>
        <v>0</v>
      </c>
      <c r="D108">
        <f t="shared" si="0"/>
        <v>0</v>
      </c>
      <c r="E108">
        <f>SUM(AH3:AH95)</f>
        <v>0</v>
      </c>
      <c r="F108">
        <f>SUM(AI3:AI95)</f>
        <v>0</v>
      </c>
      <c r="H108">
        <f t="shared" si="1"/>
        <v>0</v>
      </c>
    </row>
    <row r="109" spans="1:8" x14ac:dyDescent="0.25">
      <c r="C109">
        <f>COUNTA(AK1:AK95)</f>
        <v>0</v>
      </c>
      <c r="D109">
        <f t="shared" si="0"/>
        <v>0</v>
      </c>
      <c r="E109">
        <f>SUM(AL3:AL95)</f>
        <v>0</v>
      </c>
      <c r="F109">
        <f>SUM(AM3:AM95)</f>
        <v>0</v>
      </c>
      <c r="H109">
        <f t="shared" si="1"/>
        <v>0</v>
      </c>
    </row>
    <row r="110" spans="1:8" x14ac:dyDescent="0.25">
      <c r="C110">
        <f>COUNTA(AO1:AO95)</f>
        <v>0</v>
      </c>
      <c r="D110">
        <f t="shared" si="0"/>
        <v>0</v>
      </c>
      <c r="E110">
        <f>SUM(AP3:AP95)</f>
        <v>0</v>
      </c>
      <c r="F110">
        <f>SUM(AQ3:AQ95)</f>
        <v>0</v>
      </c>
      <c r="H110">
        <f t="shared" si="1"/>
        <v>0</v>
      </c>
    </row>
    <row r="111" spans="1:8" x14ac:dyDescent="0.25">
      <c r="C111">
        <f>COUNTA(AS1:AS95)</f>
        <v>0</v>
      </c>
      <c r="D111">
        <f t="shared" si="0"/>
        <v>0</v>
      </c>
      <c r="E111">
        <f>SUM(AT3:AT95)</f>
        <v>0</v>
      </c>
      <c r="F111">
        <f>SUM(AU3:AU95)</f>
        <v>0</v>
      </c>
      <c r="H111">
        <f t="shared" si="1"/>
        <v>0</v>
      </c>
    </row>
    <row r="112" spans="1:8" x14ac:dyDescent="0.25">
      <c r="C112">
        <f>COUNTA(AW1:AW95)</f>
        <v>0</v>
      </c>
      <c r="D112">
        <f t="shared" si="0"/>
        <v>0</v>
      </c>
      <c r="E112">
        <f>SUM(AX3:AX95)</f>
        <v>0</v>
      </c>
      <c r="F112">
        <f>SUM(AY3:AY95)</f>
        <v>0</v>
      </c>
      <c r="H112">
        <f t="shared" si="1"/>
        <v>0</v>
      </c>
    </row>
    <row r="113" spans="3:8" x14ac:dyDescent="0.25">
      <c r="C113">
        <f>COUNTA(BA1:BA95)</f>
        <v>0</v>
      </c>
      <c r="D113">
        <f t="shared" si="0"/>
        <v>0</v>
      </c>
      <c r="E113">
        <f>SUM(BB3:BB95)</f>
        <v>0</v>
      </c>
      <c r="F113">
        <f>SUM(BC3:BC95)</f>
        <v>0</v>
      </c>
      <c r="H113">
        <f t="shared" si="1"/>
        <v>0</v>
      </c>
    </row>
    <row r="114" spans="3:8" x14ac:dyDescent="0.25">
      <c r="C114">
        <f>COUNTA(BE1:BE95)</f>
        <v>0</v>
      </c>
      <c r="D114">
        <f t="shared" si="0"/>
        <v>0</v>
      </c>
      <c r="E114">
        <f>SUM(BF3:BF95)</f>
        <v>0</v>
      </c>
      <c r="F114">
        <f>SUM(BG3:BG95)</f>
        <v>0</v>
      </c>
      <c r="H114">
        <f t="shared" si="1"/>
        <v>0</v>
      </c>
    </row>
    <row r="115" spans="3:8" x14ac:dyDescent="0.25">
      <c r="C115">
        <f>COUNTA(BI1:BI95)</f>
        <v>0</v>
      </c>
      <c r="D115">
        <f t="shared" si="0"/>
        <v>0</v>
      </c>
      <c r="E115">
        <f>SUM(BJ3:BJ95)</f>
        <v>0</v>
      </c>
      <c r="F115">
        <f>SUM(BK3:BK95)</f>
        <v>0</v>
      </c>
      <c r="H115">
        <f t="shared" si="1"/>
        <v>0</v>
      </c>
    </row>
    <row r="116" spans="3:8" x14ac:dyDescent="0.25">
      <c r="C116">
        <f>COUNTA(BM1:BM95)</f>
        <v>0</v>
      </c>
      <c r="D116">
        <f t="shared" si="0"/>
        <v>0</v>
      </c>
      <c r="E116">
        <f>SUM(BN3:BN95)</f>
        <v>0</v>
      </c>
      <c r="F116">
        <f>SUM(BO3:BO95)</f>
        <v>0</v>
      </c>
      <c r="H116">
        <f t="shared" si="1"/>
        <v>0</v>
      </c>
    </row>
    <row r="117" spans="3:8" x14ac:dyDescent="0.25">
      <c r="C117">
        <f>COUNTA(BQ1:BQ95)</f>
        <v>0</v>
      </c>
      <c r="D117">
        <f t="shared" si="0"/>
        <v>0</v>
      </c>
      <c r="E117">
        <f>SUM(BR3:BR95)</f>
        <v>0</v>
      </c>
      <c r="F117">
        <f>SUM(BS3:BS95)</f>
        <v>0</v>
      </c>
      <c r="H117">
        <f t="shared" si="1"/>
        <v>0</v>
      </c>
    </row>
    <row r="118" spans="3:8" x14ac:dyDescent="0.25">
      <c r="C118">
        <f>COUNTA(BU1:BU95)</f>
        <v>0</v>
      </c>
      <c r="D118">
        <f t="shared" si="0"/>
        <v>0</v>
      </c>
      <c r="E118">
        <f>SUM(BV3:BV95)</f>
        <v>0</v>
      </c>
      <c r="F118">
        <f>SUM(BW3:BW95)</f>
        <v>0</v>
      </c>
      <c r="H118">
        <f t="shared" si="1"/>
        <v>0</v>
      </c>
    </row>
    <row r="119" spans="3:8" x14ac:dyDescent="0.25">
      <c r="C119">
        <f>COUNTA(BY1:BY95)</f>
        <v>0</v>
      </c>
      <c r="D119">
        <f t="shared" si="0"/>
        <v>0</v>
      </c>
      <c r="E119">
        <f>SUM(BZ3:BZ95)</f>
        <v>0</v>
      </c>
      <c r="F119">
        <f>SUM(CA3:CA95)</f>
        <v>0</v>
      </c>
      <c r="H119">
        <f t="shared" si="1"/>
        <v>0</v>
      </c>
    </row>
    <row r="120" spans="3:8" x14ac:dyDescent="0.25">
      <c r="C120">
        <f>COUNTA(CC1:CC95)</f>
        <v>0</v>
      </c>
      <c r="D120">
        <f t="shared" si="0"/>
        <v>0</v>
      </c>
      <c r="E120">
        <f>SUM(CD3:CD95)</f>
        <v>0</v>
      </c>
      <c r="F120">
        <f>SUM(CE3:CE95)</f>
        <v>0</v>
      </c>
      <c r="H120">
        <f t="shared" si="1"/>
        <v>0</v>
      </c>
    </row>
    <row r="121" spans="3:8" x14ac:dyDescent="0.25">
      <c r="C121">
        <f>COUNTA(CG1:CG95)</f>
        <v>0</v>
      </c>
      <c r="D121">
        <f t="shared" si="0"/>
        <v>0</v>
      </c>
      <c r="E121">
        <f>SUM(CH3:CH95)</f>
        <v>0</v>
      </c>
      <c r="F121">
        <f>SUM(CI3:CI95)</f>
        <v>0</v>
      </c>
      <c r="H121">
        <f t="shared" si="1"/>
        <v>0</v>
      </c>
    </row>
    <row r="122" spans="3:8" x14ac:dyDescent="0.25">
      <c r="C122">
        <f>COUNTA(CK1:CK95)</f>
        <v>0</v>
      </c>
      <c r="D122">
        <f t="shared" si="0"/>
        <v>0</v>
      </c>
      <c r="E122">
        <f>SUM(CL3:CL95)</f>
        <v>0</v>
      </c>
      <c r="F122">
        <f>SUM(CM3:CM95)</f>
        <v>0</v>
      </c>
      <c r="H122">
        <f t="shared" si="1"/>
        <v>0</v>
      </c>
    </row>
    <row r="123" spans="3:8" x14ac:dyDescent="0.25">
      <c r="C123">
        <f>COUNTA(CO1:CO95)</f>
        <v>0</v>
      </c>
      <c r="D123">
        <f t="shared" si="0"/>
        <v>0</v>
      </c>
      <c r="E123">
        <f>SUM(CP3:CP95)</f>
        <v>0</v>
      </c>
      <c r="F123">
        <f>SUM(CQ3:CQ95)</f>
        <v>0</v>
      </c>
      <c r="H123">
        <f t="shared" si="1"/>
        <v>0</v>
      </c>
    </row>
    <row r="124" spans="3:8" x14ac:dyDescent="0.25">
      <c r="C124">
        <f>COUNTA(CS1:CS95)</f>
        <v>0</v>
      </c>
      <c r="D124">
        <f t="shared" si="0"/>
        <v>0</v>
      </c>
      <c r="E124">
        <f>SUM(CT3:CT95)</f>
        <v>0</v>
      </c>
      <c r="F124">
        <f>SUM(CU3:CU95)</f>
        <v>0</v>
      </c>
      <c r="H124">
        <f t="shared" si="1"/>
        <v>0</v>
      </c>
    </row>
    <row r="125" spans="3:8" x14ac:dyDescent="0.25">
      <c r="C125">
        <f>COUNTA(CW1:CW95)</f>
        <v>0</v>
      </c>
      <c r="D125">
        <f t="shared" si="0"/>
        <v>0</v>
      </c>
      <c r="E125">
        <f>SUM(CX3:CX95)</f>
        <v>0</v>
      </c>
      <c r="F125">
        <f>SUM(CY3:CY95)</f>
        <v>0</v>
      </c>
      <c r="H125">
        <f t="shared" si="1"/>
        <v>0</v>
      </c>
    </row>
    <row r="126" spans="3:8" x14ac:dyDescent="0.25">
      <c r="C126">
        <f>COUNTA(DA1:DA95)</f>
        <v>0</v>
      </c>
      <c r="D126">
        <f t="shared" si="0"/>
        <v>0</v>
      </c>
      <c r="E126">
        <f>SUM(DB3:DB95)</f>
        <v>0</v>
      </c>
      <c r="F126">
        <f>SUM(DC3:DC95)</f>
        <v>0</v>
      </c>
      <c r="H126">
        <f t="shared" si="1"/>
        <v>0</v>
      </c>
    </row>
    <row r="127" spans="3:8" x14ac:dyDescent="0.25">
      <c r="C127">
        <f>COUNTA(DE1:DE95)</f>
        <v>0</v>
      </c>
      <c r="D127">
        <f t="shared" si="0"/>
        <v>0</v>
      </c>
      <c r="E127">
        <f>SUM(DF3:DF95)</f>
        <v>0</v>
      </c>
      <c r="F127">
        <f>SUM(DG3:DG95)</f>
        <v>0</v>
      </c>
      <c r="H127">
        <f t="shared" si="1"/>
        <v>0</v>
      </c>
    </row>
    <row r="128" spans="3:8" x14ac:dyDescent="0.25">
      <c r="C128">
        <f>COUNTA(DI1:DI95)</f>
        <v>0</v>
      </c>
      <c r="D128">
        <f t="shared" si="0"/>
        <v>0</v>
      </c>
      <c r="E128">
        <f>SUM(DJ3:DJ95)</f>
        <v>0</v>
      </c>
      <c r="F128">
        <f>SUM(DK3:DK95)</f>
        <v>0</v>
      </c>
      <c r="H128">
        <f t="shared" si="1"/>
        <v>0</v>
      </c>
    </row>
    <row r="129" spans="3:8" x14ac:dyDescent="0.25">
      <c r="C129">
        <f>COUNTA(DM1:DM95)</f>
        <v>0</v>
      </c>
      <c r="D129">
        <f t="shared" si="0"/>
        <v>0</v>
      </c>
      <c r="E129">
        <f>SUM(DN3:DN95)</f>
        <v>0</v>
      </c>
      <c r="F129">
        <f>SUM(DO3:DO95)</f>
        <v>0</v>
      </c>
      <c r="H129">
        <f t="shared" si="1"/>
        <v>0</v>
      </c>
    </row>
    <row r="130" spans="3:8" x14ac:dyDescent="0.25">
      <c r="C130">
        <f>COUNTA(DQ1:DQ95)</f>
        <v>0</v>
      </c>
      <c r="D130">
        <f t="shared" si="0"/>
        <v>0</v>
      </c>
      <c r="E130">
        <f>SUM(DR3:DR95)</f>
        <v>0</v>
      </c>
      <c r="F130">
        <f>SUM(DS3:DS95)</f>
        <v>0</v>
      </c>
      <c r="H130">
        <f t="shared" si="1"/>
        <v>0</v>
      </c>
    </row>
    <row r="131" spans="3:8" x14ac:dyDescent="0.25">
      <c r="C131">
        <f>COUNTA(DU1:DU95)</f>
        <v>0</v>
      </c>
      <c r="D131">
        <f t="shared" si="0"/>
        <v>0</v>
      </c>
      <c r="E131">
        <f>SUM(DV3:DV95)</f>
        <v>0</v>
      </c>
      <c r="F131">
        <f>SUM(DW3:DW95)</f>
        <v>0</v>
      </c>
      <c r="H131">
        <f t="shared" si="1"/>
        <v>0</v>
      </c>
    </row>
    <row r="132" spans="3:8" x14ac:dyDescent="0.25">
      <c r="C132">
        <f>COUNTA(DY1:DY95)</f>
        <v>0</v>
      </c>
      <c r="D132">
        <f t="shared" si="0"/>
        <v>0</v>
      </c>
      <c r="E132">
        <f>SUM(DX3:DX95)</f>
        <v>0</v>
      </c>
      <c r="F132">
        <f>SUM(DY3:DY95)</f>
        <v>0</v>
      </c>
      <c r="H132">
        <f t="shared" si="1"/>
        <v>0</v>
      </c>
    </row>
    <row r="133" spans="3:8" x14ac:dyDescent="0.25">
      <c r="C133">
        <f>COUNTA(EC1:EC95)</f>
        <v>0</v>
      </c>
      <c r="D133">
        <f t="shared" si="0"/>
        <v>0</v>
      </c>
      <c r="E133">
        <f>SUM(ED3:ED95)</f>
        <v>0</v>
      </c>
      <c r="F133">
        <f>SUM(EE3:EE95)</f>
        <v>0</v>
      </c>
      <c r="H133">
        <f t="shared" si="1"/>
        <v>0</v>
      </c>
    </row>
    <row r="134" spans="3:8" x14ac:dyDescent="0.25">
      <c r="C134">
        <f>COUNTA(EG1:EG96)</f>
        <v>0</v>
      </c>
      <c r="D134">
        <f t="shared" si="0"/>
        <v>0</v>
      </c>
      <c r="E134">
        <f>SUM(EH3:EH95)</f>
        <v>0</v>
      </c>
      <c r="F134">
        <f>SUM(EI3:EI95)</f>
        <v>0</v>
      </c>
      <c r="H134">
        <f t="shared" si="1"/>
        <v>0</v>
      </c>
    </row>
    <row r="135" spans="3:8" x14ac:dyDescent="0.25">
      <c r="C135">
        <f>COUNTA(EK1:EK95)</f>
        <v>0</v>
      </c>
      <c r="D135">
        <f t="shared" si="0"/>
        <v>0</v>
      </c>
      <c r="E135">
        <f>SUM(EL3:EL95)</f>
        <v>0</v>
      </c>
      <c r="F135">
        <f>SUM(EM3:EM95)</f>
        <v>0</v>
      </c>
      <c r="H135">
        <f t="shared" si="1"/>
        <v>0</v>
      </c>
    </row>
    <row r="136" spans="3:8" x14ac:dyDescent="0.25">
      <c r="C136">
        <f>COUNTA(EO1:EO95)</f>
        <v>0</v>
      </c>
      <c r="D136">
        <f t="shared" si="0"/>
        <v>0</v>
      </c>
      <c r="E136">
        <f>SUM(EP3:EP95)</f>
        <v>0</v>
      </c>
      <c r="F136">
        <f>SUM(EQ3:EQ95)</f>
        <v>0</v>
      </c>
      <c r="H136">
        <f t="shared" si="1"/>
        <v>0</v>
      </c>
    </row>
    <row r="137" spans="3:8" x14ac:dyDescent="0.25">
      <c r="C137">
        <f>COUNTA(ES1:ES95)</f>
        <v>0</v>
      </c>
      <c r="D137">
        <f t="shared" si="0"/>
        <v>0</v>
      </c>
      <c r="E137">
        <f>SUM(ET3:ET95)</f>
        <v>0</v>
      </c>
      <c r="F137">
        <f>SUM(EU3:EU95)</f>
        <v>0</v>
      </c>
      <c r="H137">
        <f t="shared" si="1"/>
        <v>0</v>
      </c>
    </row>
    <row r="138" spans="3:8" x14ac:dyDescent="0.25">
      <c r="C138">
        <f>COUNTA(EW1:EW95)</f>
        <v>0</v>
      </c>
      <c r="D138">
        <f t="shared" si="0"/>
        <v>0</v>
      </c>
      <c r="E138">
        <f>SUM(EX3:EX95)</f>
        <v>0</v>
      </c>
      <c r="F138">
        <f>SUM(EY3:EY95)</f>
        <v>0</v>
      </c>
      <c r="H138">
        <f t="shared" si="1"/>
        <v>0</v>
      </c>
    </row>
    <row r="139" spans="3:8" x14ac:dyDescent="0.25">
      <c r="C139">
        <f>COUNTA(FA1:FA95)</f>
        <v>0</v>
      </c>
      <c r="D139">
        <f t="shared" si="0"/>
        <v>0</v>
      </c>
      <c r="E139">
        <f>SUM(FB3:FB95)</f>
        <v>0</v>
      </c>
      <c r="F139">
        <f>SUM(FC3:FC95)</f>
        <v>0</v>
      </c>
      <c r="H139">
        <f t="shared" si="1"/>
        <v>0</v>
      </c>
    </row>
    <row r="140" spans="3:8" x14ac:dyDescent="0.25">
      <c r="C140">
        <f>COUNTA(FE1:FE95)</f>
        <v>0</v>
      </c>
      <c r="D140">
        <f t="shared" si="0"/>
        <v>0</v>
      </c>
      <c r="E140">
        <f>SUM(FF3:FF95)</f>
        <v>0</v>
      </c>
      <c r="F140">
        <f>SUM(FG3:FG95)</f>
        <v>0</v>
      </c>
      <c r="H140">
        <f t="shared" si="1"/>
        <v>0</v>
      </c>
    </row>
    <row r="141" spans="3:8" x14ac:dyDescent="0.25">
      <c r="C141">
        <f>COUNTA(FI1:FI95)</f>
        <v>0</v>
      </c>
      <c r="D141">
        <f t="shared" si="0"/>
        <v>0</v>
      </c>
      <c r="E141">
        <f>SUM(FJ3:FJ95)</f>
        <v>0</v>
      </c>
      <c r="F141">
        <f>SUM(FK3:FK95)</f>
        <v>0</v>
      </c>
      <c r="H141">
        <f t="shared" si="1"/>
        <v>0</v>
      </c>
    </row>
    <row r="142" spans="3:8" x14ac:dyDescent="0.25">
      <c r="C142">
        <f>COUNTA(FM1:FM95)</f>
        <v>0</v>
      </c>
      <c r="D142">
        <f t="shared" si="0"/>
        <v>0</v>
      </c>
      <c r="E142">
        <f>SUM(FN3:FN95)</f>
        <v>0</v>
      </c>
      <c r="F142">
        <f>SUM(FO3:FO95)</f>
        <v>0</v>
      </c>
      <c r="H142">
        <f t="shared" si="1"/>
        <v>0</v>
      </c>
    </row>
    <row r="143" spans="3:8" x14ac:dyDescent="0.25">
      <c r="C143">
        <f>COUNTA(FQ1:FQ95)</f>
        <v>0</v>
      </c>
      <c r="D143">
        <f t="shared" si="0"/>
        <v>0</v>
      </c>
      <c r="E143">
        <f>SUM(FR3:FR95)</f>
        <v>0</v>
      </c>
      <c r="F143">
        <f>SUM(FS3:FS95)</f>
        <v>0</v>
      </c>
      <c r="H143">
        <f t="shared" si="1"/>
        <v>0</v>
      </c>
    </row>
    <row r="144" spans="3:8" x14ac:dyDescent="0.25">
      <c r="C144">
        <f>COUNTA(FU1:FU95)</f>
        <v>0</v>
      </c>
      <c r="D144">
        <f t="shared" si="0"/>
        <v>0</v>
      </c>
      <c r="E144">
        <f>SUM(FV3:FV95)</f>
        <v>0</v>
      </c>
      <c r="F144">
        <f>SUM(FW3:FW95)</f>
        <v>0</v>
      </c>
      <c r="H144">
        <f t="shared" si="1"/>
        <v>0</v>
      </c>
    </row>
    <row r="145" spans="3:8" x14ac:dyDescent="0.25">
      <c r="C145">
        <f>COUNTA(FY1:FY95)</f>
        <v>0</v>
      </c>
      <c r="D145">
        <f t="shared" si="0"/>
        <v>0</v>
      </c>
      <c r="E145">
        <f>SUM(FZ3:FZ95)</f>
        <v>0</v>
      </c>
      <c r="F145">
        <f>SUM(GA3:GA95)</f>
        <v>0</v>
      </c>
      <c r="H145">
        <f t="shared" si="1"/>
        <v>0</v>
      </c>
    </row>
    <row r="146" spans="3:8" x14ac:dyDescent="0.25">
      <c r="C146">
        <f>COUNTA(GC1:GC95)</f>
        <v>0</v>
      </c>
      <c r="D146">
        <f t="shared" si="0"/>
        <v>0</v>
      </c>
      <c r="E146">
        <f>SUM(GD3:GD95)</f>
        <v>0</v>
      </c>
      <c r="F146">
        <f>SUM(GE3:GE95)</f>
        <v>0</v>
      </c>
      <c r="H146">
        <f t="shared" si="1"/>
        <v>0</v>
      </c>
    </row>
    <row r="147" spans="3:8" x14ac:dyDescent="0.25">
      <c r="C147">
        <f>COUNTA(GG1:GG95)</f>
        <v>0</v>
      </c>
      <c r="D147">
        <f t="shared" si="0"/>
        <v>0</v>
      </c>
      <c r="E147">
        <f>SUM(GH3:GH95)</f>
        <v>0</v>
      </c>
      <c r="F147">
        <f>SUM(GI3:GI95)</f>
        <v>0</v>
      </c>
      <c r="H147">
        <f t="shared" si="1"/>
        <v>0</v>
      </c>
    </row>
    <row r="148" spans="3:8" x14ac:dyDescent="0.25">
      <c r="C148">
        <f>COUNTA(GK1:GK95)</f>
        <v>0</v>
      </c>
      <c r="D148">
        <f t="shared" si="0"/>
        <v>0</v>
      </c>
      <c r="E148">
        <f>SUM(GL3:GL95)</f>
        <v>0</v>
      </c>
      <c r="F148">
        <f>SUM(GM3:GM95)</f>
        <v>0</v>
      </c>
      <c r="H148">
        <f t="shared" si="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topLeftCell="A7" workbookViewId="0">
      <selection activeCell="Y3" sqref="Y3"/>
    </sheetView>
  </sheetViews>
  <sheetFormatPr defaultRowHeight="15" x14ac:dyDescent="0.25"/>
  <sheetData>
    <row r="2" spans="2:26" x14ac:dyDescent="0.25"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23</v>
      </c>
      <c r="L2" t="s">
        <v>33</v>
      </c>
      <c r="M2" t="s">
        <v>34</v>
      </c>
      <c r="N2" t="s">
        <v>35</v>
      </c>
      <c r="O2" t="s">
        <v>36</v>
      </c>
      <c r="P2" t="s">
        <v>37</v>
      </c>
      <c r="Q2" t="s">
        <v>38</v>
      </c>
      <c r="R2" t="s">
        <v>39</v>
      </c>
      <c r="S2" t="s">
        <v>40</v>
      </c>
      <c r="T2" t="s">
        <v>8</v>
      </c>
      <c r="U2" t="s">
        <v>0</v>
      </c>
      <c r="V2" t="s">
        <v>41</v>
      </c>
      <c r="W2" t="s">
        <v>42</v>
      </c>
      <c r="X2" t="s">
        <v>43</v>
      </c>
      <c r="Y2" t="s">
        <v>47</v>
      </c>
      <c r="Z2" t="s">
        <v>48</v>
      </c>
    </row>
    <row r="3" spans="2:26" x14ac:dyDescent="0.25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2:26" x14ac:dyDescent="0.25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8</v>
      </c>
    </row>
    <row r="102" spans="1:3" x14ac:dyDescent="0.25">
      <c r="A102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6B4B6-6D0D-42BD-822D-0470D71CAC97}">
  <sheetPr codeName="Sheet6"/>
  <dimension ref="A1:AF311"/>
  <sheetViews>
    <sheetView zoomScaleNormal="100" workbookViewId="0">
      <pane xSplit="1" ySplit="2" topLeftCell="B277" activePane="bottomRight" state="frozen"/>
      <selection pane="topRight" activeCell="B1" sqref="B1"/>
      <selection pane="bottomLeft" activeCell="A3" sqref="A3"/>
      <selection pane="bottomRight" activeCell="H286" sqref="H286"/>
    </sheetView>
  </sheetViews>
  <sheetFormatPr defaultRowHeight="15" x14ac:dyDescent="0.25"/>
  <cols>
    <col min="1" max="1" width="23" customWidth="1"/>
    <col min="2" max="2" width="14.7109375" customWidth="1"/>
    <col min="32" max="32" width="13.140625" customWidth="1"/>
  </cols>
  <sheetData>
    <row r="1" spans="1:26" ht="15.75" thickBot="1" x14ac:dyDescent="0.3">
      <c r="A1" s="48" t="s">
        <v>4</v>
      </c>
    </row>
    <row r="2" spans="1:26" x14ac:dyDescent="0.25">
      <c r="A2" s="42" t="s">
        <v>6</v>
      </c>
      <c r="B2" s="43" t="s">
        <v>24</v>
      </c>
      <c r="C2" s="43" t="s">
        <v>25</v>
      </c>
      <c r="D2" s="44" t="s">
        <v>26</v>
      </c>
      <c r="E2" s="44" t="s">
        <v>27</v>
      </c>
      <c r="F2" s="44" t="s">
        <v>28</v>
      </c>
      <c r="G2" s="44" t="s">
        <v>29</v>
      </c>
      <c r="H2" s="44" t="s">
        <v>30</v>
      </c>
      <c r="I2" s="44" t="s">
        <v>31</v>
      </c>
      <c r="J2" s="44" t="s">
        <v>32</v>
      </c>
      <c r="K2" s="44" t="s">
        <v>23</v>
      </c>
      <c r="L2" s="44" t="s">
        <v>33</v>
      </c>
      <c r="M2" s="44" t="s">
        <v>34</v>
      </c>
      <c r="N2" s="44" t="s">
        <v>35</v>
      </c>
      <c r="O2" s="44" t="s">
        <v>36</v>
      </c>
      <c r="P2" s="44" t="s">
        <v>37</v>
      </c>
      <c r="Q2" s="44" t="s">
        <v>38</v>
      </c>
      <c r="R2" s="44" t="s">
        <v>39</v>
      </c>
      <c r="S2" s="44" t="s">
        <v>40</v>
      </c>
      <c r="T2" s="44" t="s">
        <v>8</v>
      </c>
      <c r="U2" s="44" t="s">
        <v>0</v>
      </c>
      <c r="V2" s="44" t="s">
        <v>41</v>
      </c>
      <c r="W2" s="44" t="s">
        <v>42</v>
      </c>
      <c r="X2" s="44" t="s">
        <v>43</v>
      </c>
      <c r="Y2" s="44" t="s">
        <v>47</v>
      </c>
      <c r="Z2" s="45" t="s">
        <v>48</v>
      </c>
    </row>
    <row r="3" spans="1:26" x14ac:dyDescent="0.25">
      <c r="A3" s="49">
        <v>43266</v>
      </c>
      <c r="B3" s="14">
        <v>300000</v>
      </c>
      <c r="C3" s="14">
        <v>19310</v>
      </c>
      <c r="D3" s="14">
        <v>53240</v>
      </c>
      <c r="E3" s="14">
        <v>68745</v>
      </c>
      <c r="F3" s="14">
        <v>95733</v>
      </c>
      <c r="G3" s="14">
        <v>65667</v>
      </c>
      <c r="H3" s="14">
        <v>157226</v>
      </c>
      <c r="I3" s="14">
        <v>3834</v>
      </c>
      <c r="J3" s="14">
        <v>134305</v>
      </c>
      <c r="K3" s="14">
        <v>45065</v>
      </c>
      <c r="L3" s="14">
        <v>44500</v>
      </c>
      <c r="M3" s="14">
        <v>25672</v>
      </c>
      <c r="N3" s="14">
        <v>5000</v>
      </c>
      <c r="O3" s="14">
        <v>14070</v>
      </c>
      <c r="P3" s="14">
        <v>175629</v>
      </c>
      <c r="Q3" s="14">
        <v>5000</v>
      </c>
      <c r="R3" s="14">
        <v>157027</v>
      </c>
      <c r="S3" s="14">
        <v>66164</v>
      </c>
      <c r="T3" s="14">
        <v>5000</v>
      </c>
      <c r="U3" s="14">
        <v>3000</v>
      </c>
      <c r="V3" s="14">
        <v>5000</v>
      </c>
      <c r="W3" s="14">
        <v>5000</v>
      </c>
      <c r="X3" s="14">
        <v>5000</v>
      </c>
      <c r="Y3" s="14">
        <v>0</v>
      </c>
      <c r="Z3" s="38"/>
    </row>
    <row r="4" spans="1:26" x14ac:dyDescent="0.25">
      <c r="A4" s="49">
        <v>43281</v>
      </c>
      <c r="B4" s="14">
        <v>0</v>
      </c>
      <c r="C4" s="14">
        <v>0</v>
      </c>
      <c r="D4" s="14">
        <v>3000</v>
      </c>
      <c r="E4" s="14">
        <v>3000</v>
      </c>
      <c r="F4" s="14">
        <v>2000</v>
      </c>
      <c r="G4" s="14">
        <v>0</v>
      </c>
      <c r="H4" s="14">
        <v>3000</v>
      </c>
      <c r="I4" s="14">
        <v>0</v>
      </c>
      <c r="J4" s="14">
        <v>3000</v>
      </c>
      <c r="K4" s="14">
        <v>500</v>
      </c>
      <c r="L4" s="14">
        <v>500</v>
      </c>
      <c r="M4" s="14">
        <v>500</v>
      </c>
      <c r="N4" s="14">
        <v>1000</v>
      </c>
      <c r="O4" s="14">
        <v>0</v>
      </c>
      <c r="P4" s="14">
        <v>3000</v>
      </c>
      <c r="Q4" s="14">
        <v>0</v>
      </c>
      <c r="R4" s="14">
        <v>0</v>
      </c>
      <c r="S4" s="14">
        <v>2000</v>
      </c>
      <c r="T4" s="14">
        <v>2000</v>
      </c>
      <c r="U4" s="14">
        <v>2000</v>
      </c>
      <c r="V4" s="14">
        <v>2000</v>
      </c>
      <c r="W4" s="14">
        <v>3000</v>
      </c>
      <c r="X4" s="14">
        <v>3000</v>
      </c>
      <c r="Y4" s="14">
        <v>0</v>
      </c>
      <c r="Z4" s="38"/>
    </row>
    <row r="5" spans="1:26" x14ac:dyDescent="0.25">
      <c r="A5" s="49">
        <v>43296</v>
      </c>
      <c r="B5" s="14">
        <v>0</v>
      </c>
      <c r="C5" s="14">
        <v>0</v>
      </c>
      <c r="D5" s="14">
        <v>3000</v>
      </c>
      <c r="E5" s="14">
        <v>3000</v>
      </c>
      <c r="F5" s="14">
        <v>2000</v>
      </c>
      <c r="G5" s="14">
        <v>0</v>
      </c>
      <c r="H5" s="14">
        <v>3000</v>
      </c>
      <c r="I5" s="14">
        <v>0</v>
      </c>
      <c r="J5" s="14">
        <v>3000</v>
      </c>
      <c r="K5" s="14">
        <v>500</v>
      </c>
      <c r="L5" s="14">
        <v>500</v>
      </c>
      <c r="M5" s="14">
        <v>500</v>
      </c>
      <c r="N5" s="14">
        <v>0</v>
      </c>
      <c r="O5" s="14">
        <v>0</v>
      </c>
      <c r="P5" s="14">
        <v>3000</v>
      </c>
      <c r="Q5" s="14">
        <v>0</v>
      </c>
      <c r="R5" s="14">
        <v>1000</v>
      </c>
      <c r="S5" s="14">
        <v>2000</v>
      </c>
      <c r="T5" s="14">
        <v>2000</v>
      </c>
      <c r="U5" s="14">
        <v>1500</v>
      </c>
      <c r="V5" s="14">
        <v>2000</v>
      </c>
      <c r="W5" s="14">
        <v>3000</v>
      </c>
      <c r="X5" s="14">
        <v>3000</v>
      </c>
      <c r="Y5" s="14"/>
      <c r="Z5" s="38"/>
    </row>
    <row r="6" spans="1:26" x14ac:dyDescent="0.25">
      <c r="A6" s="49">
        <v>43311</v>
      </c>
      <c r="B6" s="14">
        <v>0</v>
      </c>
      <c r="C6" s="14">
        <v>0</v>
      </c>
      <c r="D6" s="14">
        <v>-17000</v>
      </c>
      <c r="E6" s="14">
        <v>3000</v>
      </c>
      <c r="F6" s="14">
        <v>2000</v>
      </c>
      <c r="G6" s="14">
        <v>0</v>
      </c>
      <c r="H6" s="14">
        <v>3000</v>
      </c>
      <c r="I6" s="14">
        <v>0</v>
      </c>
      <c r="J6" s="14">
        <v>3000</v>
      </c>
      <c r="K6" s="14">
        <v>500</v>
      </c>
      <c r="L6" s="14">
        <v>500</v>
      </c>
      <c r="M6" s="14">
        <v>0</v>
      </c>
      <c r="N6" s="14">
        <v>0</v>
      </c>
      <c r="O6" s="14">
        <v>0</v>
      </c>
      <c r="P6" s="14">
        <v>3000</v>
      </c>
      <c r="Q6" s="14">
        <v>3000</v>
      </c>
      <c r="R6" s="14">
        <v>3000</v>
      </c>
      <c r="S6" s="14">
        <v>2000</v>
      </c>
      <c r="T6" s="14">
        <v>2000</v>
      </c>
      <c r="U6" s="14">
        <v>1500</v>
      </c>
      <c r="V6" s="14">
        <v>3000</v>
      </c>
      <c r="W6" s="14">
        <v>3000</v>
      </c>
      <c r="X6" s="14">
        <v>3000</v>
      </c>
      <c r="Y6" s="14"/>
      <c r="Z6" s="38"/>
    </row>
    <row r="7" spans="1:26" x14ac:dyDescent="0.25">
      <c r="A7" s="49">
        <v>43327</v>
      </c>
      <c r="B7" s="14">
        <v>0</v>
      </c>
      <c r="C7" s="14">
        <v>0</v>
      </c>
      <c r="D7" s="14">
        <v>0</v>
      </c>
      <c r="E7" s="14">
        <v>3000</v>
      </c>
      <c r="F7" s="14">
        <v>2000</v>
      </c>
      <c r="G7" s="14">
        <v>0</v>
      </c>
      <c r="H7" s="14">
        <v>3000</v>
      </c>
      <c r="I7" s="14">
        <v>500</v>
      </c>
      <c r="J7" s="14">
        <v>3000</v>
      </c>
      <c r="K7" s="14">
        <v>500</v>
      </c>
      <c r="L7" s="14">
        <v>500</v>
      </c>
      <c r="M7" s="14">
        <v>0</v>
      </c>
      <c r="N7" s="14">
        <v>0</v>
      </c>
      <c r="O7" s="14">
        <v>0</v>
      </c>
      <c r="P7" s="14">
        <v>3000</v>
      </c>
      <c r="Q7" s="14">
        <v>0</v>
      </c>
      <c r="R7" s="14">
        <v>2000</v>
      </c>
      <c r="S7" s="14">
        <v>2000</v>
      </c>
      <c r="T7" s="14">
        <v>2000</v>
      </c>
      <c r="U7" s="14">
        <v>1000</v>
      </c>
      <c r="V7" s="14">
        <v>3000</v>
      </c>
      <c r="W7" s="14">
        <v>3000</v>
      </c>
      <c r="X7" s="14">
        <v>3000</v>
      </c>
      <c r="Y7" s="14"/>
      <c r="Z7" s="38"/>
    </row>
    <row r="8" spans="1:26" x14ac:dyDescent="0.25">
      <c r="A8" s="49">
        <v>43342</v>
      </c>
      <c r="B8" s="14">
        <v>0</v>
      </c>
      <c r="C8" s="14">
        <v>0</v>
      </c>
      <c r="D8" s="14">
        <v>3000</v>
      </c>
      <c r="E8" s="14">
        <v>3000</v>
      </c>
      <c r="F8" s="14">
        <v>1000</v>
      </c>
      <c r="G8" s="14">
        <v>0</v>
      </c>
      <c r="H8" s="14">
        <v>3000</v>
      </c>
      <c r="I8" s="14">
        <v>0</v>
      </c>
      <c r="J8" s="14">
        <v>3000</v>
      </c>
      <c r="K8" s="14">
        <v>500</v>
      </c>
      <c r="L8" s="14">
        <v>500</v>
      </c>
      <c r="M8" s="14">
        <v>0</v>
      </c>
      <c r="N8" s="14">
        <v>0</v>
      </c>
      <c r="O8" s="14">
        <v>0</v>
      </c>
      <c r="P8" s="14">
        <v>3000</v>
      </c>
      <c r="Q8" s="14">
        <v>0</v>
      </c>
      <c r="R8" s="14">
        <v>1000</v>
      </c>
      <c r="S8" s="14">
        <v>2000</v>
      </c>
      <c r="T8" s="14">
        <v>2000</v>
      </c>
      <c r="U8" s="14">
        <v>2000</v>
      </c>
      <c r="V8" s="14">
        <v>3000</v>
      </c>
      <c r="W8" s="14">
        <v>3000</v>
      </c>
      <c r="X8" s="14">
        <v>3000</v>
      </c>
      <c r="Y8" s="14"/>
      <c r="Z8" s="38"/>
    </row>
    <row r="9" spans="1:26" x14ac:dyDescent="0.25">
      <c r="A9" s="49">
        <v>43358</v>
      </c>
      <c r="B9" s="14">
        <v>0</v>
      </c>
      <c r="C9" s="14">
        <v>0</v>
      </c>
      <c r="D9" s="14">
        <v>3000</v>
      </c>
      <c r="E9" s="14">
        <v>3000</v>
      </c>
      <c r="F9" s="14">
        <v>2000</v>
      </c>
      <c r="G9" s="14">
        <v>0</v>
      </c>
      <c r="H9" s="14">
        <v>3000</v>
      </c>
      <c r="I9" s="14">
        <v>500</v>
      </c>
      <c r="J9" s="14">
        <v>3000</v>
      </c>
      <c r="K9" s="14">
        <v>500</v>
      </c>
      <c r="L9" s="14">
        <v>500</v>
      </c>
      <c r="M9" s="14">
        <v>0</v>
      </c>
      <c r="N9" s="14">
        <v>0</v>
      </c>
      <c r="O9" s="14">
        <v>0</v>
      </c>
      <c r="P9" s="14">
        <v>3000</v>
      </c>
      <c r="Q9" s="14">
        <v>0</v>
      </c>
      <c r="R9" s="14">
        <v>2000</v>
      </c>
      <c r="S9" s="14">
        <v>2000</v>
      </c>
      <c r="T9" s="14">
        <v>2000</v>
      </c>
      <c r="U9" s="14">
        <v>2000</v>
      </c>
      <c r="V9" s="14">
        <v>3000</v>
      </c>
      <c r="W9" s="14">
        <v>3000</v>
      </c>
      <c r="X9" s="14">
        <v>3000</v>
      </c>
      <c r="Y9" s="14"/>
      <c r="Z9" s="38"/>
    </row>
    <row r="10" spans="1:26" x14ac:dyDescent="0.25">
      <c r="A10" s="49">
        <v>43373</v>
      </c>
      <c r="B10" s="14">
        <v>0</v>
      </c>
      <c r="C10" s="14">
        <v>0</v>
      </c>
      <c r="D10" s="14">
        <v>3000</v>
      </c>
      <c r="E10" s="14">
        <v>3000</v>
      </c>
      <c r="F10" s="14">
        <v>1000</v>
      </c>
      <c r="G10" s="14">
        <v>0</v>
      </c>
      <c r="H10" s="14">
        <v>3000</v>
      </c>
      <c r="I10" s="14">
        <v>0</v>
      </c>
      <c r="J10" s="14">
        <v>3000</v>
      </c>
      <c r="K10" s="14">
        <v>500</v>
      </c>
      <c r="L10" s="14">
        <v>500</v>
      </c>
      <c r="M10" s="14">
        <v>500</v>
      </c>
      <c r="N10" s="14">
        <v>0</v>
      </c>
      <c r="O10" s="14">
        <v>0</v>
      </c>
      <c r="P10" s="14">
        <v>3000</v>
      </c>
      <c r="Q10" s="14">
        <v>500</v>
      </c>
      <c r="R10" s="14">
        <v>3000</v>
      </c>
      <c r="S10" s="14">
        <v>2000</v>
      </c>
      <c r="T10" s="14">
        <v>2000</v>
      </c>
      <c r="U10" s="14">
        <v>2000</v>
      </c>
      <c r="V10" s="14">
        <v>3000</v>
      </c>
      <c r="W10" s="14">
        <v>3000</v>
      </c>
      <c r="X10" s="14">
        <v>3000</v>
      </c>
      <c r="Y10" s="14"/>
      <c r="Z10" s="38"/>
    </row>
    <row r="11" spans="1:26" x14ac:dyDescent="0.25">
      <c r="A11" s="49">
        <v>43388</v>
      </c>
      <c r="B11" s="14">
        <v>0</v>
      </c>
      <c r="C11" s="14">
        <v>0</v>
      </c>
      <c r="D11" s="14">
        <v>1000</v>
      </c>
      <c r="E11" s="14">
        <v>3000</v>
      </c>
      <c r="F11" s="14">
        <v>1000</v>
      </c>
      <c r="G11" s="14">
        <v>500</v>
      </c>
      <c r="H11" s="14">
        <v>3000</v>
      </c>
      <c r="I11" s="14">
        <v>0</v>
      </c>
      <c r="J11" s="14">
        <v>3000</v>
      </c>
      <c r="K11" s="14">
        <v>500</v>
      </c>
      <c r="L11" s="14">
        <v>500</v>
      </c>
      <c r="M11" s="14">
        <v>0</v>
      </c>
      <c r="N11" s="14">
        <v>0</v>
      </c>
      <c r="O11" s="14">
        <v>0</v>
      </c>
      <c r="P11" s="14">
        <v>3000</v>
      </c>
      <c r="Q11" s="14">
        <v>0</v>
      </c>
      <c r="R11" s="14">
        <v>3000</v>
      </c>
      <c r="S11" s="14">
        <v>2000</v>
      </c>
      <c r="T11" s="14">
        <v>2000</v>
      </c>
      <c r="U11" s="14">
        <v>2000</v>
      </c>
      <c r="V11" s="14">
        <v>0</v>
      </c>
      <c r="W11" s="14">
        <v>3000</v>
      </c>
      <c r="X11" s="14">
        <v>3000</v>
      </c>
      <c r="Y11" s="14"/>
      <c r="Z11" s="38"/>
    </row>
    <row r="12" spans="1:26" x14ac:dyDescent="0.25">
      <c r="A12" s="49">
        <v>43403</v>
      </c>
      <c r="B12" s="14">
        <v>0</v>
      </c>
      <c r="C12" s="14">
        <v>500</v>
      </c>
      <c r="D12" s="14">
        <v>1000</v>
      </c>
      <c r="E12" s="14">
        <v>2000</v>
      </c>
      <c r="F12" s="14">
        <v>1000</v>
      </c>
      <c r="G12" s="14">
        <v>500</v>
      </c>
      <c r="H12" s="14">
        <v>3000</v>
      </c>
      <c r="I12" s="14">
        <v>0</v>
      </c>
      <c r="J12" s="14">
        <v>3000</v>
      </c>
      <c r="K12" s="14">
        <v>500</v>
      </c>
      <c r="L12" s="14">
        <v>500</v>
      </c>
      <c r="M12" s="14">
        <v>0</v>
      </c>
      <c r="N12" s="14">
        <v>0</v>
      </c>
      <c r="O12" s="14">
        <v>0</v>
      </c>
      <c r="P12" s="14">
        <v>3000</v>
      </c>
      <c r="Q12" s="14">
        <v>1000</v>
      </c>
      <c r="R12" s="14">
        <v>3000</v>
      </c>
      <c r="S12" s="14">
        <v>2000</v>
      </c>
      <c r="T12" s="14">
        <v>2000</v>
      </c>
      <c r="U12" s="14">
        <v>2000</v>
      </c>
      <c r="V12" s="14">
        <v>0</v>
      </c>
      <c r="W12" s="14">
        <v>3000</v>
      </c>
      <c r="X12" s="14">
        <v>3000</v>
      </c>
      <c r="Y12" s="14"/>
      <c r="Z12" s="38"/>
    </row>
    <row r="13" spans="1:26" x14ac:dyDescent="0.25">
      <c r="A13" s="49">
        <v>43419</v>
      </c>
      <c r="B13" s="14">
        <v>0</v>
      </c>
      <c r="C13" s="14">
        <v>500</v>
      </c>
      <c r="D13" s="14">
        <v>2000</v>
      </c>
      <c r="E13" s="14">
        <v>3000</v>
      </c>
      <c r="F13" s="14">
        <v>1000</v>
      </c>
      <c r="G13" s="14">
        <v>500</v>
      </c>
      <c r="H13" s="14">
        <v>3000</v>
      </c>
      <c r="I13" s="14">
        <v>0</v>
      </c>
      <c r="J13" s="14">
        <v>3000</v>
      </c>
      <c r="K13" s="14">
        <v>0</v>
      </c>
      <c r="L13" s="14">
        <v>500</v>
      </c>
      <c r="M13" s="14">
        <v>0</v>
      </c>
      <c r="N13" s="14">
        <v>0</v>
      </c>
      <c r="O13" s="14">
        <v>0</v>
      </c>
      <c r="P13" s="14">
        <v>3000</v>
      </c>
      <c r="Q13" s="14">
        <v>500</v>
      </c>
      <c r="R13" s="14">
        <v>3000</v>
      </c>
      <c r="S13" s="14">
        <v>2000</v>
      </c>
      <c r="T13" s="14">
        <v>2000</v>
      </c>
      <c r="U13" s="14">
        <v>2000</v>
      </c>
      <c r="V13" s="14">
        <v>3000</v>
      </c>
      <c r="W13" s="14">
        <v>3000</v>
      </c>
      <c r="X13" s="14">
        <v>3000</v>
      </c>
      <c r="Y13" s="14"/>
      <c r="Z13" s="38"/>
    </row>
    <row r="14" spans="1:26" x14ac:dyDescent="0.25">
      <c r="A14" s="49">
        <v>43434</v>
      </c>
      <c r="B14" s="14">
        <v>0</v>
      </c>
      <c r="C14" s="14">
        <v>0</v>
      </c>
      <c r="D14" s="14">
        <v>2000</v>
      </c>
      <c r="E14" s="14">
        <v>3000</v>
      </c>
      <c r="F14" s="14">
        <v>1000</v>
      </c>
      <c r="G14" s="14">
        <v>500</v>
      </c>
      <c r="H14" s="14">
        <v>3000</v>
      </c>
      <c r="I14" s="14">
        <v>0</v>
      </c>
      <c r="J14" s="14">
        <v>3000</v>
      </c>
      <c r="K14" s="14">
        <v>0</v>
      </c>
      <c r="L14" s="14">
        <v>500</v>
      </c>
      <c r="M14" s="14">
        <v>0</v>
      </c>
      <c r="N14" s="14">
        <v>0</v>
      </c>
      <c r="O14" s="14">
        <v>0</v>
      </c>
      <c r="P14" s="14">
        <v>3000</v>
      </c>
      <c r="Q14" s="14">
        <v>500</v>
      </c>
      <c r="R14" s="14">
        <v>3000</v>
      </c>
      <c r="S14" s="14">
        <v>2000</v>
      </c>
      <c r="T14" s="14">
        <v>2000</v>
      </c>
      <c r="U14" s="14">
        <v>2000</v>
      </c>
      <c r="V14" s="14">
        <v>3000</v>
      </c>
      <c r="W14" s="14">
        <v>3000</v>
      </c>
      <c r="X14" s="14">
        <v>3000</v>
      </c>
      <c r="Y14" s="14"/>
      <c r="Z14" s="38"/>
    </row>
    <row r="15" spans="1:26" x14ac:dyDescent="0.25">
      <c r="A15" s="49">
        <v>43449</v>
      </c>
      <c r="B15" s="14">
        <v>0</v>
      </c>
      <c r="C15" s="14">
        <v>0</v>
      </c>
      <c r="D15" s="14">
        <v>1000</v>
      </c>
      <c r="E15" s="14">
        <v>27182</v>
      </c>
      <c r="F15" s="14">
        <v>1000</v>
      </c>
      <c r="G15" s="14">
        <v>500</v>
      </c>
      <c r="H15" s="14">
        <v>52913</v>
      </c>
      <c r="I15" s="14">
        <v>995</v>
      </c>
      <c r="J15" s="14">
        <v>47033</v>
      </c>
      <c r="K15" s="14">
        <v>0</v>
      </c>
      <c r="L15" s="14">
        <v>500</v>
      </c>
      <c r="M15" s="14">
        <v>5690</v>
      </c>
      <c r="N15" s="14">
        <v>887</v>
      </c>
      <c r="O15" s="14">
        <v>2881</v>
      </c>
      <c r="P15" s="14">
        <v>59463</v>
      </c>
      <c r="Q15" s="14">
        <v>468</v>
      </c>
      <c r="R15" s="14">
        <v>51849</v>
      </c>
      <c r="S15" s="14">
        <v>25876</v>
      </c>
      <c r="T15" s="14">
        <v>3934</v>
      </c>
      <c r="U15" s="14">
        <v>3911</v>
      </c>
      <c r="V15" s="14">
        <v>2536</v>
      </c>
      <c r="W15" s="14">
        <v>7590</v>
      </c>
      <c r="X15" s="14">
        <v>8590</v>
      </c>
      <c r="Y15" s="14">
        <v>0</v>
      </c>
      <c r="Z15" s="38"/>
    </row>
    <row r="16" spans="1:26" x14ac:dyDescent="0.25">
      <c r="A16" s="49">
        <v>43464</v>
      </c>
      <c r="B16" s="14">
        <v>0</v>
      </c>
      <c r="C16" s="14">
        <v>0</v>
      </c>
      <c r="D16" s="14">
        <v>0</v>
      </c>
      <c r="E16" s="14">
        <v>3000</v>
      </c>
      <c r="F16" s="14">
        <v>1000</v>
      </c>
      <c r="G16" s="14">
        <v>500</v>
      </c>
      <c r="H16" s="14">
        <v>3000</v>
      </c>
      <c r="I16" s="14">
        <v>0</v>
      </c>
      <c r="J16" s="14">
        <v>3000</v>
      </c>
      <c r="K16" s="14">
        <v>0</v>
      </c>
      <c r="L16" s="14">
        <v>500</v>
      </c>
      <c r="M16" s="14">
        <v>0</v>
      </c>
      <c r="N16" s="14">
        <v>0</v>
      </c>
      <c r="O16" s="14">
        <v>0</v>
      </c>
      <c r="P16" s="14">
        <v>3000</v>
      </c>
      <c r="Q16" s="14">
        <v>0</v>
      </c>
      <c r="R16" s="14">
        <v>3000</v>
      </c>
      <c r="S16" s="14">
        <v>3000</v>
      </c>
      <c r="T16" s="14">
        <v>2000</v>
      </c>
      <c r="U16" s="14">
        <v>1000</v>
      </c>
      <c r="V16" s="14">
        <v>0</v>
      </c>
      <c r="W16" s="14">
        <v>3000</v>
      </c>
      <c r="X16" s="14">
        <v>3000</v>
      </c>
      <c r="Y16" s="14"/>
      <c r="Z16" s="38"/>
    </row>
    <row r="17" spans="1:26" ht="15.75" thickBot="1" x14ac:dyDescent="0.3">
      <c r="A17" s="50" t="s">
        <v>7</v>
      </c>
      <c r="B17" s="51">
        <f>SUM(B3:B16)</f>
        <v>300000</v>
      </c>
      <c r="C17" s="51">
        <f t="shared" ref="C17:Z17" si="0">SUM(C3:C16)</f>
        <v>20310</v>
      </c>
      <c r="D17" s="51">
        <f t="shared" si="0"/>
        <v>58240</v>
      </c>
      <c r="E17" s="51">
        <f t="shared" si="0"/>
        <v>130927</v>
      </c>
      <c r="F17" s="51">
        <f t="shared" si="0"/>
        <v>113733</v>
      </c>
      <c r="G17" s="51">
        <f t="shared" si="0"/>
        <v>68667</v>
      </c>
      <c r="H17" s="51">
        <f t="shared" si="0"/>
        <v>246139</v>
      </c>
      <c r="I17" s="51">
        <f t="shared" si="0"/>
        <v>5829</v>
      </c>
      <c r="J17" s="51">
        <f t="shared" si="0"/>
        <v>217338</v>
      </c>
      <c r="K17" s="51">
        <f t="shared" si="0"/>
        <v>49565</v>
      </c>
      <c r="L17" s="51">
        <f t="shared" si="0"/>
        <v>51000</v>
      </c>
      <c r="M17" s="51">
        <f t="shared" si="0"/>
        <v>32862</v>
      </c>
      <c r="N17" s="51">
        <f t="shared" si="0"/>
        <v>6887</v>
      </c>
      <c r="O17" s="51">
        <f t="shared" si="0"/>
        <v>16951</v>
      </c>
      <c r="P17" s="51">
        <f t="shared" si="0"/>
        <v>271092</v>
      </c>
      <c r="Q17" s="51">
        <f t="shared" si="0"/>
        <v>10968</v>
      </c>
      <c r="R17" s="51">
        <f t="shared" si="0"/>
        <v>235876</v>
      </c>
      <c r="S17" s="51">
        <f t="shared" si="0"/>
        <v>117040</v>
      </c>
      <c r="T17" s="51">
        <f t="shared" si="0"/>
        <v>32934</v>
      </c>
      <c r="U17" s="51">
        <f t="shared" si="0"/>
        <v>27911</v>
      </c>
      <c r="V17" s="51">
        <f t="shared" si="0"/>
        <v>32536</v>
      </c>
      <c r="W17" s="51">
        <f t="shared" si="0"/>
        <v>48590</v>
      </c>
      <c r="X17" s="51">
        <f t="shared" si="0"/>
        <v>49590</v>
      </c>
      <c r="Y17" s="51">
        <f t="shared" si="0"/>
        <v>0</v>
      </c>
      <c r="Z17" s="52">
        <f t="shared" si="0"/>
        <v>0</v>
      </c>
    </row>
    <row r="19" spans="1:26" ht="15.75" thickBot="1" x14ac:dyDescent="0.3"/>
    <row r="20" spans="1:26" x14ac:dyDescent="0.25">
      <c r="A20" s="42" t="s">
        <v>6</v>
      </c>
      <c r="B20" s="43" t="s">
        <v>24</v>
      </c>
      <c r="C20" s="43" t="s">
        <v>25</v>
      </c>
      <c r="D20" s="44" t="s">
        <v>26</v>
      </c>
      <c r="E20" s="44" t="s">
        <v>27</v>
      </c>
      <c r="F20" s="44" t="s">
        <v>28</v>
      </c>
      <c r="G20" s="44" t="s">
        <v>29</v>
      </c>
      <c r="H20" s="44" t="s">
        <v>30</v>
      </c>
      <c r="I20" s="44" t="s">
        <v>31</v>
      </c>
      <c r="J20" s="44" t="s">
        <v>32</v>
      </c>
      <c r="K20" s="44" t="s">
        <v>23</v>
      </c>
      <c r="L20" s="44" t="s">
        <v>33</v>
      </c>
      <c r="M20" s="44" t="s">
        <v>34</v>
      </c>
      <c r="N20" s="44" t="s">
        <v>35</v>
      </c>
      <c r="O20" s="44" t="s">
        <v>36</v>
      </c>
      <c r="P20" s="44" t="s">
        <v>37</v>
      </c>
      <c r="Q20" s="44" t="s">
        <v>38</v>
      </c>
      <c r="R20" s="44" t="s">
        <v>39</v>
      </c>
      <c r="S20" s="44" t="s">
        <v>40</v>
      </c>
      <c r="T20" s="44" t="s">
        <v>8</v>
      </c>
      <c r="U20" s="44" t="s">
        <v>0</v>
      </c>
      <c r="V20" s="44" t="s">
        <v>41</v>
      </c>
      <c r="W20" s="44" t="s">
        <v>42</v>
      </c>
      <c r="X20" s="44" t="s">
        <v>43</v>
      </c>
      <c r="Y20" s="44" t="s">
        <v>47</v>
      </c>
      <c r="Z20" s="45" t="s">
        <v>48</v>
      </c>
    </row>
    <row r="21" spans="1:26" x14ac:dyDescent="0.25">
      <c r="A21" s="46">
        <v>43480</v>
      </c>
      <c r="B21" s="14">
        <v>0</v>
      </c>
      <c r="C21" s="14">
        <v>0</v>
      </c>
      <c r="D21" s="14">
        <v>1000</v>
      </c>
      <c r="E21" s="14">
        <v>3000</v>
      </c>
      <c r="F21" s="14">
        <v>3000</v>
      </c>
      <c r="G21" s="14">
        <v>500</v>
      </c>
      <c r="H21" s="14">
        <v>3000</v>
      </c>
      <c r="I21" s="14">
        <v>0</v>
      </c>
      <c r="J21" s="14">
        <v>3000</v>
      </c>
      <c r="K21" s="14">
        <v>500</v>
      </c>
      <c r="L21" s="14">
        <v>500</v>
      </c>
      <c r="M21" s="14">
        <v>0</v>
      </c>
      <c r="N21" s="14">
        <v>0</v>
      </c>
      <c r="O21" s="14">
        <v>0</v>
      </c>
      <c r="P21" s="14">
        <v>3000</v>
      </c>
      <c r="Q21" s="14">
        <v>0</v>
      </c>
      <c r="R21" s="14">
        <v>3000</v>
      </c>
      <c r="S21" s="14">
        <v>3000</v>
      </c>
      <c r="T21" s="14">
        <v>2000</v>
      </c>
      <c r="U21" s="14">
        <v>0</v>
      </c>
      <c r="V21" s="14">
        <v>0</v>
      </c>
      <c r="W21" s="14">
        <v>3000</v>
      </c>
      <c r="X21" s="14">
        <v>3000</v>
      </c>
      <c r="Y21" s="14"/>
      <c r="Z21" s="38"/>
    </row>
    <row r="22" spans="1:26" x14ac:dyDescent="0.25">
      <c r="A22" s="46">
        <v>43495</v>
      </c>
      <c r="B22" s="14">
        <v>0</v>
      </c>
      <c r="C22" s="14">
        <v>300</v>
      </c>
      <c r="D22" s="14">
        <v>1000</v>
      </c>
      <c r="E22" s="14">
        <v>3000</v>
      </c>
      <c r="F22" s="14">
        <v>3000</v>
      </c>
      <c r="G22" s="14">
        <v>500</v>
      </c>
      <c r="H22" s="14">
        <v>3000</v>
      </c>
      <c r="I22" s="14">
        <v>0</v>
      </c>
      <c r="J22" s="14">
        <v>3000</v>
      </c>
      <c r="K22" s="14">
        <v>0</v>
      </c>
      <c r="L22" s="14">
        <v>500</v>
      </c>
      <c r="M22" s="14">
        <v>0</v>
      </c>
      <c r="N22" s="14">
        <v>1000</v>
      </c>
      <c r="O22" s="14">
        <v>0</v>
      </c>
      <c r="P22" s="14">
        <v>3000</v>
      </c>
      <c r="Q22" s="14">
        <v>0</v>
      </c>
      <c r="R22" s="14">
        <v>3000</v>
      </c>
      <c r="S22" s="14">
        <v>3000</v>
      </c>
      <c r="T22" s="14">
        <v>2000</v>
      </c>
      <c r="U22" s="14">
        <v>2000</v>
      </c>
      <c r="V22" s="14">
        <v>0</v>
      </c>
      <c r="W22" s="14">
        <v>3000</v>
      </c>
      <c r="X22" s="14">
        <v>3000</v>
      </c>
      <c r="Y22" s="14"/>
      <c r="Z22" s="38"/>
    </row>
    <row r="23" spans="1:26" x14ac:dyDescent="0.25">
      <c r="A23" s="46">
        <v>43511</v>
      </c>
      <c r="B23" s="14">
        <v>0</v>
      </c>
      <c r="C23" s="14">
        <v>300</v>
      </c>
      <c r="D23" s="14">
        <v>0</v>
      </c>
      <c r="E23" s="14">
        <v>1000</v>
      </c>
      <c r="F23" s="14">
        <v>3000</v>
      </c>
      <c r="G23" s="14">
        <v>500</v>
      </c>
      <c r="H23" s="14">
        <v>3000</v>
      </c>
      <c r="I23" s="14">
        <v>0</v>
      </c>
      <c r="J23" s="14">
        <v>3000</v>
      </c>
      <c r="K23" s="14">
        <v>0</v>
      </c>
      <c r="L23" s="14">
        <v>500</v>
      </c>
      <c r="M23" s="14">
        <v>0</v>
      </c>
      <c r="N23" s="14">
        <v>1000</v>
      </c>
      <c r="O23" s="14">
        <v>0</v>
      </c>
      <c r="P23" s="14">
        <v>3000</v>
      </c>
      <c r="Q23" s="14">
        <v>0</v>
      </c>
      <c r="R23" s="14">
        <v>3000</v>
      </c>
      <c r="S23" s="14">
        <v>3000</v>
      </c>
      <c r="T23" s="14">
        <v>2000</v>
      </c>
      <c r="U23" s="14">
        <v>2000</v>
      </c>
      <c r="V23" s="14">
        <v>0</v>
      </c>
      <c r="W23" s="14">
        <v>3000</v>
      </c>
      <c r="X23" s="14">
        <v>3000</v>
      </c>
      <c r="Y23" s="14"/>
      <c r="Z23" s="38"/>
    </row>
    <row r="24" spans="1:26" x14ac:dyDescent="0.25">
      <c r="A24" s="46">
        <v>43524</v>
      </c>
      <c r="B24" s="14">
        <v>0</v>
      </c>
      <c r="C24" s="14">
        <v>300</v>
      </c>
      <c r="D24" s="14">
        <v>1500</v>
      </c>
      <c r="E24" s="14">
        <v>1000</v>
      </c>
      <c r="F24" s="14">
        <v>3000</v>
      </c>
      <c r="G24" s="14">
        <v>500</v>
      </c>
      <c r="H24" s="14">
        <v>3000</v>
      </c>
      <c r="I24" s="14">
        <v>0</v>
      </c>
      <c r="J24" s="14">
        <v>3000</v>
      </c>
      <c r="K24" s="14">
        <v>500</v>
      </c>
      <c r="L24" s="14">
        <v>500</v>
      </c>
      <c r="M24" s="14">
        <v>0</v>
      </c>
      <c r="N24" s="14">
        <v>500</v>
      </c>
      <c r="O24" s="14">
        <v>0</v>
      </c>
      <c r="P24" s="14">
        <v>3000</v>
      </c>
      <c r="Q24" s="14">
        <v>410</v>
      </c>
      <c r="R24" s="14">
        <v>3000</v>
      </c>
      <c r="S24" s="14">
        <v>3000</v>
      </c>
      <c r="T24" s="14">
        <v>2000</v>
      </c>
      <c r="U24" s="14">
        <v>0</v>
      </c>
      <c r="V24" s="14">
        <v>0</v>
      </c>
      <c r="W24" s="14">
        <v>3000</v>
      </c>
      <c r="X24" s="14">
        <v>3000</v>
      </c>
      <c r="Y24" s="14"/>
      <c r="Z24" s="38"/>
    </row>
    <row r="25" spans="1:26" x14ac:dyDescent="0.25">
      <c r="A25" s="46">
        <v>43539</v>
      </c>
      <c r="B25" s="14">
        <v>0</v>
      </c>
      <c r="C25" s="14">
        <v>0</v>
      </c>
      <c r="D25" s="14">
        <v>0</v>
      </c>
      <c r="E25" s="14">
        <v>1000</v>
      </c>
      <c r="F25" s="14">
        <v>3000</v>
      </c>
      <c r="G25" s="14">
        <v>0</v>
      </c>
      <c r="H25" s="14">
        <v>3000</v>
      </c>
      <c r="I25" s="14">
        <v>0</v>
      </c>
      <c r="J25" s="14">
        <v>3000</v>
      </c>
      <c r="K25" s="14">
        <v>500</v>
      </c>
      <c r="L25" s="14">
        <v>500</v>
      </c>
      <c r="M25" s="14">
        <v>0</v>
      </c>
      <c r="N25" s="14">
        <v>1000</v>
      </c>
      <c r="O25" s="14">
        <v>0</v>
      </c>
      <c r="P25" s="14">
        <v>3000</v>
      </c>
      <c r="Q25" s="14">
        <v>1000</v>
      </c>
      <c r="R25" s="14">
        <v>3000</v>
      </c>
      <c r="S25" s="14">
        <v>3000</v>
      </c>
      <c r="T25" s="14">
        <v>2000</v>
      </c>
      <c r="U25" s="14">
        <v>0</v>
      </c>
      <c r="V25" s="14">
        <v>2000</v>
      </c>
      <c r="W25" s="14">
        <v>3000</v>
      </c>
      <c r="X25" s="14">
        <v>3000</v>
      </c>
      <c r="Y25" s="14"/>
      <c r="Z25" s="38"/>
    </row>
    <row r="26" spans="1:26" x14ac:dyDescent="0.25">
      <c r="A26" s="46">
        <v>43554</v>
      </c>
      <c r="B26" s="14">
        <v>0</v>
      </c>
      <c r="C26" s="14">
        <v>0</v>
      </c>
      <c r="D26" s="14">
        <v>0</v>
      </c>
      <c r="E26" s="14">
        <v>2000</v>
      </c>
      <c r="F26" s="14">
        <v>3000</v>
      </c>
      <c r="G26" s="14">
        <v>0</v>
      </c>
      <c r="H26" s="14">
        <v>3000</v>
      </c>
      <c r="I26" s="14">
        <v>0</v>
      </c>
      <c r="J26" s="14">
        <v>3000</v>
      </c>
      <c r="K26" s="14">
        <v>500</v>
      </c>
      <c r="L26" s="14">
        <v>500</v>
      </c>
      <c r="M26" s="14">
        <v>0</v>
      </c>
      <c r="N26" s="14">
        <v>0</v>
      </c>
      <c r="O26" s="14">
        <v>0</v>
      </c>
      <c r="P26" s="14">
        <v>3000</v>
      </c>
      <c r="Q26" s="14">
        <v>0</v>
      </c>
      <c r="R26" s="14">
        <v>0</v>
      </c>
      <c r="S26" s="14">
        <v>3000</v>
      </c>
      <c r="T26" s="14">
        <v>2000</v>
      </c>
      <c r="U26" s="14">
        <v>0</v>
      </c>
      <c r="V26" s="14">
        <v>0</v>
      </c>
      <c r="W26" s="14">
        <v>3000</v>
      </c>
      <c r="X26" s="14">
        <v>3000</v>
      </c>
      <c r="Y26" s="14"/>
      <c r="Z26" s="38"/>
    </row>
    <row r="27" spans="1:26" x14ac:dyDescent="0.25">
      <c r="A27" s="46">
        <v>43570</v>
      </c>
      <c r="B27" s="14">
        <v>0</v>
      </c>
      <c r="C27" s="14">
        <v>0</v>
      </c>
      <c r="D27" s="14">
        <v>0</v>
      </c>
      <c r="E27" s="14">
        <v>1000</v>
      </c>
      <c r="F27" s="14">
        <v>3000</v>
      </c>
      <c r="G27" s="14">
        <v>0</v>
      </c>
      <c r="H27" s="14">
        <v>3000</v>
      </c>
      <c r="I27" s="14">
        <v>0</v>
      </c>
      <c r="J27" s="14">
        <v>3000</v>
      </c>
      <c r="K27" s="14">
        <v>500</v>
      </c>
      <c r="L27" s="14">
        <v>1000</v>
      </c>
      <c r="M27" s="14">
        <v>0</v>
      </c>
      <c r="N27" s="14">
        <v>1000</v>
      </c>
      <c r="O27" s="14">
        <v>0</v>
      </c>
      <c r="P27" s="14">
        <v>3000</v>
      </c>
      <c r="Q27" s="14">
        <v>0</v>
      </c>
      <c r="R27" s="14">
        <v>3000</v>
      </c>
      <c r="S27" s="14">
        <v>3000</v>
      </c>
      <c r="T27" s="14">
        <v>2000</v>
      </c>
      <c r="U27" s="14">
        <v>0</v>
      </c>
      <c r="V27" s="14">
        <v>3000</v>
      </c>
      <c r="W27" s="14">
        <v>3000</v>
      </c>
      <c r="X27" s="14">
        <v>3000</v>
      </c>
      <c r="Y27" s="14"/>
      <c r="Z27" s="38"/>
    </row>
    <row r="28" spans="1:26" x14ac:dyDescent="0.25">
      <c r="A28" s="46">
        <v>43585</v>
      </c>
      <c r="B28" s="14">
        <v>0</v>
      </c>
      <c r="C28" s="14">
        <v>0</v>
      </c>
      <c r="D28" s="14">
        <v>0</v>
      </c>
      <c r="E28" s="14">
        <v>1000</v>
      </c>
      <c r="F28" s="14">
        <v>3000</v>
      </c>
      <c r="G28" s="14">
        <v>0</v>
      </c>
      <c r="H28" s="14">
        <v>3000</v>
      </c>
      <c r="I28" s="14">
        <v>0</v>
      </c>
      <c r="J28" s="14">
        <v>3000</v>
      </c>
      <c r="K28" s="14">
        <v>500</v>
      </c>
      <c r="L28" s="14">
        <v>1000</v>
      </c>
      <c r="M28" s="14">
        <v>0</v>
      </c>
      <c r="N28" s="14">
        <v>1000</v>
      </c>
      <c r="O28" s="14">
        <v>0</v>
      </c>
      <c r="P28" s="14">
        <v>3000</v>
      </c>
      <c r="Q28" s="14">
        <v>0</v>
      </c>
      <c r="R28" s="14">
        <v>3000</v>
      </c>
      <c r="S28" s="14">
        <v>3000</v>
      </c>
      <c r="T28" s="14">
        <v>2000</v>
      </c>
      <c r="U28" s="14">
        <v>0</v>
      </c>
      <c r="V28" s="14">
        <v>0</v>
      </c>
      <c r="W28" s="14">
        <v>3000</v>
      </c>
      <c r="X28" s="14">
        <v>3000</v>
      </c>
      <c r="Y28" s="14"/>
      <c r="Z28" s="38"/>
    </row>
    <row r="29" spans="1:26" x14ac:dyDescent="0.25">
      <c r="A29" s="46">
        <v>43600</v>
      </c>
      <c r="B29" s="14">
        <v>0</v>
      </c>
      <c r="C29" s="14">
        <v>0</v>
      </c>
      <c r="D29" s="14">
        <v>0</v>
      </c>
      <c r="E29" s="14">
        <v>1000</v>
      </c>
      <c r="F29" s="14">
        <v>3000</v>
      </c>
      <c r="G29" s="14">
        <v>0</v>
      </c>
      <c r="H29" s="14">
        <v>3000</v>
      </c>
      <c r="I29" s="14">
        <v>0</v>
      </c>
      <c r="J29" s="14">
        <v>3000</v>
      </c>
      <c r="K29" s="14">
        <v>0</v>
      </c>
      <c r="L29" s="14">
        <v>1000</v>
      </c>
      <c r="M29" s="14">
        <v>0</v>
      </c>
      <c r="N29" s="14">
        <v>1000</v>
      </c>
      <c r="O29" s="14">
        <v>0</v>
      </c>
      <c r="P29" s="14">
        <v>0</v>
      </c>
      <c r="Q29" s="14">
        <v>0</v>
      </c>
      <c r="R29" s="14">
        <v>2000</v>
      </c>
      <c r="S29" s="14">
        <v>3000</v>
      </c>
      <c r="T29" s="14">
        <v>2000</v>
      </c>
      <c r="U29" s="14">
        <v>0</v>
      </c>
      <c r="V29" s="14">
        <v>1000</v>
      </c>
      <c r="W29" s="14">
        <v>3000</v>
      </c>
      <c r="X29" s="14">
        <v>3000</v>
      </c>
      <c r="Y29" s="14"/>
      <c r="Z29" s="38"/>
    </row>
    <row r="30" spans="1:26" x14ac:dyDescent="0.25">
      <c r="A30" s="46">
        <v>43615</v>
      </c>
      <c r="B30" s="14">
        <v>0</v>
      </c>
      <c r="C30" s="14">
        <v>0</v>
      </c>
      <c r="D30" s="14">
        <v>1000</v>
      </c>
      <c r="E30" s="14">
        <v>1000</v>
      </c>
      <c r="F30" s="14">
        <v>3000</v>
      </c>
      <c r="G30" s="14">
        <v>0</v>
      </c>
      <c r="H30" s="14">
        <v>0</v>
      </c>
      <c r="I30" s="14">
        <v>0</v>
      </c>
      <c r="J30" s="14">
        <v>3000</v>
      </c>
      <c r="K30" s="14">
        <v>500</v>
      </c>
      <c r="L30" s="14">
        <v>1000</v>
      </c>
      <c r="M30" s="14">
        <v>0</v>
      </c>
      <c r="N30" s="14">
        <v>1000</v>
      </c>
      <c r="O30" s="14">
        <v>0</v>
      </c>
      <c r="P30" s="14">
        <v>0</v>
      </c>
      <c r="Q30" s="14">
        <v>0</v>
      </c>
      <c r="R30" s="14">
        <v>0</v>
      </c>
      <c r="S30" s="14">
        <v>3000</v>
      </c>
      <c r="T30" s="14">
        <v>0</v>
      </c>
      <c r="U30" s="14">
        <v>2000</v>
      </c>
      <c r="V30" s="14">
        <v>0</v>
      </c>
      <c r="W30" s="14">
        <v>3000</v>
      </c>
      <c r="X30" s="14">
        <v>3000</v>
      </c>
      <c r="Y30" s="14"/>
      <c r="Z30" s="38"/>
    </row>
    <row r="31" spans="1:26" x14ac:dyDescent="0.25">
      <c r="A31" s="46">
        <v>43631</v>
      </c>
      <c r="B31" s="14">
        <v>0</v>
      </c>
      <c r="C31" s="14">
        <v>0</v>
      </c>
      <c r="D31" s="14">
        <v>1000</v>
      </c>
      <c r="E31" s="14">
        <v>21000</v>
      </c>
      <c r="F31" s="14">
        <v>3000</v>
      </c>
      <c r="G31" s="14">
        <v>0</v>
      </c>
      <c r="H31" s="14">
        <v>26861</v>
      </c>
      <c r="I31" s="14">
        <v>-5829</v>
      </c>
      <c r="J31" s="14">
        <v>52662</v>
      </c>
      <c r="K31" s="14">
        <v>500</v>
      </c>
      <c r="L31" s="14">
        <v>11000</v>
      </c>
      <c r="M31" s="14">
        <v>0</v>
      </c>
      <c r="N31" s="14">
        <v>2919</v>
      </c>
      <c r="O31" s="14">
        <v>0</v>
      </c>
      <c r="P31" s="14">
        <v>4908</v>
      </c>
      <c r="Q31" s="14">
        <v>2611</v>
      </c>
      <c r="R31" s="14">
        <v>41124</v>
      </c>
      <c r="S31" s="14">
        <v>18000</v>
      </c>
      <c r="T31" s="14">
        <v>13235</v>
      </c>
      <c r="U31" s="14">
        <v>7543</v>
      </c>
      <c r="V31" s="14">
        <v>8662</v>
      </c>
      <c r="W31" s="14">
        <v>18367</v>
      </c>
      <c r="X31" s="14">
        <v>18618</v>
      </c>
      <c r="Y31" s="14"/>
      <c r="Z31" s="38"/>
    </row>
    <row r="32" spans="1:26" x14ac:dyDescent="0.25">
      <c r="A32" s="46">
        <v>43646</v>
      </c>
      <c r="B32" s="14">
        <v>0</v>
      </c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38"/>
    </row>
    <row r="33" spans="1:26" x14ac:dyDescent="0.25">
      <c r="A33" s="46">
        <v>43661</v>
      </c>
      <c r="B33" s="14">
        <v>0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38"/>
    </row>
    <row r="34" spans="1:26" x14ac:dyDescent="0.25">
      <c r="A34" s="46">
        <v>43676</v>
      </c>
      <c r="B34" s="14">
        <v>0</v>
      </c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38"/>
    </row>
    <row r="35" spans="1:26" x14ac:dyDescent="0.25">
      <c r="A35" s="46">
        <v>43692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38"/>
    </row>
    <row r="36" spans="1:26" x14ac:dyDescent="0.25">
      <c r="A36" s="46">
        <v>43707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38"/>
    </row>
    <row r="37" spans="1:26" x14ac:dyDescent="0.25">
      <c r="A37" s="46">
        <v>43723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38"/>
    </row>
    <row r="38" spans="1:26" x14ac:dyDescent="0.25">
      <c r="A38" s="46">
        <v>43738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38"/>
    </row>
    <row r="39" spans="1:26" x14ac:dyDescent="0.25">
      <c r="A39" s="46">
        <v>43753</v>
      </c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38"/>
    </row>
    <row r="40" spans="1:26" x14ac:dyDescent="0.25">
      <c r="A40" s="46">
        <v>43768</v>
      </c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38"/>
    </row>
    <row r="41" spans="1:26" x14ac:dyDescent="0.25">
      <c r="A41" s="46">
        <v>43784</v>
      </c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38"/>
    </row>
    <row r="42" spans="1:26" x14ac:dyDescent="0.25">
      <c r="A42" s="46">
        <v>43799</v>
      </c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38"/>
    </row>
    <row r="43" spans="1:26" x14ac:dyDescent="0.25">
      <c r="A43" s="46">
        <v>43814</v>
      </c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38"/>
    </row>
    <row r="44" spans="1:26" ht="15.75" thickBot="1" x14ac:dyDescent="0.3">
      <c r="A44" s="47">
        <v>43829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1"/>
    </row>
    <row r="45" spans="1:26" ht="15.75" thickBot="1" x14ac:dyDescent="0.3">
      <c r="A45" s="50" t="s">
        <v>7</v>
      </c>
      <c r="B45" s="51">
        <f>SUM(B31:B44)</f>
        <v>0</v>
      </c>
      <c r="C45" s="51">
        <f t="shared" ref="C45" si="1">SUM(C31:C44)</f>
        <v>0</v>
      </c>
      <c r="D45" s="51">
        <f t="shared" ref="D45" si="2">SUM(D31:D44)</f>
        <v>1000</v>
      </c>
      <c r="E45" s="51">
        <f t="shared" ref="E45" si="3">SUM(E31:E44)</f>
        <v>21000</v>
      </c>
      <c r="F45" s="51">
        <f t="shared" ref="F45" si="4">SUM(F31:F44)</f>
        <v>3000</v>
      </c>
      <c r="G45" s="51">
        <f t="shared" ref="G45" si="5">SUM(G31:G44)</f>
        <v>0</v>
      </c>
      <c r="H45" s="51">
        <f t="shared" ref="H45" si="6">SUM(H31:H44)</f>
        <v>26861</v>
      </c>
      <c r="I45" s="51">
        <f t="shared" ref="I45" si="7">SUM(I31:I44)</f>
        <v>-5829</v>
      </c>
      <c r="J45" s="51">
        <f t="shared" ref="J45" si="8">SUM(J31:J44)</f>
        <v>52662</v>
      </c>
      <c r="K45" s="51">
        <f t="shared" ref="K45" si="9">SUM(K31:K44)</f>
        <v>500</v>
      </c>
      <c r="L45" s="51">
        <f t="shared" ref="L45" si="10">SUM(L31:L44)</f>
        <v>11000</v>
      </c>
      <c r="M45" s="51">
        <f t="shared" ref="M45" si="11">SUM(M31:M44)</f>
        <v>0</v>
      </c>
      <c r="N45" s="51">
        <f t="shared" ref="N45" si="12">SUM(N31:N44)</f>
        <v>2919</v>
      </c>
      <c r="O45" s="51">
        <f t="shared" ref="O45" si="13">SUM(O31:O44)</f>
        <v>0</v>
      </c>
      <c r="P45" s="51">
        <f t="shared" ref="P45" si="14">SUM(P31:P44)</f>
        <v>4908</v>
      </c>
      <c r="Q45" s="51">
        <f t="shared" ref="Q45" si="15">SUM(Q31:Q44)</f>
        <v>2611</v>
      </c>
      <c r="R45" s="51">
        <f t="shared" ref="R45" si="16">SUM(R31:R44)</f>
        <v>41124</v>
      </c>
      <c r="S45" s="51">
        <f t="shared" ref="S45" si="17">SUM(S31:S44)</f>
        <v>18000</v>
      </c>
      <c r="T45" s="51">
        <f t="shared" ref="T45" si="18">SUM(T31:T44)</f>
        <v>13235</v>
      </c>
      <c r="U45" s="51">
        <f t="shared" ref="U45" si="19">SUM(U31:U44)</f>
        <v>7543</v>
      </c>
      <c r="V45" s="51">
        <f t="shared" ref="V45" si="20">SUM(V31:V44)</f>
        <v>8662</v>
      </c>
      <c r="W45" s="51">
        <f t="shared" ref="W45" si="21">SUM(W31:W44)</f>
        <v>18367</v>
      </c>
      <c r="X45" s="51">
        <f t="shared" ref="X45" si="22">SUM(X31:X44)</f>
        <v>18618</v>
      </c>
      <c r="Y45" s="51">
        <f t="shared" ref="Y45" si="23">SUM(Y31:Y44)</f>
        <v>0</v>
      </c>
      <c r="Z45" s="52">
        <f t="shared" ref="Z45" si="24">SUM(Z31:Z44)</f>
        <v>0</v>
      </c>
    </row>
    <row r="48" spans="1:26" ht="15.75" thickBot="1" x14ac:dyDescent="0.3">
      <c r="A48" s="12" t="s">
        <v>6</v>
      </c>
      <c r="B48" s="28" t="s">
        <v>24</v>
      </c>
      <c r="C48" s="28" t="s">
        <v>25</v>
      </c>
      <c r="D48" s="29" t="s">
        <v>26</v>
      </c>
      <c r="E48" s="29" t="s">
        <v>27</v>
      </c>
      <c r="F48" s="29" t="s">
        <v>28</v>
      </c>
      <c r="G48" s="29" t="s">
        <v>29</v>
      </c>
      <c r="H48" s="29" t="s">
        <v>30</v>
      </c>
      <c r="I48" s="29" t="s">
        <v>31</v>
      </c>
      <c r="J48" s="29" t="s">
        <v>32</v>
      </c>
      <c r="K48" s="29" t="s">
        <v>23</v>
      </c>
      <c r="L48" s="29" t="s">
        <v>33</v>
      </c>
      <c r="M48" s="29" t="s">
        <v>34</v>
      </c>
      <c r="N48" s="29" t="s">
        <v>35</v>
      </c>
      <c r="O48" s="29" t="s">
        <v>36</v>
      </c>
      <c r="P48" s="29" t="s">
        <v>37</v>
      </c>
      <c r="Q48" s="29" t="s">
        <v>38</v>
      </c>
      <c r="R48" s="29" t="s">
        <v>39</v>
      </c>
      <c r="S48" s="29" t="s">
        <v>40</v>
      </c>
      <c r="T48" s="29" t="s">
        <v>8</v>
      </c>
      <c r="U48" s="29" t="s">
        <v>0</v>
      </c>
      <c r="V48" s="29" t="s">
        <v>41</v>
      </c>
      <c r="W48" s="29" t="s">
        <v>42</v>
      </c>
      <c r="X48" s="29" t="s">
        <v>43</v>
      </c>
      <c r="Y48" s="29" t="s">
        <v>47</v>
      </c>
      <c r="Z48" s="29" t="s">
        <v>48</v>
      </c>
    </row>
    <row r="49" spans="1:26" x14ac:dyDescent="0.25">
      <c r="A49" s="34">
        <v>43845</v>
      </c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6"/>
    </row>
    <row r="50" spans="1:26" x14ac:dyDescent="0.25">
      <c r="A50" s="37">
        <v>43860</v>
      </c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38"/>
    </row>
    <row r="51" spans="1:26" x14ac:dyDescent="0.25">
      <c r="A51" s="37">
        <v>43876</v>
      </c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38"/>
    </row>
    <row r="52" spans="1:26" x14ac:dyDescent="0.25">
      <c r="A52" s="37">
        <v>43889</v>
      </c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38"/>
    </row>
    <row r="53" spans="1:26" x14ac:dyDescent="0.25">
      <c r="A53" s="37">
        <v>43905</v>
      </c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38"/>
    </row>
    <row r="54" spans="1:26" x14ac:dyDescent="0.25">
      <c r="A54" s="37">
        <v>43920</v>
      </c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38"/>
    </row>
    <row r="55" spans="1:26" x14ac:dyDescent="0.25">
      <c r="A55" s="37">
        <v>43936</v>
      </c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38"/>
    </row>
    <row r="56" spans="1:26" x14ac:dyDescent="0.25">
      <c r="A56" s="37">
        <v>43951</v>
      </c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38"/>
    </row>
    <row r="57" spans="1:26" x14ac:dyDescent="0.25">
      <c r="A57" s="37">
        <v>43966</v>
      </c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38"/>
    </row>
    <row r="58" spans="1:26" x14ac:dyDescent="0.25">
      <c r="A58" s="37">
        <v>43981</v>
      </c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38"/>
    </row>
    <row r="59" spans="1:26" x14ac:dyDescent="0.25">
      <c r="A59" s="37">
        <v>43997</v>
      </c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38"/>
    </row>
    <row r="60" spans="1:26" x14ac:dyDescent="0.25">
      <c r="A60" s="37">
        <v>44012</v>
      </c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38"/>
    </row>
    <row r="61" spans="1:26" x14ac:dyDescent="0.25">
      <c r="A61" s="37">
        <v>44027</v>
      </c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38"/>
    </row>
    <row r="62" spans="1:26" x14ac:dyDescent="0.25">
      <c r="A62" s="37">
        <v>44042</v>
      </c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38"/>
    </row>
    <row r="63" spans="1:26" x14ac:dyDescent="0.25">
      <c r="A63" s="37">
        <v>44058</v>
      </c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38"/>
    </row>
    <row r="64" spans="1:26" x14ac:dyDescent="0.25">
      <c r="A64" s="37">
        <v>44073</v>
      </c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38"/>
    </row>
    <row r="65" spans="1:32" x14ac:dyDescent="0.25">
      <c r="A65" s="37">
        <v>44089</v>
      </c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38"/>
    </row>
    <row r="66" spans="1:32" x14ac:dyDescent="0.25">
      <c r="A66" s="37">
        <v>44104</v>
      </c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38"/>
      <c r="AE66" s="3"/>
    </row>
    <row r="67" spans="1:32" x14ac:dyDescent="0.25">
      <c r="A67" s="37">
        <v>44119</v>
      </c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38"/>
      <c r="AE67" s="3"/>
    </row>
    <row r="68" spans="1:32" x14ac:dyDescent="0.25">
      <c r="A68" s="37">
        <v>44134</v>
      </c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38"/>
      <c r="AF68" s="3"/>
    </row>
    <row r="69" spans="1:32" x14ac:dyDescent="0.25">
      <c r="A69" s="37">
        <v>44150</v>
      </c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38"/>
      <c r="AF69" s="3"/>
    </row>
    <row r="70" spans="1:32" x14ac:dyDescent="0.25">
      <c r="A70" s="37">
        <v>44165</v>
      </c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38"/>
      <c r="AF70" s="3"/>
    </row>
    <row r="71" spans="1:32" x14ac:dyDescent="0.25">
      <c r="A71" s="37">
        <v>44180</v>
      </c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38">
        <v>20000</v>
      </c>
      <c r="AF71" s="3"/>
    </row>
    <row r="72" spans="1:32" ht="15.75" thickBot="1" x14ac:dyDescent="0.3">
      <c r="A72" s="39">
        <v>44195</v>
      </c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1"/>
      <c r="AF72" s="3"/>
    </row>
    <row r="73" spans="1:32" ht="15.75" thickBot="1" x14ac:dyDescent="0.3">
      <c r="A73" s="50" t="s">
        <v>7</v>
      </c>
      <c r="B73" s="51">
        <f>SUM(B59:B72)</f>
        <v>0</v>
      </c>
      <c r="C73" s="51">
        <f t="shared" ref="C73" si="25">SUM(C59:C72)</f>
        <v>0</v>
      </c>
      <c r="D73" s="51">
        <f t="shared" ref="D73" si="26">SUM(D59:D72)</f>
        <v>0</v>
      </c>
      <c r="E73" s="51">
        <f t="shared" ref="E73" si="27">SUM(E59:E72)</f>
        <v>0</v>
      </c>
      <c r="F73" s="51">
        <f t="shared" ref="F73" si="28">SUM(F59:F72)</f>
        <v>0</v>
      </c>
      <c r="G73" s="51">
        <f t="shared" ref="G73" si="29">SUM(G59:G72)</f>
        <v>0</v>
      </c>
      <c r="H73" s="51">
        <f t="shared" ref="H73" si="30">SUM(H59:H72)</f>
        <v>0</v>
      </c>
      <c r="I73" s="51">
        <f t="shared" ref="I73" si="31">SUM(I59:I72)</f>
        <v>0</v>
      </c>
      <c r="J73" s="51">
        <f t="shared" ref="J73" si="32">SUM(J59:J72)</f>
        <v>0</v>
      </c>
      <c r="K73" s="51">
        <f t="shared" ref="K73" si="33">SUM(K59:K72)</f>
        <v>0</v>
      </c>
      <c r="L73" s="51">
        <f t="shared" ref="L73" si="34">SUM(L59:L72)</f>
        <v>0</v>
      </c>
      <c r="M73" s="51">
        <f t="shared" ref="M73" si="35">SUM(M59:M72)</f>
        <v>0</v>
      </c>
      <c r="N73" s="51">
        <f t="shared" ref="N73" si="36">SUM(N59:N72)</f>
        <v>0</v>
      </c>
      <c r="O73" s="51">
        <f t="shared" ref="O73" si="37">SUM(O59:O72)</f>
        <v>0</v>
      </c>
      <c r="P73" s="51">
        <f t="shared" ref="P73" si="38">SUM(P59:P72)</f>
        <v>0</v>
      </c>
      <c r="Q73" s="51">
        <f t="shared" ref="Q73" si="39">SUM(Q59:Q72)</f>
        <v>0</v>
      </c>
      <c r="R73" s="51">
        <f t="shared" ref="R73" si="40">SUM(R59:R72)</f>
        <v>0</v>
      </c>
      <c r="S73" s="51">
        <f t="shared" ref="S73" si="41">SUM(S59:S72)</f>
        <v>0</v>
      </c>
      <c r="T73" s="51">
        <f t="shared" ref="T73" si="42">SUM(T59:T72)</f>
        <v>0</v>
      </c>
      <c r="U73" s="51">
        <f t="shared" ref="U73" si="43">SUM(U59:U72)</f>
        <v>0</v>
      </c>
      <c r="V73" s="51">
        <f t="shared" ref="V73" si="44">SUM(V59:V72)</f>
        <v>0</v>
      </c>
      <c r="W73" s="51">
        <f t="shared" ref="W73" si="45">SUM(W59:W72)</f>
        <v>0</v>
      </c>
      <c r="X73" s="51">
        <f t="shared" ref="X73" si="46">SUM(X59:X72)</f>
        <v>0</v>
      </c>
      <c r="Y73" s="51">
        <f t="shared" ref="Y73" si="47">SUM(Y59:Y72)</f>
        <v>0</v>
      </c>
      <c r="Z73" s="52">
        <f t="shared" ref="Z73" si="48">SUM(Z59:Z72)</f>
        <v>20000</v>
      </c>
      <c r="AF73" s="3"/>
    </row>
    <row r="74" spans="1:32" x14ac:dyDescent="0.25">
      <c r="AF74" s="3"/>
    </row>
    <row r="75" spans="1:32" x14ac:dyDescent="0.25">
      <c r="AF75" s="3"/>
    </row>
    <row r="76" spans="1:32" x14ac:dyDescent="0.25">
      <c r="AF76" s="3"/>
    </row>
    <row r="77" spans="1:32" x14ac:dyDescent="0.25">
      <c r="AF77" s="3"/>
    </row>
    <row r="78" spans="1:32" x14ac:dyDescent="0.25">
      <c r="AF78" s="3"/>
    </row>
    <row r="79" spans="1:32" x14ac:dyDescent="0.25">
      <c r="AF79" s="3"/>
    </row>
    <row r="80" spans="1:32" x14ac:dyDescent="0.25">
      <c r="AF80" s="3"/>
    </row>
    <row r="81" spans="1:32" x14ac:dyDescent="0.25">
      <c r="AF81" s="3"/>
    </row>
    <row r="82" spans="1:3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AF82" s="3"/>
    </row>
    <row r="83" spans="1:3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AF83" s="3"/>
    </row>
    <row r="84" spans="1:3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AF84" s="3"/>
    </row>
    <row r="85" spans="1:3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AF85" s="3"/>
    </row>
    <row r="86" spans="1:3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AF86" s="3"/>
    </row>
    <row r="87" spans="1:3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AF87" s="3"/>
    </row>
    <row r="88" spans="1:3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AF88" s="3"/>
    </row>
    <row r="89" spans="1:3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AF89" s="3"/>
    </row>
    <row r="90" spans="1:3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AF90" s="3"/>
    </row>
    <row r="91" spans="1:3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AF91" s="3"/>
    </row>
    <row r="92" spans="1:3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AF92" s="3"/>
    </row>
    <row r="93" spans="1:3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AF93" s="3"/>
    </row>
    <row r="94" spans="1:3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AF94" s="3"/>
    </row>
    <row r="95" spans="1:3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AF95" s="3"/>
    </row>
    <row r="96" spans="1:3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AF96" s="3"/>
    </row>
    <row r="97" spans="1:3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AF97" s="3"/>
    </row>
    <row r="98" spans="1:32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AF98" s="3"/>
    </row>
    <row r="99" spans="1:32" x14ac:dyDescent="0.25">
      <c r="AF99" s="3"/>
    </row>
    <row r="100" spans="1:32" x14ac:dyDescent="0.25">
      <c r="AF100" s="3"/>
    </row>
    <row r="101" spans="1:32" x14ac:dyDescent="0.25">
      <c r="AF101" s="3"/>
    </row>
    <row r="102" spans="1:32" x14ac:dyDescent="0.25">
      <c r="AF102" s="3"/>
    </row>
    <row r="103" spans="1:32" x14ac:dyDescent="0.25">
      <c r="AF103" s="3"/>
    </row>
    <row r="104" spans="1:32" x14ac:dyDescent="0.25">
      <c r="AF104" s="3"/>
    </row>
    <row r="105" spans="1:32" x14ac:dyDescent="0.25">
      <c r="AF105" s="3"/>
    </row>
    <row r="106" spans="1:32" x14ac:dyDescent="0.25">
      <c r="AF106" s="3"/>
    </row>
    <row r="107" spans="1:32" x14ac:dyDescent="0.25">
      <c r="AF107" s="3"/>
    </row>
    <row r="108" spans="1:32" x14ac:dyDescent="0.25">
      <c r="AF108" s="3"/>
    </row>
    <row r="109" spans="1:32" x14ac:dyDescent="0.25">
      <c r="AF109" s="3"/>
    </row>
    <row r="110" spans="1:32" x14ac:dyDescent="0.25">
      <c r="AF110" s="3"/>
    </row>
    <row r="111" spans="1:32" x14ac:dyDescent="0.25">
      <c r="AF111" s="3"/>
    </row>
    <row r="112" spans="1:32" x14ac:dyDescent="0.25">
      <c r="AF112" s="3"/>
    </row>
    <row r="113" spans="32:32" x14ac:dyDescent="0.25">
      <c r="AF113" s="3"/>
    </row>
    <row r="114" spans="32:32" x14ac:dyDescent="0.25">
      <c r="AF114" s="3"/>
    </row>
    <row r="115" spans="32:32" x14ac:dyDescent="0.25">
      <c r="AF115" s="3"/>
    </row>
    <row r="116" spans="32:32" x14ac:dyDescent="0.25">
      <c r="AF116" s="3"/>
    </row>
    <row r="117" spans="32:32" x14ac:dyDescent="0.25">
      <c r="AF117" s="3"/>
    </row>
    <row r="118" spans="32:32" x14ac:dyDescent="0.25">
      <c r="AF118" s="3"/>
    </row>
    <row r="119" spans="32:32" x14ac:dyDescent="0.25">
      <c r="AF119" s="3"/>
    </row>
    <row r="120" spans="32:32" x14ac:dyDescent="0.25">
      <c r="AF120" s="3"/>
    </row>
    <row r="121" spans="32:32" x14ac:dyDescent="0.25">
      <c r="AF121" s="4"/>
    </row>
    <row r="122" spans="32:32" x14ac:dyDescent="0.25">
      <c r="AF122" s="4"/>
    </row>
    <row r="123" spans="32:32" x14ac:dyDescent="0.25">
      <c r="AF123" s="4"/>
    </row>
    <row r="124" spans="32:32" x14ac:dyDescent="0.25">
      <c r="AF124" s="4"/>
    </row>
    <row r="125" spans="32:32" x14ac:dyDescent="0.25">
      <c r="AF125" s="4"/>
    </row>
    <row r="126" spans="32:32" x14ac:dyDescent="0.25">
      <c r="AF126" s="4"/>
    </row>
    <row r="127" spans="32:32" x14ac:dyDescent="0.25">
      <c r="AF127" s="4"/>
    </row>
    <row r="128" spans="32:32" x14ac:dyDescent="0.25">
      <c r="AF128" s="4"/>
    </row>
    <row r="129" spans="32:32" x14ac:dyDescent="0.25">
      <c r="AF129" s="4"/>
    </row>
    <row r="227" spans="1:26" x14ac:dyDescent="0.25">
      <c r="A227" s="9" t="s">
        <v>7</v>
      </c>
      <c r="B227">
        <v>300000</v>
      </c>
      <c r="C227">
        <v>21210</v>
      </c>
      <c r="D227">
        <v>63740</v>
      </c>
      <c r="E227">
        <v>166927</v>
      </c>
      <c r="F227">
        <v>146733</v>
      </c>
      <c r="G227">
        <v>70667</v>
      </c>
      <c r="H227">
        <v>300000</v>
      </c>
      <c r="I227">
        <v>0</v>
      </c>
      <c r="J227">
        <v>300000</v>
      </c>
      <c r="K227">
        <v>53565</v>
      </c>
      <c r="L227">
        <v>69000</v>
      </c>
      <c r="M227">
        <v>32862</v>
      </c>
      <c r="N227">
        <v>17306</v>
      </c>
      <c r="O227">
        <v>16951</v>
      </c>
      <c r="P227">
        <v>300000</v>
      </c>
      <c r="Q227">
        <v>14989</v>
      </c>
      <c r="R227">
        <v>300000</v>
      </c>
      <c r="S227">
        <v>165040</v>
      </c>
      <c r="T227">
        <v>64169</v>
      </c>
      <c r="U227">
        <v>41454</v>
      </c>
      <c r="V227">
        <v>47198</v>
      </c>
      <c r="W227">
        <v>96957</v>
      </c>
      <c r="X227">
        <v>98208</v>
      </c>
      <c r="Y227">
        <v>0</v>
      </c>
      <c r="Z227">
        <v>20000</v>
      </c>
    </row>
    <row r="228" spans="1:26" x14ac:dyDescent="0.25">
      <c r="A228" s="10" t="s">
        <v>9</v>
      </c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</row>
    <row r="229" spans="1:26" ht="18.75" x14ac:dyDescent="0.3">
      <c r="A229" s="15">
        <f>SUM(AA65:AO65)</f>
        <v>0</v>
      </c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</row>
    <row r="230" spans="1:26" x14ac:dyDescent="0.25">
      <c r="A230" s="16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</row>
    <row r="231" spans="1:26" x14ac:dyDescent="0.25">
      <c r="A231" s="16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</row>
    <row r="232" spans="1:26" x14ac:dyDescent="0.25">
      <c r="A232" s="16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</row>
    <row r="286" spans="1:11" x14ac:dyDescent="0.25">
      <c r="A286" s="2" t="s">
        <v>3</v>
      </c>
      <c r="B286" s="2"/>
      <c r="C286">
        <f>COUNTA(B2:AD2)</f>
        <v>25</v>
      </c>
      <c r="E286" s="2" t="s">
        <v>20</v>
      </c>
      <c r="F286" s="2"/>
      <c r="H286" s="2"/>
      <c r="I286" s="2"/>
      <c r="K286">
        <f>COUNTA(A2:A95)</f>
        <v>68</v>
      </c>
    </row>
    <row r="287" spans="1:11" x14ac:dyDescent="0.25">
      <c r="A287" t="s">
        <v>24</v>
      </c>
      <c r="C287" t="s">
        <v>1</v>
      </c>
      <c r="E287">
        <f>COUNTA(A1:A227)</f>
        <v>70</v>
      </c>
    </row>
    <row r="288" spans="1:11" x14ac:dyDescent="0.25">
      <c r="A288" t="s">
        <v>25</v>
      </c>
      <c r="C288" t="s">
        <v>5</v>
      </c>
    </row>
    <row r="289" spans="1:3" x14ac:dyDescent="0.25">
      <c r="A289" t="s">
        <v>26</v>
      </c>
      <c r="C289" t="s">
        <v>2</v>
      </c>
    </row>
    <row r="290" spans="1:3" x14ac:dyDescent="0.25">
      <c r="A290" t="s">
        <v>27</v>
      </c>
    </row>
    <row r="291" spans="1:3" x14ac:dyDescent="0.25">
      <c r="A291" t="s">
        <v>28</v>
      </c>
    </row>
    <row r="292" spans="1:3" x14ac:dyDescent="0.25">
      <c r="A292" t="s">
        <v>29</v>
      </c>
    </row>
    <row r="293" spans="1:3" x14ac:dyDescent="0.25">
      <c r="A293" t="s">
        <v>30</v>
      </c>
    </row>
    <row r="294" spans="1:3" x14ac:dyDescent="0.25">
      <c r="A294" t="s">
        <v>31</v>
      </c>
    </row>
    <row r="295" spans="1:3" x14ac:dyDescent="0.25">
      <c r="A295" t="s">
        <v>32</v>
      </c>
    </row>
    <row r="296" spans="1:3" x14ac:dyDescent="0.25">
      <c r="A296" t="s">
        <v>23</v>
      </c>
    </row>
    <row r="297" spans="1:3" x14ac:dyDescent="0.25">
      <c r="A297" t="s">
        <v>33</v>
      </c>
    </row>
    <row r="298" spans="1:3" x14ac:dyDescent="0.25">
      <c r="A298" t="s">
        <v>34</v>
      </c>
    </row>
    <row r="299" spans="1:3" x14ac:dyDescent="0.25">
      <c r="A299" t="s">
        <v>35</v>
      </c>
    </row>
    <row r="300" spans="1:3" x14ac:dyDescent="0.25">
      <c r="A300" t="s">
        <v>36</v>
      </c>
    </row>
    <row r="301" spans="1:3" x14ac:dyDescent="0.25">
      <c r="A301" t="s">
        <v>37</v>
      </c>
    </row>
    <row r="302" spans="1:3" x14ac:dyDescent="0.25">
      <c r="A302" t="s">
        <v>38</v>
      </c>
    </row>
    <row r="303" spans="1:3" x14ac:dyDescent="0.25">
      <c r="A303" t="s">
        <v>39</v>
      </c>
    </row>
    <row r="304" spans="1:3" x14ac:dyDescent="0.25">
      <c r="A304" t="s">
        <v>40</v>
      </c>
    </row>
    <row r="305" spans="1:1" x14ac:dyDescent="0.25">
      <c r="A305" t="s">
        <v>8</v>
      </c>
    </row>
    <row r="306" spans="1:1" x14ac:dyDescent="0.25">
      <c r="A306" t="s">
        <v>0</v>
      </c>
    </row>
    <row r="307" spans="1:1" x14ac:dyDescent="0.25">
      <c r="A307" t="s">
        <v>41</v>
      </c>
    </row>
    <row r="308" spans="1:1" x14ac:dyDescent="0.25">
      <c r="A308" t="s">
        <v>42</v>
      </c>
    </row>
    <row r="309" spans="1:1" x14ac:dyDescent="0.25">
      <c r="A309" t="s">
        <v>43</v>
      </c>
    </row>
    <row r="310" spans="1:1" x14ac:dyDescent="0.25">
      <c r="A310" t="s">
        <v>47</v>
      </c>
    </row>
    <row r="311" spans="1:1" x14ac:dyDescent="0.25">
      <c r="A311" t="s">
        <v>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Savings</vt:lpstr>
      <vt:lpstr>Borrowers</vt:lpstr>
      <vt:lpstr>Revenues</vt:lpstr>
      <vt:lpstr>LOG</vt:lpstr>
      <vt:lpstr>Savings2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2025-02-12T00:19:32Z</dcterms:modified>
</cp:coreProperties>
</file>