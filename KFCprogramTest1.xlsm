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4-2025 NEW GOAL\KFC Excel\"/>
    </mc:Choice>
  </mc:AlternateContent>
  <xr:revisionPtr revIDLastSave="0" documentId="13_ncr:1_{478BDA87-6E91-49E6-8857-FDDD695CF2AC}" xr6:coauthVersionLast="36" xr6:coauthVersionMax="47" xr10:uidLastSave="{00000000-0000-0000-0000-000000000000}"/>
  <bookViews>
    <workbookView xWindow="-120" yWindow="-120" windowWidth="24240" windowHeight="13020" tabRatio="593" activeTab="5" xr2:uid="{00000000-000D-0000-FFFF-FFFF00000000}"/>
  </bookViews>
  <sheets>
    <sheet name="Home" sheetId="1" r:id="rId1"/>
    <sheet name="Savings" sheetId="2" r:id="rId2"/>
    <sheet name="Borrowers" sheetId="4" r:id="rId3"/>
    <sheet name="Revenues" sheetId="5" r:id="rId4"/>
    <sheet name="LOG" sheetId="6" r:id="rId5"/>
    <sheet name="Savings2" sheetId="7" r:id="rId6"/>
    <sheet name="Formulas" sheetId="8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5" i="7" l="1"/>
  <c r="M335" i="7"/>
  <c r="L335" i="7"/>
  <c r="K335" i="7"/>
  <c r="J335" i="7"/>
  <c r="I335" i="7"/>
  <c r="H335" i="7"/>
  <c r="G335" i="7"/>
  <c r="F335" i="7"/>
  <c r="E335" i="7"/>
  <c r="D335" i="7"/>
  <c r="C335" i="7"/>
  <c r="B335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B319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B303" i="7"/>
  <c r="T287" i="7"/>
  <c r="C287" i="7"/>
  <c r="D287" i="7"/>
  <c r="E287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U287" i="7"/>
  <c r="B287" i="7"/>
  <c r="S271" i="7" l="1"/>
  <c r="R271" i="7"/>
  <c r="U271" i="7"/>
  <c r="T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B271" i="7"/>
  <c r="G255" i="7"/>
  <c r="S255" i="7"/>
  <c r="K255" i="7"/>
  <c r="J255" i="7"/>
  <c r="B255" i="7"/>
  <c r="C400" i="7"/>
  <c r="C239" i="7"/>
  <c r="B239" i="7"/>
  <c r="Y223" i="7"/>
  <c r="Y239" i="7" s="1"/>
  <c r="R255" i="7" s="1"/>
  <c r="C223" i="7"/>
  <c r="D223" i="7"/>
  <c r="D239" i="7" s="1"/>
  <c r="C255" i="7" s="1"/>
  <c r="B223" i="7"/>
  <c r="X207" i="7"/>
  <c r="X223" i="7" s="1"/>
  <c r="X239" i="7" s="1"/>
  <c r="Q255" i="7" s="1"/>
  <c r="W207" i="7"/>
  <c r="W223" i="7" s="1"/>
  <c r="W239" i="7" s="1"/>
  <c r="P255" i="7" s="1"/>
  <c r="V207" i="7"/>
  <c r="V223" i="7" s="1"/>
  <c r="V239" i="7" s="1"/>
  <c r="O255" i="7" s="1"/>
  <c r="U207" i="7"/>
  <c r="U223" i="7" s="1"/>
  <c r="U239" i="7" s="1"/>
  <c r="T207" i="7"/>
  <c r="T223" i="7" s="1"/>
  <c r="T239" i="7" s="1"/>
  <c r="N255" i="7" s="1"/>
  <c r="S207" i="7"/>
  <c r="S223" i="7" s="1"/>
  <c r="S239" i="7" s="1"/>
  <c r="M255" i="7" s="1"/>
  <c r="R207" i="7"/>
  <c r="R223" i="7" s="1"/>
  <c r="R239" i="7" s="1"/>
  <c r="L255" i="7" s="1"/>
  <c r="Q207" i="7"/>
  <c r="Q223" i="7" s="1"/>
  <c r="Q239" i="7" s="1"/>
  <c r="P207" i="7"/>
  <c r="P223" i="7" s="1"/>
  <c r="P239" i="7" s="1"/>
  <c r="O207" i="7"/>
  <c r="O223" i="7" s="1"/>
  <c r="O239" i="7" s="1"/>
  <c r="N207" i="7"/>
  <c r="N223" i="7" s="1"/>
  <c r="N239" i="7" s="1"/>
  <c r="M207" i="7"/>
  <c r="M223" i="7" s="1"/>
  <c r="M239" i="7" s="1"/>
  <c r="K207" i="7"/>
  <c r="K223" i="7" s="1"/>
  <c r="K239" i="7" s="1"/>
  <c r="H255" i="7" s="1"/>
  <c r="I207" i="7"/>
  <c r="I223" i="7" s="1"/>
  <c r="I239" i="7" s="1"/>
  <c r="G207" i="7"/>
  <c r="G223" i="7" s="1"/>
  <c r="G239" i="7" s="1"/>
  <c r="F255" i="7" s="1"/>
  <c r="F207" i="7"/>
  <c r="F223" i="7" s="1"/>
  <c r="F239" i="7" s="1"/>
  <c r="E255" i="7" s="1"/>
  <c r="E207" i="7"/>
  <c r="E223" i="7" s="1"/>
  <c r="E239" i="7" s="1"/>
  <c r="D255" i="7" s="1"/>
  <c r="D207" i="7"/>
  <c r="B207" i="7"/>
  <c r="B191" i="7" l="1"/>
  <c r="Q159" i="7"/>
  <c r="AA175" i="7"/>
  <c r="AA191" i="7" s="1"/>
  <c r="Z175" i="7"/>
  <c r="Z191" i="7" s="1"/>
  <c r="Y175" i="7"/>
  <c r="Y191" i="7" s="1"/>
  <c r="X175" i="7"/>
  <c r="X191" i="7" s="1"/>
  <c r="W175" i="7"/>
  <c r="W191" i="7" s="1"/>
  <c r="Q175" i="7"/>
  <c r="Q191" i="7" s="1"/>
  <c r="B175" i="7"/>
  <c r="B159" i="7"/>
  <c r="J143" i="7"/>
  <c r="J159" i="7" s="1"/>
  <c r="J175" i="7" s="1"/>
  <c r="J191" i="7" s="1"/>
  <c r="J207" i="7" s="1"/>
  <c r="J223" i="7" s="1"/>
  <c r="J239" i="7" s="1"/>
  <c r="B143" i="7"/>
  <c r="B127" i="7"/>
  <c r="B111" i="7"/>
  <c r="V111" i="7"/>
  <c r="V127" i="7" s="1"/>
  <c r="V143" i="7" s="1"/>
  <c r="V159" i="7" s="1"/>
  <c r="V175" i="7" s="1"/>
  <c r="V191" i="7" s="1"/>
  <c r="U111" i="7"/>
  <c r="U127" i="7" s="1"/>
  <c r="U143" i="7" s="1"/>
  <c r="U159" i="7" s="1"/>
  <c r="U175" i="7" s="1"/>
  <c r="U191" i="7" s="1"/>
  <c r="T111" i="7"/>
  <c r="T127" i="7" s="1"/>
  <c r="T143" i="7" s="1"/>
  <c r="T159" i="7" s="1"/>
  <c r="T175" i="7" s="1"/>
  <c r="T191" i="7" s="1"/>
  <c r="S111" i="7"/>
  <c r="S127" i="7" s="1"/>
  <c r="S143" i="7" s="1"/>
  <c r="S159" i="7" s="1"/>
  <c r="S175" i="7" s="1"/>
  <c r="S191" i="7" s="1"/>
  <c r="R111" i="7"/>
  <c r="R127" i="7" s="1"/>
  <c r="R143" i="7" s="1"/>
  <c r="R159" i="7" s="1"/>
  <c r="R175" i="7" s="1"/>
  <c r="R191" i="7" s="1"/>
  <c r="P111" i="7"/>
  <c r="P127" i="7" s="1"/>
  <c r="P143" i="7" s="1"/>
  <c r="P159" i="7" s="1"/>
  <c r="P175" i="7" s="1"/>
  <c r="P191" i="7" s="1"/>
  <c r="B95" i="7"/>
  <c r="B79" i="7"/>
  <c r="B63" i="7"/>
  <c r="B47" i="7"/>
  <c r="Q95" i="7"/>
  <c r="Q111" i="7" s="1"/>
  <c r="Q127" i="7" s="1"/>
  <c r="Q143" i="7" s="1"/>
  <c r="P95" i="7"/>
  <c r="O79" i="7"/>
  <c r="O95" i="7" s="1"/>
  <c r="O111" i="7" s="1"/>
  <c r="O127" i="7" s="1"/>
  <c r="O143" i="7" s="1"/>
  <c r="O159" i="7" s="1"/>
  <c r="O175" i="7" s="1"/>
  <c r="O191" i="7" s="1"/>
  <c r="N79" i="7"/>
  <c r="N95" i="7" s="1"/>
  <c r="N111" i="7" s="1"/>
  <c r="N127" i="7" s="1"/>
  <c r="N143" i="7" s="1"/>
  <c r="N159" i="7" s="1"/>
  <c r="N175" i="7" s="1"/>
  <c r="N191" i="7" s="1"/>
  <c r="M79" i="7"/>
  <c r="M95" i="7" s="1"/>
  <c r="M111" i="7" s="1"/>
  <c r="M127" i="7" s="1"/>
  <c r="M143" i="7" s="1"/>
  <c r="M159" i="7" s="1"/>
  <c r="M175" i="7" s="1"/>
  <c r="M191" i="7" s="1"/>
  <c r="L63" i="7"/>
  <c r="L79" i="7" s="1"/>
  <c r="L95" i="7" s="1"/>
  <c r="L111" i="7" s="1"/>
  <c r="L127" i="7" s="1"/>
  <c r="L143" i="7" s="1"/>
  <c r="L159" i="7" s="1"/>
  <c r="L175" i="7" s="1"/>
  <c r="L191" i="7" s="1"/>
  <c r="L207" i="7" s="1"/>
  <c r="L223" i="7" s="1"/>
  <c r="L239" i="7" s="1"/>
  <c r="I255" i="7" s="1"/>
  <c r="K63" i="7"/>
  <c r="K79" i="7" s="1"/>
  <c r="K95" i="7" s="1"/>
  <c r="K111" i="7" s="1"/>
  <c r="K127" i="7" s="1"/>
  <c r="K143" i="7" s="1"/>
  <c r="K159" i="7" s="1"/>
  <c r="K175" i="7" s="1"/>
  <c r="K191" i="7" s="1"/>
  <c r="J63" i="7"/>
  <c r="J79" i="7" s="1"/>
  <c r="J95" i="7" s="1"/>
  <c r="J111" i="7" s="1"/>
  <c r="J127" i="7" s="1"/>
  <c r="I63" i="7"/>
  <c r="I79" i="7" s="1"/>
  <c r="I95" i="7" s="1"/>
  <c r="I111" i="7" s="1"/>
  <c r="I127" i="7" s="1"/>
  <c r="I143" i="7" s="1"/>
  <c r="I159" i="7" s="1"/>
  <c r="I175" i="7" s="1"/>
  <c r="I191" i="7" s="1"/>
  <c r="H47" i="7"/>
  <c r="H63" i="7" s="1"/>
  <c r="H79" i="7" s="1"/>
  <c r="H95" i="7" s="1"/>
  <c r="H111" i="7" s="1"/>
  <c r="H127" i="7" s="1"/>
  <c r="H143" i="7" s="1"/>
  <c r="H159" i="7" s="1"/>
  <c r="H175" i="7" s="1"/>
  <c r="H191" i="7" s="1"/>
  <c r="H207" i="7" s="1"/>
  <c r="H223" i="7" s="1"/>
  <c r="H239" i="7" s="1"/>
  <c r="B31" i="7"/>
  <c r="G15" i="7"/>
  <c r="G31" i="7" s="1"/>
  <c r="G47" i="7" s="1"/>
  <c r="G63" i="7" s="1"/>
  <c r="G79" i="7" s="1"/>
  <c r="G95" i="7" s="1"/>
  <c r="G111" i="7" s="1"/>
  <c r="G127" i="7" s="1"/>
  <c r="G143" i="7" s="1"/>
  <c r="G159" i="7" s="1"/>
  <c r="G175" i="7" s="1"/>
  <c r="G191" i="7" s="1"/>
  <c r="F15" i="7"/>
  <c r="F31" i="7" s="1"/>
  <c r="F47" i="7" s="1"/>
  <c r="F63" i="7" s="1"/>
  <c r="F79" i="7" s="1"/>
  <c r="F95" i="7" s="1"/>
  <c r="F111" i="7" s="1"/>
  <c r="F127" i="7" s="1"/>
  <c r="F143" i="7" s="1"/>
  <c r="F159" i="7" s="1"/>
  <c r="F175" i="7" s="1"/>
  <c r="F191" i="7" s="1"/>
  <c r="E15" i="7"/>
  <c r="E31" i="7" s="1"/>
  <c r="E47" i="7" s="1"/>
  <c r="E63" i="7" s="1"/>
  <c r="E79" i="7" s="1"/>
  <c r="E95" i="7" s="1"/>
  <c r="E111" i="7" s="1"/>
  <c r="E127" i="7" s="1"/>
  <c r="E143" i="7" s="1"/>
  <c r="E159" i="7" s="1"/>
  <c r="E175" i="7" s="1"/>
  <c r="E191" i="7" s="1"/>
  <c r="B15" i="7"/>
  <c r="D15" i="7"/>
  <c r="D31" i="7" s="1"/>
  <c r="D47" i="7" s="1"/>
  <c r="D63" i="7" s="1"/>
  <c r="D79" i="7" s="1"/>
  <c r="D95" i="7" s="1"/>
  <c r="D111" i="7" s="1"/>
  <c r="D127" i="7" s="1"/>
  <c r="D143" i="7" s="1"/>
  <c r="D159" i="7" s="1"/>
  <c r="D175" i="7" s="1"/>
  <c r="D191" i="7" s="1"/>
  <c r="C15" i="7"/>
  <c r="C31" i="7" s="1"/>
  <c r="C47" i="7" s="1"/>
  <c r="C63" i="7" s="1"/>
  <c r="C79" i="7" s="1"/>
  <c r="C95" i="7" s="1"/>
  <c r="C111" i="7" s="1"/>
  <c r="C127" i="7" s="1"/>
  <c r="C143" i="7" s="1"/>
  <c r="C159" i="7" s="1"/>
  <c r="C175" i="7" s="1"/>
  <c r="C191" i="7" s="1"/>
  <c r="C207" i="7" s="1"/>
  <c r="M8" i="8"/>
  <c r="N4" i="8" s="1"/>
  <c r="N6" i="8" l="1"/>
  <c r="N5" i="8"/>
  <c r="N7" i="8"/>
  <c r="N8" i="8"/>
  <c r="E401" i="7" l="1"/>
  <c r="A395" i="7"/>
  <c r="K400" i="7" s="1"/>
  <c r="A67" i="2"/>
  <c r="F100" i="4" l="1"/>
  <c r="H100" i="4" s="1"/>
  <c r="E100" i="4"/>
  <c r="C100" i="4"/>
  <c r="F101" i="4"/>
  <c r="H101" i="4" s="1"/>
  <c r="E101" i="4"/>
  <c r="C101" i="4"/>
  <c r="D101" i="4" l="1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E100" i="2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K99" i="2" l="1"/>
</calcChain>
</file>

<file path=xl/sharedStrings.xml><?xml version="1.0" encoding="utf-8"?>
<sst xmlns="http://schemas.openxmlformats.org/spreadsheetml/2006/main" count="609" uniqueCount="95">
  <si>
    <t>ryan</t>
  </si>
  <si>
    <t>Savings</t>
  </si>
  <si>
    <t>Revenue</t>
  </si>
  <si>
    <t>SHAREHOLDERS</t>
  </si>
  <si>
    <t>SAVINGS</t>
  </si>
  <si>
    <t>Borrower</t>
  </si>
  <si>
    <t>DATE of CUTOFF</t>
  </si>
  <si>
    <t>TOTAL</t>
  </si>
  <si>
    <t>vince</t>
  </si>
  <si>
    <t>OVERALL TOTAL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</si>
  <si>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</si>
  <si>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</si>
  <si>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</si>
  <si>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</si>
  <si>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</si>
  <si>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</si>
  <si>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</si>
  <si>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</si>
  <si>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</si>
  <si>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</si>
  <si>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</si>
  <si>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</si>
  <si>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</si>
  <si>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</si>
  <si>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</si>
  <si>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</si>
  <si>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</si>
  <si>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</si>
  <si>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</si>
  <si>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</si>
  <si>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</si>
  <si>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</si>
  <si>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</si>
  <si>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</si>
  <si>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</si>
  <si>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</si>
  <si>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</si>
  <si>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</si>
  <si>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</si>
  <si>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</si>
  <si>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</si>
  <si>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</si>
  <si>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</si>
  <si>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</si>
  <si>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</si>
  <si>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</si>
  <si>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</si>
  <si>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</si>
  <si>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keke</t>
  </si>
  <si>
    <t>FORMULAS</t>
  </si>
  <si>
    <t>Shareholders Percentage Profit</t>
  </si>
  <si>
    <t>(member share / total shares) x 100</t>
  </si>
  <si>
    <t>Loan Interest per cutoff (15days)</t>
  </si>
  <si>
    <t>loan amount x 0.3</t>
  </si>
  <si>
    <t>example</t>
  </si>
  <si>
    <t>jef</t>
  </si>
  <si>
    <t>leo</t>
  </si>
  <si>
    <t>Member</t>
  </si>
  <si>
    <t>Shares</t>
  </si>
  <si>
    <t>Percent Share</t>
  </si>
  <si>
    <t>PROFIT</t>
  </si>
  <si>
    <t>vacant</t>
  </si>
  <si>
    <t>2014 2nd half</t>
  </si>
  <si>
    <t>2014 1st half</t>
  </si>
  <si>
    <t>2015 1st half</t>
  </si>
  <si>
    <t>2015 2nd half</t>
  </si>
  <si>
    <t>amiel</t>
  </si>
  <si>
    <t>peter</t>
  </si>
  <si>
    <t>enteng</t>
  </si>
  <si>
    <t>2016 2nd half</t>
  </si>
  <si>
    <t>2016 1st half</t>
  </si>
  <si>
    <t>jhoryl</t>
  </si>
  <si>
    <t>harold</t>
  </si>
  <si>
    <t>2017 1st half</t>
  </si>
  <si>
    <t>2017 2nd half</t>
  </si>
  <si>
    <t>2018 1st half</t>
  </si>
  <si>
    <t>2018 2nd half</t>
  </si>
  <si>
    <t>Withdraw</t>
  </si>
  <si>
    <t>Name</t>
  </si>
  <si>
    <t>2019 1st half</t>
  </si>
  <si>
    <t>2019 2nd half</t>
  </si>
  <si>
    <t>DATE</t>
  </si>
  <si>
    <t>total</t>
  </si>
  <si>
    <t>2020 1st half</t>
  </si>
  <si>
    <t>noora famz</t>
  </si>
  <si>
    <t>lara</t>
  </si>
  <si>
    <t>2020 2nd half</t>
  </si>
  <si>
    <t>2021 1st half</t>
  </si>
  <si>
    <t>jeck</t>
  </si>
  <si>
    <t>2021 2nd half</t>
  </si>
  <si>
    <t>2022 1st half</t>
  </si>
  <si>
    <t>vane</t>
  </si>
  <si>
    <t>2022 2nd half</t>
  </si>
  <si>
    <t>2023 1st half</t>
  </si>
  <si>
    <t>2023 2nd half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</si>
</sst>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1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64A2"/>
        <bgColor rgb="FF8064A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164" fontId="2" fillId="3" borderId="1" xfId="0" applyNumberFormat="1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0" fontId="1" fillId="4" borderId="5" xfId="0" applyFont="1" applyFill="1" applyBorder="1"/>
    <xf numFmtId="22" fontId="0" fillId="2" borderId="3" xfId="0" applyNumberFormat="1" applyFill="1" applyBorder="1" applyAlignment="1">
      <alignment horizontal="center" vertical="center"/>
    </xf>
    <xf numFmtId="0" fontId="0" fillId="0" borderId="1" xfId="0" applyBorder="1"/>
    <xf numFmtId="0" fontId="4" fillId="8" borderId="0" xfId="0" applyFont="1" applyFill="1" applyBorder="1" applyAlignment="1">
      <alignment horizontal="center"/>
    </xf>
    <xf numFmtId="0" fontId="0" fillId="5" borderId="1" xfId="0" applyFill="1" applyBorder="1"/>
    <xf numFmtId="0" fontId="0" fillId="0" borderId="6" xfId="0" applyBorder="1"/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0" fillId="9" borderId="0" xfId="0" applyFill="1"/>
    <xf numFmtId="164" fontId="0" fillId="0" borderId="0" xfId="0" applyNumberFormat="1"/>
    <xf numFmtId="0" fontId="0" fillId="5" borderId="2" xfId="0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0" fontId="0" fillId="10" borderId="1" xfId="0" applyFill="1" applyBorder="1"/>
    <xf numFmtId="0" fontId="0" fillId="11" borderId="0" xfId="0" applyFill="1"/>
    <xf numFmtId="0" fontId="0" fillId="5" borderId="0" xfId="0" applyFill="1"/>
    <xf numFmtId="0" fontId="5" fillId="12" borderId="0" xfId="0" applyFont="1" applyFill="1"/>
    <xf numFmtId="0" fontId="0" fillId="12" borderId="0" xfId="0" applyFill="1"/>
    <xf numFmtId="22" fontId="0" fillId="0" borderId="1" xfId="0" applyNumberFormat="1" applyBorder="1"/>
    <xf numFmtId="0" fontId="0" fillId="13" borderId="1" xfId="0" applyFill="1" applyBorder="1"/>
    <xf numFmtId="0" fontId="0" fillId="14" borderId="1" xfId="0" applyFill="1" applyBorder="1"/>
    <xf numFmtId="22" fontId="0" fillId="5" borderId="1" xfId="0" applyNumberFormat="1" applyFill="1" applyBorder="1"/>
    <xf numFmtId="164" fontId="2" fillId="3" borderId="10" xfId="0" applyNumberFormat="1" applyFont="1" applyFill="1" applyBorder="1" applyAlignment="1">
      <alignment horizontal="center"/>
    </xf>
    <xf numFmtId="0" fontId="2" fillId="2" borderId="15" xfId="0" applyNumberFormat="1" applyFont="1" applyFill="1" applyBorder="1" applyAlignment="1">
      <alignment horizontal="center" vertical="center"/>
    </xf>
    <xf numFmtId="0" fontId="6" fillId="11" borderId="0" xfId="0" applyFont="1" applyFill="1"/>
    <xf numFmtId="0" fontId="0" fillId="0" borderId="7" xfId="0" applyBorder="1"/>
    <xf numFmtId="0" fontId="0" fillId="0" borderId="10" xfId="0" applyBorder="1"/>
    <xf numFmtId="0" fontId="2" fillId="9" borderId="12" xfId="0" applyFont="1" applyFill="1" applyBorder="1"/>
    <xf numFmtId="0" fontId="0" fillId="15" borderId="29" xfId="0" applyFill="1" applyBorder="1"/>
    <xf numFmtId="0" fontId="0" fillId="15" borderId="30" xfId="0" applyFill="1" applyBorder="1"/>
    <xf numFmtId="0" fontId="0" fillId="15" borderId="31" xfId="0" applyFill="1" applyBorder="1"/>
    <xf numFmtId="2" fontId="0" fillId="0" borderId="2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/>
    </xf>
    <xf numFmtId="4" fontId="0" fillId="0" borderId="34" xfId="0" applyNumberFormat="1" applyBorder="1" applyAlignment="1">
      <alignment horizontal="center" vertical="center"/>
    </xf>
    <xf numFmtId="4" fontId="0" fillId="0" borderId="35" xfId="0" applyNumberFormat="1" applyBorder="1" applyAlignment="1">
      <alignment horizontal="center" vertical="center"/>
    </xf>
    <xf numFmtId="0" fontId="2" fillId="9" borderId="29" xfId="0" applyFont="1" applyFill="1" applyBorder="1" applyAlignment="1">
      <alignment horizontal="center" vertical="center"/>
    </xf>
    <xf numFmtId="4" fontId="0" fillId="15" borderId="30" xfId="0" applyNumberFormat="1" applyFill="1" applyBorder="1" applyAlignment="1">
      <alignment horizontal="center" vertical="center"/>
    </xf>
    <xf numFmtId="4" fontId="0" fillId="16" borderId="1" xfId="0" applyNumberFormat="1" applyFill="1" applyBorder="1" applyAlignment="1">
      <alignment horizontal="center" vertical="center"/>
    </xf>
    <xf numFmtId="4" fontId="0" fillId="16" borderId="34" xfId="0" applyNumberFormat="1" applyFill="1" applyBorder="1" applyAlignment="1">
      <alignment horizontal="center" vertical="center"/>
    </xf>
    <xf numFmtId="4" fontId="0" fillId="15" borderId="31" xfId="0" applyNumberFormat="1" applyFill="1" applyBorder="1" applyAlignment="1">
      <alignment horizontal="center" vertical="center"/>
    </xf>
    <xf numFmtId="4" fontId="0" fillId="9" borderId="34" xfId="0" applyNumberFormat="1" applyFill="1" applyBorder="1" applyAlignment="1">
      <alignment horizontal="center" vertical="center"/>
    </xf>
    <xf numFmtId="4" fontId="0" fillId="9" borderId="35" xfId="0" applyNumberFormat="1" applyFill="1" applyBorder="1" applyAlignment="1">
      <alignment horizontal="center" vertical="center"/>
    </xf>
    <xf numFmtId="164" fontId="2" fillId="17" borderId="33" xfId="0" applyNumberFormat="1" applyFont="1" applyFill="1" applyBorder="1" applyAlignment="1">
      <alignment horizontal="center"/>
    </xf>
    <xf numFmtId="4" fontId="0" fillId="17" borderId="34" xfId="0" applyNumberFormat="1" applyFill="1" applyBorder="1" applyAlignment="1">
      <alignment horizontal="center" vertical="center"/>
    </xf>
    <xf numFmtId="4" fontId="0" fillId="17" borderId="35" xfId="0" applyNumberFormat="1" applyFill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4" fontId="0" fillId="0" borderId="34" xfId="0" applyNumberFormat="1" applyFill="1" applyBorder="1" applyAlignment="1">
      <alignment horizontal="center" vertical="center"/>
    </xf>
    <xf numFmtId="4" fontId="0" fillId="0" borderId="35" xfId="0" applyNumberForma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/>
    </xf>
    <xf numFmtId="4" fontId="0" fillId="16" borderId="4" xfId="0" applyNumberFormat="1" applyFill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0" fontId="1" fillId="4" borderId="29" xfId="0" applyFont="1" applyFill="1" applyBorder="1"/>
    <xf numFmtId="0" fontId="9" fillId="0" borderId="30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4" fontId="0" fillId="9" borderId="1" xfId="0" applyNumberFormat="1" applyFill="1" applyBorder="1" applyAlignment="1">
      <alignment horizontal="center" vertical="center"/>
    </xf>
    <xf numFmtId="4" fontId="0" fillId="9" borderId="28" xfId="0" applyNumberFormat="1" applyFill="1" applyBorder="1" applyAlignment="1">
      <alignment horizontal="center" vertical="center"/>
    </xf>
    <xf numFmtId="4" fontId="0" fillId="0" borderId="0" xfId="0" applyNumberFormat="1"/>
    <xf numFmtId="0" fontId="2" fillId="12" borderId="7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4" fontId="0" fillId="9" borderId="4" xfId="0" applyNumberFormat="1" applyFill="1" applyBorder="1" applyAlignment="1">
      <alignment horizontal="center" vertical="center"/>
    </xf>
    <xf numFmtId="4" fontId="0" fillId="9" borderId="11" xfId="0" applyNumberFormat="1" applyFill="1" applyBorder="1" applyAlignment="1">
      <alignment horizontal="center" vertical="center"/>
    </xf>
    <xf numFmtId="4" fontId="0" fillId="18" borderId="11" xfId="0" applyNumberFormat="1" applyFill="1" applyBorder="1" applyAlignment="1">
      <alignment horizontal="center" vertical="center"/>
    </xf>
    <xf numFmtId="4" fontId="0" fillId="18" borderId="31" xfId="0" applyNumberFormat="1" applyFill="1" applyBorder="1" applyAlignment="1">
      <alignment horizontal="center" vertical="center"/>
    </xf>
    <xf numFmtId="4" fontId="0" fillId="18" borderId="35" xfId="0" applyNumberFormat="1" applyFill="1" applyBorder="1" applyAlignment="1">
      <alignment horizontal="center" vertical="center"/>
    </xf>
    <xf numFmtId="16" fontId="0" fillId="19" borderId="36" xfId="0" applyNumberFormat="1" applyFont="1" applyFill="1" applyBorder="1" applyAlignment="1">
      <alignment horizontal="center"/>
    </xf>
    <xf numFmtId="165" fontId="0" fillId="0" borderId="28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35" xfId="0" applyNumberFormat="1" applyFill="1" applyBorder="1" applyAlignment="1">
      <alignment horizontal="center" vertical="center"/>
    </xf>
    <xf numFmtId="4" fontId="0" fillId="0" borderId="28" xfId="0" applyNumberFormat="1" applyFill="1" applyBorder="1" applyAlignment="1">
      <alignment horizontal="center" vertical="center"/>
    </xf>
    <xf numFmtId="4" fontId="0" fillId="0" borderId="11" xfId="0" applyNumberFormat="1" applyFill="1" applyBorder="1" applyAlignment="1">
      <alignment horizontal="center" vertical="center"/>
    </xf>
    <xf numFmtId="4" fontId="0" fillId="18" borderId="28" xfId="0" applyNumberFormat="1" applyFill="1" applyBorder="1" applyAlignment="1">
      <alignment horizontal="center" vertical="center"/>
    </xf>
    <xf numFmtId="0" fontId="2" fillId="9" borderId="31" xfId="0" applyFont="1" applyFill="1" applyBorder="1" applyAlignment="1">
      <alignment horizontal="center" vertical="center"/>
    </xf>
    <xf numFmtId="4" fontId="0" fillId="18" borderId="1" xfId="0" applyNumberForma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6" fillId="11" borderId="0" xfId="0" applyFont="1" applyFill="1" applyAlignment="1">
      <alignment horizontal="center"/>
    </xf>
    <xf numFmtId="4" fontId="0" fillId="0" borderId="1" xfId="0" applyNumberFormat="1" applyFill="1" applyBorder="1" applyAlignment="1">
      <alignment horizontal="center" vertical="center"/>
    </xf>
    <xf numFmtId="4" fontId="0" fillId="0" borderId="4" xfId="0" applyNumberFormat="1" applyFill="1" applyBorder="1" applyAlignment="1">
      <alignment horizontal="center" vertical="center"/>
    </xf>
    <xf numFmtId="0" fontId="2" fillId="9" borderId="3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58307</xdr:colOff>
      <xdr:row>7</xdr:row>
      <xdr:rowOff>28576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44357" y="136207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198677</xdr:colOff>
      <xdr:row>1</xdr:row>
      <xdr:rowOff>108031</xdr:rowOff>
    </xdr:from>
    <xdr:to>
      <xdr:col>4</xdr:col>
      <xdr:colOff>236606</xdr:colOff>
      <xdr:row>19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327" y="298531"/>
          <a:ext cx="1723854" cy="33876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13</xdr:row>
          <xdr:rowOff>133350</xdr:rowOff>
        </xdr:from>
        <xdr:to>
          <xdr:col>9</xdr:col>
          <xdr:colOff>276225</xdr:colOff>
          <xdr:row>15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16</xdr:row>
          <xdr:rowOff>104775</xdr:rowOff>
        </xdr:from>
        <xdr:to>
          <xdr:col>9</xdr:col>
          <xdr:colOff>266700</xdr:colOff>
          <xdr:row>18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438150</xdr:colOff>
      <xdr:row>0</xdr:row>
      <xdr:rowOff>0</xdr:rowOff>
    </xdr:from>
    <xdr:to>
      <xdr:col>39</xdr:col>
      <xdr:colOff>398147</xdr:colOff>
      <xdr:row>7</xdr:row>
      <xdr:rowOff>53360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0125" y="0"/>
          <a:ext cx="3007997" cy="1386860"/>
        </a:xfrm>
        <a:prstGeom prst="rect">
          <a:avLst/>
        </a:prstGeom>
      </xdr:spPr>
    </xdr:pic>
    <xdr:clientData/>
  </xdr:twoCellAnchor>
  <xdr:twoCellAnchor editAs="oneCell">
    <xdr:from>
      <xdr:col>4</xdr:col>
      <xdr:colOff>514351</xdr:colOff>
      <xdr:row>2</xdr:row>
      <xdr:rowOff>104777</xdr:rowOff>
    </xdr:from>
    <xdr:to>
      <xdr:col>10</xdr:col>
      <xdr:colOff>466498</xdr:colOff>
      <xdr:row>11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7926" y="485777"/>
          <a:ext cx="3352572" cy="16859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581024</xdr:colOff>
      <xdr:row>2</xdr:row>
      <xdr:rowOff>0</xdr:rowOff>
    </xdr:from>
    <xdr:to>
      <xdr:col>13</xdr:col>
      <xdr:colOff>38099</xdr:colOff>
      <xdr:row>5</xdr:row>
      <xdr:rowOff>47625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57824" y="638175"/>
          <a:ext cx="2600325" cy="628650"/>
        </a:xfrm>
        <a:custGeom>
          <a:avLst/>
          <a:gdLst>
            <a:gd name="connsiteX0" fmla="*/ 2647950 w 2647950"/>
            <a:gd name="connsiteY0" fmla="*/ 628650 h 628650"/>
            <a:gd name="connsiteX1" fmla="*/ 9525 w 2647950"/>
            <a:gd name="connsiteY1" fmla="*/ 0 h 628650"/>
            <a:gd name="connsiteX2" fmla="*/ 0 w 2647950"/>
            <a:gd name="connsiteY2" fmla="*/ 361950 h 628650"/>
            <a:gd name="connsiteX3" fmla="*/ 2647950 w 2647950"/>
            <a:gd name="connsiteY3" fmla="*/ 628650 h 6286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647950" h="628650">
              <a:moveTo>
                <a:pt x="2647950" y="628650"/>
              </a:moveTo>
              <a:lnTo>
                <a:pt x="9525" y="0"/>
              </a:lnTo>
              <a:lnTo>
                <a:pt x="0" y="361950"/>
              </a:lnTo>
              <a:lnTo>
                <a:pt x="2647950" y="628650"/>
              </a:lnTo>
              <a:close/>
            </a:path>
          </a:pathLst>
        </a:cu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K29" sqref="K29"/>
    </sheetView>
  </sheetViews>
  <sheetFormatPr defaultRowHeight="15" x14ac:dyDescent="0.25"/>
  <cols>
    <col min="1" max="1" width="3.7109375" customWidth="1"/>
    <col min="3" max="3" width="7" customWidth="1"/>
    <col min="7" max="7" width="5.28515625" customWidth="1"/>
    <col min="13" max="13" width="3.85546875" customWidth="1"/>
  </cols>
  <sheetData>
    <row r="1" spans="1:15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</row>
    <row r="2" spans="1:15" x14ac:dyDescent="0.25">
      <c r="A2" s="26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6"/>
    </row>
    <row r="3" spans="1:15" x14ac:dyDescent="0.25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6"/>
    </row>
    <row r="4" spans="1:15" x14ac:dyDescent="0.25">
      <c r="A4" s="26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6"/>
    </row>
    <row r="5" spans="1:15" x14ac:dyDescent="0.25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6"/>
    </row>
    <row r="6" spans="1:15" x14ac:dyDescent="0.25">
      <c r="A6" s="26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6"/>
    </row>
    <row r="7" spans="1:15" x14ac:dyDescent="0.25">
      <c r="A7" s="26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6"/>
    </row>
    <row r="8" spans="1:15" x14ac:dyDescent="0.25">
      <c r="A8" s="26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6"/>
    </row>
    <row r="9" spans="1:15" x14ac:dyDescent="0.25">
      <c r="A9" s="26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6"/>
    </row>
    <row r="10" spans="1:15" x14ac:dyDescent="0.25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6"/>
      <c r="O10" s="1"/>
    </row>
    <row r="11" spans="1:15" x14ac:dyDescent="0.25">
      <c r="A11" s="26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6"/>
    </row>
    <row r="12" spans="1:15" x14ac:dyDescent="0.25">
      <c r="A12" s="26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6"/>
    </row>
    <row r="13" spans="1:15" x14ac:dyDescent="0.25">
      <c r="A13" s="26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6"/>
    </row>
    <row r="14" spans="1:15" x14ac:dyDescent="0.2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6"/>
    </row>
    <row r="15" spans="1:15" x14ac:dyDescent="0.25">
      <c r="A15" s="26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6"/>
    </row>
    <row r="16" spans="1:1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6"/>
    </row>
    <row r="17" spans="1:13" x14ac:dyDescent="0.25">
      <c r="A17" s="26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6"/>
    </row>
    <row r="18" spans="1:13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6"/>
    </row>
    <row r="19" spans="1:13" x14ac:dyDescent="0.25">
      <c r="A19" s="26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6"/>
    </row>
    <row r="20" spans="1:13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6"/>
    </row>
    <row r="21" spans="1:13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419100</xdr:colOff>
                <xdr:row>16</xdr:row>
                <xdr:rowOff>104775</xdr:rowOff>
              </from>
              <to>
                <xdr:col>9</xdr:col>
                <xdr:colOff>266700</xdr:colOff>
                <xdr:row>18</xdr:row>
                <xdr:rowOff>123825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428625</xdr:colOff>
                <xdr:row>13</xdr:row>
                <xdr:rowOff>133350</xdr:rowOff>
              </from>
              <to>
                <xdr:col>9</xdr:col>
                <xdr:colOff>276225</xdr:colOff>
                <xdr:row>15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workbookViewId="0">
      <pane xSplit="1" ySplit="2" topLeftCell="J3" activePane="bottomRight" state="frozen"/>
      <selection pane="topRight" activeCell="B1" sqref="B1"/>
      <selection pane="bottomLeft" activeCell="A3" sqref="A3"/>
      <selection pane="bottomRight" activeCell="E58" sqref="E58"/>
    </sheetView>
  </sheetViews>
  <sheetFormatPr defaultRowHeight="15" x14ac:dyDescent="0.25"/>
  <cols>
    <col min="1" max="1" width="23" customWidth="1"/>
    <col min="2" max="2" width="14.7109375" customWidth="1"/>
    <col min="32" max="32" width="13.140625" customWidth="1"/>
  </cols>
  <sheetData>
    <row r="1" spans="1:26" ht="15.75" thickBot="1" x14ac:dyDescent="0.3">
      <c r="A1" s="13" t="s">
        <v>4</v>
      </c>
    </row>
    <row r="2" spans="1:26" ht="15.75" thickBot="1" x14ac:dyDescent="0.3">
      <c r="A2" s="12" t="s">
        <v>6</v>
      </c>
      <c r="B2" s="28" t="s">
        <v>24</v>
      </c>
      <c r="C2" s="28" t="s">
        <v>25</v>
      </c>
      <c r="D2" s="29" t="s">
        <v>26</v>
      </c>
      <c r="E2" s="29" t="s">
        <v>27</v>
      </c>
      <c r="F2" s="29" t="s">
        <v>28</v>
      </c>
      <c r="G2" s="29" t="s">
        <v>29</v>
      </c>
      <c r="H2" s="29" t="s">
        <v>30</v>
      </c>
      <c r="I2" s="29" t="s">
        <v>31</v>
      </c>
      <c r="J2" s="29" t="s">
        <v>32</v>
      </c>
      <c r="K2" s="29" t="s">
        <v>23</v>
      </c>
      <c r="L2" s="29" t="s">
        <v>33</v>
      </c>
      <c r="M2" s="29" t="s">
        <v>34</v>
      </c>
      <c r="N2" s="29" t="s">
        <v>35</v>
      </c>
      <c r="O2" s="29" t="s">
        <v>36</v>
      </c>
      <c r="P2" s="29" t="s">
        <v>37</v>
      </c>
      <c r="Q2" s="29" t="s">
        <v>38</v>
      </c>
      <c r="R2" s="29" t="s">
        <v>39</v>
      </c>
      <c r="S2" s="29" t="s">
        <v>40</v>
      </c>
      <c r="T2" s="29" t="s">
        <v>8</v>
      </c>
      <c r="U2" s="29" t="s">
        <v>0</v>
      </c>
      <c r="V2" s="29" t="s">
        <v>41</v>
      </c>
      <c r="W2" s="29" t="s">
        <v>42</v>
      </c>
      <c r="X2" s="29" t="s">
        <v>43</v>
      </c>
      <c r="Y2" s="29" t="s">
        <v>47</v>
      </c>
      <c r="Z2" s="29" t="s">
        <v>48</v>
      </c>
    </row>
    <row r="3" spans="1:26" x14ac:dyDescent="0.25">
      <c r="A3" s="11">
        <v>43266</v>
      </c>
      <c r="B3">
        <v>300000</v>
      </c>
      <c r="C3">
        <v>19310</v>
      </c>
      <c r="D3">
        <v>53240</v>
      </c>
      <c r="E3">
        <v>68745</v>
      </c>
      <c r="F3">
        <v>95733</v>
      </c>
      <c r="G3">
        <v>65667</v>
      </c>
      <c r="H3">
        <v>157226</v>
      </c>
      <c r="I3">
        <v>3834</v>
      </c>
      <c r="J3">
        <v>134305</v>
      </c>
      <c r="K3">
        <v>45065</v>
      </c>
      <c r="L3">
        <v>44500</v>
      </c>
      <c r="M3">
        <v>25672</v>
      </c>
      <c r="N3">
        <v>5000</v>
      </c>
      <c r="O3">
        <v>14070</v>
      </c>
      <c r="P3">
        <v>175629</v>
      </c>
      <c r="Q3">
        <v>5000</v>
      </c>
      <c r="R3">
        <v>157027</v>
      </c>
      <c r="S3">
        <v>66164</v>
      </c>
      <c r="T3">
        <v>5000</v>
      </c>
      <c r="U3">
        <v>3000</v>
      </c>
      <c r="V3">
        <v>5000</v>
      </c>
      <c r="W3">
        <v>5000</v>
      </c>
      <c r="X3">
        <v>5000</v>
      </c>
      <c r="Y3">
        <v>0</v>
      </c>
      <c r="Z3">
        <v>2000</v>
      </c>
    </row>
    <row r="4" spans="1:26" x14ac:dyDescent="0.25">
      <c r="A4" s="6">
        <v>43281</v>
      </c>
      <c r="B4">
        <v>0</v>
      </c>
      <c r="C4">
        <v>0</v>
      </c>
      <c r="D4">
        <v>3000</v>
      </c>
      <c r="E4">
        <v>3000</v>
      </c>
      <c r="F4">
        <v>2000</v>
      </c>
      <c r="G4">
        <v>0</v>
      </c>
      <c r="H4">
        <v>3000</v>
      </c>
      <c r="I4">
        <v>0</v>
      </c>
      <c r="J4">
        <v>3000</v>
      </c>
      <c r="K4">
        <v>500</v>
      </c>
      <c r="L4">
        <v>500</v>
      </c>
      <c r="M4">
        <v>500</v>
      </c>
      <c r="N4">
        <v>1000</v>
      </c>
      <c r="O4">
        <v>0</v>
      </c>
      <c r="P4">
        <v>3000</v>
      </c>
      <c r="Q4">
        <v>0</v>
      </c>
      <c r="R4">
        <v>0</v>
      </c>
      <c r="S4">
        <v>2000</v>
      </c>
      <c r="T4">
        <v>2000</v>
      </c>
      <c r="U4">
        <v>2000</v>
      </c>
      <c r="V4">
        <v>2000</v>
      </c>
      <c r="W4">
        <v>3000</v>
      </c>
      <c r="X4">
        <v>3000</v>
      </c>
      <c r="Y4">
        <v>0</v>
      </c>
      <c r="Z4">
        <v>2000</v>
      </c>
    </row>
    <row r="5" spans="1:26" x14ac:dyDescent="0.25">
      <c r="A5" s="6">
        <v>43296</v>
      </c>
      <c r="B5">
        <v>0</v>
      </c>
      <c r="C5">
        <v>0</v>
      </c>
      <c r="D5">
        <v>3000</v>
      </c>
      <c r="E5">
        <v>3000</v>
      </c>
      <c r="F5">
        <v>2000</v>
      </c>
      <c r="G5">
        <v>0</v>
      </c>
      <c r="H5">
        <v>3000</v>
      </c>
      <c r="I5">
        <v>0</v>
      </c>
      <c r="J5">
        <v>3000</v>
      </c>
      <c r="K5">
        <v>500</v>
      </c>
      <c r="L5">
        <v>500</v>
      </c>
      <c r="M5">
        <v>500</v>
      </c>
      <c r="N5">
        <v>0</v>
      </c>
      <c r="O5">
        <v>0</v>
      </c>
      <c r="P5">
        <v>3000</v>
      </c>
      <c r="Q5">
        <v>0</v>
      </c>
      <c r="R5">
        <v>1000</v>
      </c>
      <c r="S5">
        <v>2000</v>
      </c>
      <c r="T5">
        <v>2000</v>
      </c>
      <c r="U5">
        <v>1500</v>
      </c>
      <c r="V5">
        <v>2000</v>
      </c>
      <c r="W5">
        <v>3000</v>
      </c>
      <c r="X5">
        <v>3000</v>
      </c>
      <c r="Z5">
        <v>2600</v>
      </c>
    </row>
    <row r="6" spans="1:26" x14ac:dyDescent="0.25">
      <c r="A6" s="6">
        <v>43311</v>
      </c>
      <c r="B6">
        <v>0</v>
      </c>
      <c r="C6">
        <v>0</v>
      </c>
      <c r="D6">
        <v>-17000</v>
      </c>
      <c r="E6">
        <v>3000</v>
      </c>
      <c r="F6">
        <v>2000</v>
      </c>
      <c r="G6">
        <v>0</v>
      </c>
      <c r="H6">
        <v>3000</v>
      </c>
      <c r="I6">
        <v>0</v>
      </c>
      <c r="J6">
        <v>3000</v>
      </c>
      <c r="K6">
        <v>500</v>
      </c>
      <c r="L6">
        <v>500</v>
      </c>
      <c r="M6">
        <v>0</v>
      </c>
      <c r="N6">
        <v>0</v>
      </c>
      <c r="O6">
        <v>0</v>
      </c>
      <c r="P6">
        <v>3000</v>
      </c>
      <c r="Q6">
        <v>3000</v>
      </c>
      <c r="R6">
        <v>3000</v>
      </c>
      <c r="S6">
        <v>2000</v>
      </c>
      <c r="T6">
        <v>2000</v>
      </c>
      <c r="U6">
        <v>1500</v>
      </c>
      <c r="V6">
        <v>3000</v>
      </c>
      <c r="W6">
        <v>3000</v>
      </c>
      <c r="X6">
        <v>3000</v>
      </c>
    </row>
    <row r="7" spans="1:26" x14ac:dyDescent="0.25">
      <c r="A7" s="6">
        <v>43327</v>
      </c>
      <c r="B7">
        <v>0</v>
      </c>
      <c r="C7">
        <v>0</v>
      </c>
      <c r="D7">
        <v>0</v>
      </c>
      <c r="E7">
        <v>3000</v>
      </c>
      <c r="F7">
        <v>2000</v>
      </c>
      <c r="G7">
        <v>0</v>
      </c>
      <c r="H7">
        <v>3000</v>
      </c>
      <c r="I7">
        <v>500</v>
      </c>
      <c r="J7">
        <v>3000</v>
      </c>
      <c r="K7">
        <v>500</v>
      </c>
      <c r="L7">
        <v>500</v>
      </c>
      <c r="M7">
        <v>0</v>
      </c>
      <c r="N7">
        <v>0</v>
      </c>
      <c r="O7">
        <v>0</v>
      </c>
      <c r="P7">
        <v>3000</v>
      </c>
      <c r="Q7">
        <v>0</v>
      </c>
      <c r="R7">
        <v>2000</v>
      </c>
      <c r="S7">
        <v>2000</v>
      </c>
      <c r="T7">
        <v>2000</v>
      </c>
      <c r="U7">
        <v>1000</v>
      </c>
      <c r="V7">
        <v>3000</v>
      </c>
      <c r="W7">
        <v>3000</v>
      </c>
      <c r="X7">
        <v>3000</v>
      </c>
    </row>
    <row r="8" spans="1:26" x14ac:dyDescent="0.25">
      <c r="A8" s="6">
        <v>43342</v>
      </c>
      <c r="B8">
        <v>0</v>
      </c>
      <c r="C8">
        <v>0</v>
      </c>
      <c r="D8">
        <v>3000</v>
      </c>
      <c r="E8">
        <v>3000</v>
      </c>
      <c r="F8">
        <v>1000</v>
      </c>
      <c r="G8">
        <v>0</v>
      </c>
      <c r="H8">
        <v>3000</v>
      </c>
      <c r="I8">
        <v>0</v>
      </c>
      <c r="J8">
        <v>3000</v>
      </c>
      <c r="K8">
        <v>500</v>
      </c>
      <c r="L8">
        <v>500</v>
      </c>
      <c r="M8">
        <v>0</v>
      </c>
      <c r="N8">
        <v>0</v>
      </c>
      <c r="O8">
        <v>0</v>
      </c>
      <c r="P8">
        <v>3000</v>
      </c>
      <c r="Q8">
        <v>0</v>
      </c>
      <c r="R8">
        <v>1000</v>
      </c>
      <c r="S8">
        <v>2000</v>
      </c>
      <c r="T8">
        <v>2000</v>
      </c>
      <c r="U8">
        <v>2000</v>
      </c>
      <c r="V8">
        <v>3000</v>
      </c>
      <c r="W8">
        <v>3000</v>
      </c>
      <c r="X8">
        <v>3000</v>
      </c>
    </row>
    <row r="9" spans="1:26" x14ac:dyDescent="0.25">
      <c r="A9" s="6">
        <v>43358</v>
      </c>
      <c r="B9">
        <v>0</v>
      </c>
      <c r="C9">
        <v>0</v>
      </c>
      <c r="D9">
        <v>3000</v>
      </c>
      <c r="E9">
        <v>3000</v>
      </c>
      <c r="F9">
        <v>2000</v>
      </c>
      <c r="G9">
        <v>0</v>
      </c>
      <c r="H9">
        <v>3000</v>
      </c>
      <c r="I9">
        <v>500</v>
      </c>
      <c r="J9">
        <v>3000</v>
      </c>
      <c r="K9">
        <v>500</v>
      </c>
      <c r="L9">
        <v>500</v>
      </c>
      <c r="M9">
        <v>0</v>
      </c>
      <c r="N9">
        <v>0</v>
      </c>
      <c r="O9">
        <v>0</v>
      </c>
      <c r="P9">
        <v>3000</v>
      </c>
      <c r="Q9">
        <v>0</v>
      </c>
      <c r="R9">
        <v>2000</v>
      </c>
      <c r="S9">
        <v>2000</v>
      </c>
      <c r="T9">
        <v>2000</v>
      </c>
      <c r="U9">
        <v>2000</v>
      </c>
      <c r="V9">
        <v>3000</v>
      </c>
      <c r="W9">
        <v>3000</v>
      </c>
      <c r="X9">
        <v>3000</v>
      </c>
    </row>
    <row r="10" spans="1:26" x14ac:dyDescent="0.25">
      <c r="A10" s="6">
        <v>43373</v>
      </c>
      <c r="B10">
        <v>0</v>
      </c>
      <c r="C10">
        <v>0</v>
      </c>
      <c r="D10">
        <v>3000</v>
      </c>
      <c r="E10">
        <v>3000</v>
      </c>
      <c r="F10">
        <v>1000</v>
      </c>
      <c r="G10">
        <v>0</v>
      </c>
      <c r="H10">
        <v>3000</v>
      </c>
      <c r="I10">
        <v>0</v>
      </c>
      <c r="J10">
        <v>3000</v>
      </c>
      <c r="K10">
        <v>500</v>
      </c>
      <c r="L10">
        <v>500</v>
      </c>
      <c r="M10">
        <v>500</v>
      </c>
      <c r="N10">
        <v>0</v>
      </c>
      <c r="O10">
        <v>0</v>
      </c>
      <c r="P10">
        <v>3000</v>
      </c>
      <c r="Q10">
        <v>500</v>
      </c>
      <c r="R10">
        <v>3000</v>
      </c>
      <c r="S10">
        <v>2000</v>
      </c>
      <c r="T10">
        <v>2000</v>
      </c>
      <c r="U10">
        <v>2000</v>
      </c>
      <c r="V10">
        <v>3000</v>
      </c>
      <c r="W10">
        <v>3000</v>
      </c>
      <c r="X10">
        <v>3000</v>
      </c>
    </row>
    <row r="11" spans="1:26" x14ac:dyDescent="0.25">
      <c r="A11" s="6">
        <v>43388</v>
      </c>
      <c r="B11">
        <v>0</v>
      </c>
      <c r="C11">
        <v>0</v>
      </c>
      <c r="D11">
        <v>1000</v>
      </c>
      <c r="E11">
        <v>3000</v>
      </c>
      <c r="F11">
        <v>1000</v>
      </c>
      <c r="G11">
        <v>500</v>
      </c>
      <c r="H11">
        <v>3000</v>
      </c>
      <c r="I11">
        <v>0</v>
      </c>
      <c r="J11">
        <v>3000</v>
      </c>
      <c r="K11">
        <v>500</v>
      </c>
      <c r="L11">
        <v>500</v>
      </c>
      <c r="M11">
        <v>0</v>
      </c>
      <c r="N11">
        <v>0</v>
      </c>
      <c r="O11">
        <v>0</v>
      </c>
      <c r="P11">
        <v>3000</v>
      </c>
      <c r="Q11">
        <v>0</v>
      </c>
      <c r="R11">
        <v>3000</v>
      </c>
      <c r="S11">
        <v>2000</v>
      </c>
      <c r="T11">
        <v>2000</v>
      </c>
      <c r="U11">
        <v>2000</v>
      </c>
      <c r="V11">
        <v>0</v>
      </c>
      <c r="W11">
        <v>3000</v>
      </c>
      <c r="X11">
        <v>3000</v>
      </c>
    </row>
    <row r="12" spans="1:26" x14ac:dyDescent="0.25">
      <c r="A12" s="6">
        <v>43403</v>
      </c>
      <c r="B12">
        <v>0</v>
      </c>
      <c r="C12">
        <v>500</v>
      </c>
      <c r="D12">
        <v>1000</v>
      </c>
      <c r="E12">
        <v>2000</v>
      </c>
      <c r="F12">
        <v>1000</v>
      </c>
      <c r="G12">
        <v>500</v>
      </c>
      <c r="H12">
        <v>3000</v>
      </c>
      <c r="I12">
        <v>0</v>
      </c>
      <c r="J12">
        <v>3000</v>
      </c>
      <c r="K12">
        <v>500</v>
      </c>
      <c r="L12">
        <v>500</v>
      </c>
      <c r="M12">
        <v>0</v>
      </c>
      <c r="N12">
        <v>0</v>
      </c>
      <c r="O12">
        <v>0</v>
      </c>
      <c r="P12">
        <v>3000</v>
      </c>
      <c r="Q12">
        <v>1000</v>
      </c>
      <c r="R12">
        <v>3000</v>
      </c>
      <c r="S12">
        <v>2000</v>
      </c>
      <c r="T12">
        <v>2000</v>
      </c>
      <c r="U12">
        <v>2000</v>
      </c>
      <c r="V12">
        <v>0</v>
      </c>
      <c r="W12">
        <v>3000</v>
      </c>
      <c r="X12">
        <v>3000</v>
      </c>
    </row>
    <row r="13" spans="1:26" x14ac:dyDescent="0.25">
      <c r="A13" s="6">
        <v>43419</v>
      </c>
      <c r="B13">
        <v>0</v>
      </c>
      <c r="C13">
        <v>500</v>
      </c>
      <c r="D13">
        <v>2000</v>
      </c>
      <c r="E13">
        <v>3000</v>
      </c>
      <c r="F13">
        <v>1000</v>
      </c>
      <c r="G13">
        <v>500</v>
      </c>
      <c r="H13">
        <v>3000</v>
      </c>
      <c r="I13">
        <v>0</v>
      </c>
      <c r="J13">
        <v>3000</v>
      </c>
      <c r="K13">
        <v>0</v>
      </c>
      <c r="L13">
        <v>500</v>
      </c>
      <c r="M13">
        <v>0</v>
      </c>
      <c r="N13">
        <v>0</v>
      </c>
      <c r="O13">
        <v>0</v>
      </c>
      <c r="P13">
        <v>3000</v>
      </c>
      <c r="Q13">
        <v>500</v>
      </c>
      <c r="R13">
        <v>3000</v>
      </c>
      <c r="S13">
        <v>2000</v>
      </c>
      <c r="T13">
        <v>2000</v>
      </c>
      <c r="U13">
        <v>2000</v>
      </c>
      <c r="V13">
        <v>3000</v>
      </c>
      <c r="W13">
        <v>3000</v>
      </c>
      <c r="X13">
        <v>3000</v>
      </c>
    </row>
    <row r="14" spans="1:26" x14ac:dyDescent="0.25">
      <c r="A14" s="6">
        <v>43434</v>
      </c>
      <c r="B14">
        <v>0</v>
      </c>
      <c r="C14">
        <v>0</v>
      </c>
      <c r="D14">
        <v>2000</v>
      </c>
      <c r="E14">
        <v>3000</v>
      </c>
      <c r="F14">
        <v>1000</v>
      </c>
      <c r="G14">
        <v>500</v>
      </c>
      <c r="H14">
        <v>3000</v>
      </c>
      <c r="I14">
        <v>0</v>
      </c>
      <c r="J14">
        <v>3000</v>
      </c>
      <c r="K14">
        <v>0</v>
      </c>
      <c r="L14">
        <v>500</v>
      </c>
      <c r="M14">
        <v>0</v>
      </c>
      <c r="N14">
        <v>0</v>
      </c>
      <c r="O14">
        <v>0</v>
      </c>
      <c r="P14">
        <v>3000</v>
      </c>
      <c r="Q14">
        <v>500</v>
      </c>
      <c r="R14">
        <v>3000</v>
      </c>
      <c r="S14">
        <v>2000</v>
      </c>
      <c r="T14">
        <v>2000</v>
      </c>
      <c r="U14">
        <v>2000</v>
      </c>
      <c r="V14">
        <v>3000</v>
      </c>
      <c r="W14">
        <v>3000</v>
      </c>
      <c r="X14">
        <v>3000</v>
      </c>
    </row>
    <row r="15" spans="1:26" x14ac:dyDescent="0.25">
      <c r="A15" s="6">
        <v>43449</v>
      </c>
      <c r="B15">
        <v>0</v>
      </c>
      <c r="C15">
        <v>0</v>
      </c>
      <c r="D15">
        <v>1000</v>
      </c>
      <c r="E15">
        <v>27182</v>
      </c>
      <c r="F15">
        <v>1000</v>
      </c>
      <c r="G15">
        <v>500</v>
      </c>
      <c r="H15">
        <v>52913</v>
      </c>
      <c r="I15">
        <v>995</v>
      </c>
      <c r="J15">
        <v>47033</v>
      </c>
      <c r="K15">
        <v>0</v>
      </c>
      <c r="L15">
        <v>500</v>
      </c>
      <c r="M15">
        <v>5690</v>
      </c>
      <c r="N15">
        <v>887</v>
      </c>
      <c r="O15">
        <v>2881</v>
      </c>
      <c r="P15">
        <v>59463</v>
      </c>
      <c r="Q15">
        <v>468</v>
      </c>
      <c r="R15">
        <v>51849</v>
      </c>
      <c r="S15">
        <v>25876</v>
      </c>
      <c r="T15">
        <v>3934</v>
      </c>
      <c r="U15">
        <v>3911</v>
      </c>
      <c r="V15">
        <v>2536</v>
      </c>
      <c r="W15">
        <v>7590</v>
      </c>
      <c r="X15">
        <v>8590</v>
      </c>
      <c r="Y15">
        <v>0</v>
      </c>
    </row>
    <row r="16" spans="1:26" x14ac:dyDescent="0.25">
      <c r="A16" s="6">
        <v>43464</v>
      </c>
      <c r="B16">
        <v>0</v>
      </c>
      <c r="C16">
        <v>0</v>
      </c>
      <c r="D16">
        <v>0</v>
      </c>
      <c r="E16">
        <v>3000</v>
      </c>
      <c r="F16">
        <v>1000</v>
      </c>
      <c r="G16">
        <v>500</v>
      </c>
      <c r="H16">
        <v>3000</v>
      </c>
      <c r="I16">
        <v>0</v>
      </c>
      <c r="J16">
        <v>3000</v>
      </c>
      <c r="K16">
        <v>0</v>
      </c>
      <c r="L16">
        <v>500</v>
      </c>
      <c r="M16">
        <v>0</v>
      </c>
      <c r="N16">
        <v>0</v>
      </c>
      <c r="O16">
        <v>0</v>
      </c>
      <c r="P16">
        <v>3000</v>
      </c>
      <c r="Q16">
        <v>0</v>
      </c>
      <c r="R16">
        <v>3000</v>
      </c>
      <c r="S16">
        <v>3000</v>
      </c>
      <c r="T16">
        <v>2000</v>
      </c>
      <c r="U16">
        <v>1000</v>
      </c>
      <c r="V16">
        <v>0</v>
      </c>
      <c r="W16">
        <v>3000</v>
      </c>
      <c r="X16">
        <v>3000</v>
      </c>
    </row>
    <row r="17" spans="1:24" x14ac:dyDescent="0.25">
      <c r="A17" s="7">
        <v>43480</v>
      </c>
      <c r="B17">
        <v>0</v>
      </c>
      <c r="C17">
        <v>0</v>
      </c>
      <c r="D17">
        <v>1000</v>
      </c>
      <c r="E17">
        <v>3000</v>
      </c>
      <c r="F17">
        <v>3000</v>
      </c>
      <c r="G17">
        <v>500</v>
      </c>
      <c r="H17">
        <v>3000</v>
      </c>
      <c r="I17">
        <v>0</v>
      </c>
      <c r="J17">
        <v>3000</v>
      </c>
      <c r="K17">
        <v>500</v>
      </c>
      <c r="L17">
        <v>500</v>
      </c>
      <c r="M17">
        <v>0</v>
      </c>
      <c r="N17">
        <v>0</v>
      </c>
      <c r="O17">
        <v>0</v>
      </c>
      <c r="P17">
        <v>3000</v>
      </c>
      <c r="Q17">
        <v>0</v>
      </c>
      <c r="R17">
        <v>3000</v>
      </c>
      <c r="S17">
        <v>3000</v>
      </c>
      <c r="T17">
        <v>2000</v>
      </c>
      <c r="U17">
        <v>0</v>
      </c>
      <c r="V17">
        <v>0</v>
      </c>
      <c r="W17">
        <v>3000</v>
      </c>
      <c r="X17">
        <v>3000</v>
      </c>
    </row>
    <row r="18" spans="1:24" x14ac:dyDescent="0.25">
      <c r="A18" s="7">
        <v>43495</v>
      </c>
      <c r="B18">
        <v>0</v>
      </c>
      <c r="C18">
        <v>300</v>
      </c>
      <c r="D18">
        <v>1000</v>
      </c>
      <c r="E18">
        <v>3000</v>
      </c>
      <c r="F18">
        <v>3000</v>
      </c>
      <c r="G18">
        <v>500</v>
      </c>
      <c r="H18">
        <v>3000</v>
      </c>
      <c r="I18">
        <v>0</v>
      </c>
      <c r="J18">
        <v>3000</v>
      </c>
      <c r="K18">
        <v>0</v>
      </c>
      <c r="L18">
        <v>500</v>
      </c>
      <c r="M18">
        <v>0</v>
      </c>
      <c r="N18">
        <v>1000</v>
      </c>
      <c r="O18">
        <v>0</v>
      </c>
      <c r="P18">
        <v>3000</v>
      </c>
      <c r="Q18">
        <v>0</v>
      </c>
      <c r="R18">
        <v>3000</v>
      </c>
      <c r="S18">
        <v>3000</v>
      </c>
      <c r="T18">
        <v>2000</v>
      </c>
      <c r="U18">
        <v>2000</v>
      </c>
      <c r="V18">
        <v>0</v>
      </c>
      <c r="W18">
        <v>3000</v>
      </c>
      <c r="X18">
        <v>3000</v>
      </c>
    </row>
    <row r="19" spans="1:24" x14ac:dyDescent="0.25">
      <c r="A19" s="7">
        <v>43511</v>
      </c>
      <c r="B19">
        <v>0</v>
      </c>
      <c r="C19">
        <v>300</v>
      </c>
      <c r="D19">
        <v>0</v>
      </c>
      <c r="E19">
        <v>1000</v>
      </c>
      <c r="F19">
        <v>3000</v>
      </c>
      <c r="G19">
        <v>500</v>
      </c>
      <c r="H19">
        <v>3000</v>
      </c>
      <c r="I19">
        <v>0</v>
      </c>
      <c r="J19">
        <v>3000</v>
      </c>
      <c r="K19">
        <v>0</v>
      </c>
      <c r="L19">
        <v>500</v>
      </c>
      <c r="M19">
        <v>0</v>
      </c>
      <c r="N19">
        <v>1000</v>
      </c>
      <c r="O19">
        <v>0</v>
      </c>
      <c r="P19">
        <v>3000</v>
      </c>
      <c r="Q19">
        <v>0</v>
      </c>
      <c r="R19">
        <v>3000</v>
      </c>
      <c r="S19">
        <v>3000</v>
      </c>
      <c r="T19">
        <v>2000</v>
      </c>
      <c r="U19">
        <v>2000</v>
      </c>
      <c r="V19">
        <v>0</v>
      </c>
      <c r="W19">
        <v>3000</v>
      </c>
      <c r="X19">
        <v>3000</v>
      </c>
    </row>
    <row r="20" spans="1:24" x14ac:dyDescent="0.25">
      <c r="A20" s="7">
        <v>43524</v>
      </c>
      <c r="B20">
        <v>0</v>
      </c>
      <c r="C20">
        <v>300</v>
      </c>
      <c r="D20">
        <v>1500</v>
      </c>
      <c r="E20">
        <v>1000</v>
      </c>
      <c r="F20">
        <v>3000</v>
      </c>
      <c r="G20">
        <v>500</v>
      </c>
      <c r="H20">
        <v>3000</v>
      </c>
      <c r="I20">
        <v>0</v>
      </c>
      <c r="J20">
        <v>3000</v>
      </c>
      <c r="K20">
        <v>500</v>
      </c>
      <c r="L20">
        <v>500</v>
      </c>
      <c r="M20">
        <v>0</v>
      </c>
      <c r="N20">
        <v>500</v>
      </c>
      <c r="O20">
        <v>0</v>
      </c>
      <c r="P20">
        <v>3000</v>
      </c>
      <c r="Q20">
        <v>410</v>
      </c>
      <c r="R20">
        <v>3000</v>
      </c>
      <c r="S20">
        <v>3000</v>
      </c>
      <c r="T20">
        <v>2000</v>
      </c>
      <c r="U20">
        <v>0</v>
      </c>
      <c r="V20">
        <v>0</v>
      </c>
      <c r="W20">
        <v>3000</v>
      </c>
      <c r="X20">
        <v>3000</v>
      </c>
    </row>
    <row r="21" spans="1:24" x14ac:dyDescent="0.25">
      <c r="A21" s="7">
        <v>43539</v>
      </c>
      <c r="B21">
        <v>0</v>
      </c>
      <c r="C21">
        <v>0</v>
      </c>
      <c r="D21">
        <v>0</v>
      </c>
      <c r="E21">
        <v>1000</v>
      </c>
      <c r="F21">
        <v>3000</v>
      </c>
      <c r="G21">
        <v>0</v>
      </c>
      <c r="H21">
        <v>3000</v>
      </c>
      <c r="I21">
        <v>0</v>
      </c>
      <c r="J21">
        <v>3000</v>
      </c>
      <c r="K21">
        <v>500</v>
      </c>
      <c r="L21">
        <v>500</v>
      </c>
      <c r="M21">
        <v>0</v>
      </c>
      <c r="N21">
        <v>1000</v>
      </c>
      <c r="O21">
        <v>0</v>
      </c>
      <c r="P21">
        <v>3000</v>
      </c>
      <c r="Q21">
        <v>1000</v>
      </c>
      <c r="R21">
        <v>3000</v>
      </c>
      <c r="S21">
        <v>3000</v>
      </c>
      <c r="T21">
        <v>2000</v>
      </c>
      <c r="U21">
        <v>0</v>
      </c>
      <c r="V21">
        <v>2000</v>
      </c>
      <c r="W21">
        <v>3000</v>
      </c>
      <c r="X21">
        <v>3000</v>
      </c>
    </row>
    <row r="22" spans="1:24" x14ac:dyDescent="0.25">
      <c r="A22" s="7">
        <v>43554</v>
      </c>
      <c r="B22">
        <v>0</v>
      </c>
      <c r="C22">
        <v>0</v>
      </c>
      <c r="D22">
        <v>0</v>
      </c>
      <c r="E22">
        <v>2000</v>
      </c>
      <c r="F22">
        <v>3000</v>
      </c>
      <c r="G22">
        <v>0</v>
      </c>
      <c r="H22">
        <v>3000</v>
      </c>
      <c r="I22">
        <v>0</v>
      </c>
      <c r="J22">
        <v>3000</v>
      </c>
      <c r="K22">
        <v>500</v>
      </c>
      <c r="L22">
        <v>500</v>
      </c>
      <c r="M22">
        <v>0</v>
      </c>
      <c r="N22">
        <v>0</v>
      </c>
      <c r="O22">
        <v>0</v>
      </c>
      <c r="P22">
        <v>3000</v>
      </c>
      <c r="Q22">
        <v>0</v>
      </c>
      <c r="R22">
        <v>0</v>
      </c>
      <c r="S22">
        <v>3000</v>
      </c>
      <c r="T22">
        <v>2000</v>
      </c>
      <c r="U22">
        <v>0</v>
      </c>
      <c r="V22">
        <v>0</v>
      </c>
      <c r="W22">
        <v>3000</v>
      </c>
      <c r="X22">
        <v>3000</v>
      </c>
    </row>
    <row r="23" spans="1:24" x14ac:dyDescent="0.25">
      <c r="A23" s="7">
        <v>43570</v>
      </c>
      <c r="B23">
        <v>0</v>
      </c>
      <c r="C23">
        <v>0</v>
      </c>
      <c r="D23">
        <v>0</v>
      </c>
      <c r="E23">
        <v>1000</v>
      </c>
      <c r="F23">
        <v>3000</v>
      </c>
      <c r="G23">
        <v>0</v>
      </c>
      <c r="H23">
        <v>3000</v>
      </c>
      <c r="I23">
        <v>0</v>
      </c>
      <c r="J23">
        <v>3000</v>
      </c>
      <c r="K23">
        <v>500</v>
      </c>
      <c r="L23">
        <v>1000</v>
      </c>
      <c r="M23">
        <v>0</v>
      </c>
      <c r="N23">
        <v>1000</v>
      </c>
      <c r="O23">
        <v>0</v>
      </c>
      <c r="P23">
        <v>3000</v>
      </c>
      <c r="Q23">
        <v>0</v>
      </c>
      <c r="R23">
        <v>3000</v>
      </c>
      <c r="S23">
        <v>3000</v>
      </c>
      <c r="T23">
        <v>2000</v>
      </c>
      <c r="U23">
        <v>0</v>
      </c>
      <c r="V23">
        <v>3000</v>
      </c>
      <c r="W23">
        <v>3000</v>
      </c>
      <c r="X23">
        <v>3000</v>
      </c>
    </row>
    <row r="24" spans="1:24" x14ac:dyDescent="0.25">
      <c r="A24" s="7">
        <v>43585</v>
      </c>
      <c r="B24">
        <v>0</v>
      </c>
      <c r="C24">
        <v>0</v>
      </c>
      <c r="D24">
        <v>0</v>
      </c>
      <c r="E24">
        <v>1000</v>
      </c>
      <c r="F24">
        <v>3000</v>
      </c>
      <c r="G24">
        <v>0</v>
      </c>
      <c r="H24">
        <v>3000</v>
      </c>
      <c r="I24">
        <v>0</v>
      </c>
      <c r="J24">
        <v>3000</v>
      </c>
      <c r="K24">
        <v>500</v>
      </c>
      <c r="L24">
        <v>1000</v>
      </c>
      <c r="M24">
        <v>0</v>
      </c>
      <c r="N24">
        <v>1000</v>
      </c>
      <c r="O24">
        <v>0</v>
      </c>
      <c r="P24">
        <v>3000</v>
      </c>
      <c r="Q24">
        <v>0</v>
      </c>
      <c r="R24">
        <v>3000</v>
      </c>
      <c r="S24">
        <v>3000</v>
      </c>
      <c r="T24">
        <v>2000</v>
      </c>
      <c r="U24">
        <v>0</v>
      </c>
      <c r="V24">
        <v>0</v>
      </c>
      <c r="W24">
        <v>3000</v>
      </c>
      <c r="X24">
        <v>3000</v>
      </c>
    </row>
    <row r="25" spans="1:24" x14ac:dyDescent="0.25">
      <c r="A25" s="7">
        <v>43600</v>
      </c>
      <c r="B25">
        <v>0</v>
      </c>
      <c r="C25">
        <v>0</v>
      </c>
      <c r="D25">
        <v>0</v>
      </c>
      <c r="E25">
        <v>1000</v>
      </c>
      <c r="F25">
        <v>3000</v>
      </c>
      <c r="G25">
        <v>0</v>
      </c>
      <c r="H25">
        <v>3000</v>
      </c>
      <c r="I25">
        <v>0</v>
      </c>
      <c r="J25">
        <v>3000</v>
      </c>
      <c r="K25">
        <v>0</v>
      </c>
      <c r="L25">
        <v>1000</v>
      </c>
      <c r="M25">
        <v>0</v>
      </c>
      <c r="N25">
        <v>1000</v>
      </c>
      <c r="O25">
        <v>0</v>
      </c>
      <c r="P25">
        <v>0</v>
      </c>
      <c r="Q25">
        <v>0</v>
      </c>
      <c r="R25">
        <v>2000</v>
      </c>
      <c r="S25">
        <v>3000</v>
      </c>
      <c r="T25">
        <v>2000</v>
      </c>
      <c r="U25">
        <v>0</v>
      </c>
      <c r="V25">
        <v>1000</v>
      </c>
      <c r="W25">
        <v>3000</v>
      </c>
      <c r="X25">
        <v>3000</v>
      </c>
    </row>
    <row r="26" spans="1:24" x14ac:dyDescent="0.25">
      <c r="A26" s="7">
        <v>43615</v>
      </c>
      <c r="B26">
        <v>0</v>
      </c>
      <c r="C26">
        <v>0</v>
      </c>
      <c r="D26">
        <v>1000</v>
      </c>
      <c r="E26">
        <v>1000</v>
      </c>
      <c r="F26">
        <v>3000</v>
      </c>
      <c r="G26">
        <v>0</v>
      </c>
      <c r="H26">
        <v>0</v>
      </c>
      <c r="I26">
        <v>0</v>
      </c>
      <c r="J26">
        <v>3000</v>
      </c>
      <c r="K26">
        <v>500</v>
      </c>
      <c r="L26">
        <v>1000</v>
      </c>
      <c r="M26">
        <v>0</v>
      </c>
      <c r="N26">
        <v>1000</v>
      </c>
      <c r="O26">
        <v>0</v>
      </c>
      <c r="P26">
        <v>0</v>
      </c>
      <c r="Q26">
        <v>0</v>
      </c>
      <c r="R26">
        <v>0</v>
      </c>
      <c r="S26">
        <v>3000</v>
      </c>
      <c r="T26">
        <v>0</v>
      </c>
      <c r="U26">
        <v>2000</v>
      </c>
      <c r="V26">
        <v>0</v>
      </c>
      <c r="W26">
        <v>3000</v>
      </c>
      <c r="X26">
        <v>3000</v>
      </c>
    </row>
    <row r="27" spans="1:24" x14ac:dyDescent="0.25">
      <c r="A27" s="7">
        <v>43631</v>
      </c>
      <c r="B27">
        <v>0</v>
      </c>
      <c r="C27">
        <v>0</v>
      </c>
      <c r="D27">
        <v>1000</v>
      </c>
      <c r="E27">
        <v>21000</v>
      </c>
      <c r="F27">
        <v>3000</v>
      </c>
      <c r="G27">
        <v>0</v>
      </c>
      <c r="H27">
        <v>26861</v>
      </c>
      <c r="I27">
        <v>-5829</v>
      </c>
      <c r="J27">
        <v>52662</v>
      </c>
      <c r="K27">
        <v>500</v>
      </c>
      <c r="L27">
        <v>11000</v>
      </c>
      <c r="M27">
        <v>0</v>
      </c>
      <c r="N27">
        <v>2919</v>
      </c>
      <c r="O27">
        <v>0</v>
      </c>
      <c r="P27">
        <v>4908</v>
      </c>
      <c r="Q27">
        <v>2611</v>
      </c>
      <c r="R27">
        <v>41124</v>
      </c>
      <c r="S27">
        <v>18000</v>
      </c>
      <c r="T27">
        <v>13235</v>
      </c>
      <c r="U27">
        <v>7543</v>
      </c>
      <c r="V27">
        <v>8662</v>
      </c>
      <c r="W27">
        <v>18367</v>
      </c>
      <c r="X27">
        <v>18618</v>
      </c>
    </row>
    <row r="28" spans="1:24" x14ac:dyDescent="0.25">
      <c r="A28" s="7">
        <v>43646</v>
      </c>
      <c r="B28">
        <v>0</v>
      </c>
    </row>
    <row r="29" spans="1:24" x14ac:dyDescent="0.25">
      <c r="A29" s="7">
        <v>43661</v>
      </c>
      <c r="B29">
        <v>0</v>
      </c>
    </row>
    <row r="30" spans="1:24" x14ac:dyDescent="0.25">
      <c r="A30" s="7">
        <v>43676</v>
      </c>
      <c r="B30">
        <v>0</v>
      </c>
    </row>
    <row r="31" spans="1:24" x14ac:dyDescent="0.25">
      <c r="A31" s="7">
        <v>43692</v>
      </c>
    </row>
    <row r="32" spans="1:24" x14ac:dyDescent="0.25">
      <c r="A32" s="7">
        <v>43707</v>
      </c>
    </row>
    <row r="33" spans="1:1" x14ac:dyDescent="0.25">
      <c r="A33" s="7">
        <v>43723</v>
      </c>
    </row>
    <row r="34" spans="1:1" x14ac:dyDescent="0.25">
      <c r="A34" s="7">
        <v>43738</v>
      </c>
    </row>
    <row r="35" spans="1:1" x14ac:dyDescent="0.25">
      <c r="A35" s="7">
        <v>43753</v>
      </c>
    </row>
    <row r="36" spans="1:1" x14ac:dyDescent="0.25">
      <c r="A36" s="7">
        <v>43768</v>
      </c>
    </row>
    <row r="37" spans="1:1" x14ac:dyDescent="0.25">
      <c r="A37" s="7">
        <v>43784</v>
      </c>
    </row>
    <row r="38" spans="1:1" x14ac:dyDescent="0.25">
      <c r="A38" s="7">
        <v>43799</v>
      </c>
    </row>
    <row r="39" spans="1:1" x14ac:dyDescent="0.25">
      <c r="A39" s="7">
        <v>43814</v>
      </c>
    </row>
    <row r="40" spans="1:1" x14ac:dyDescent="0.25">
      <c r="A40" s="7">
        <v>43829</v>
      </c>
    </row>
    <row r="41" spans="1:1" x14ac:dyDescent="0.25">
      <c r="A41" s="8">
        <v>43845</v>
      </c>
    </row>
    <row r="42" spans="1:1" x14ac:dyDescent="0.25">
      <c r="A42" s="8">
        <v>43860</v>
      </c>
    </row>
    <row r="43" spans="1:1" x14ac:dyDescent="0.25">
      <c r="A43" s="8">
        <v>43876</v>
      </c>
    </row>
    <row r="44" spans="1:1" x14ac:dyDescent="0.25">
      <c r="A44" s="8">
        <v>43889</v>
      </c>
    </row>
    <row r="45" spans="1:1" x14ac:dyDescent="0.25">
      <c r="A45" s="8">
        <v>43905</v>
      </c>
    </row>
    <row r="46" spans="1:1" x14ac:dyDescent="0.25">
      <c r="A46" s="8">
        <v>43920</v>
      </c>
    </row>
    <row r="47" spans="1:1" x14ac:dyDescent="0.25">
      <c r="A47" s="8">
        <v>43936</v>
      </c>
    </row>
    <row r="48" spans="1:1" x14ac:dyDescent="0.25">
      <c r="A48" s="8">
        <v>43951</v>
      </c>
    </row>
    <row r="49" spans="1:26" x14ac:dyDescent="0.25">
      <c r="A49" s="8">
        <v>43966</v>
      </c>
    </row>
    <row r="50" spans="1:26" x14ac:dyDescent="0.25">
      <c r="A50" s="8">
        <v>43981</v>
      </c>
    </row>
    <row r="51" spans="1:26" x14ac:dyDescent="0.25">
      <c r="A51" s="8">
        <v>43997</v>
      </c>
    </row>
    <row r="52" spans="1:26" x14ac:dyDescent="0.25">
      <c r="A52" s="8">
        <v>44012</v>
      </c>
    </row>
    <row r="53" spans="1:26" x14ac:dyDescent="0.25">
      <c r="A53" s="8">
        <v>44027</v>
      </c>
    </row>
    <row r="54" spans="1:26" x14ac:dyDescent="0.25">
      <c r="A54" s="8">
        <v>44042</v>
      </c>
    </row>
    <row r="55" spans="1:26" x14ac:dyDescent="0.25">
      <c r="A55" s="8">
        <v>44058</v>
      </c>
    </row>
    <row r="56" spans="1:26" x14ac:dyDescent="0.25">
      <c r="A56" s="8">
        <v>44073</v>
      </c>
    </row>
    <row r="57" spans="1:26" x14ac:dyDescent="0.25">
      <c r="A57" s="8">
        <v>44089</v>
      </c>
    </row>
    <row r="58" spans="1:26" x14ac:dyDescent="0.25">
      <c r="A58" s="8">
        <v>44104</v>
      </c>
    </row>
    <row r="59" spans="1:26" x14ac:dyDescent="0.25">
      <c r="A59" s="8">
        <v>44119</v>
      </c>
    </row>
    <row r="60" spans="1:26" x14ac:dyDescent="0.25">
      <c r="A60" s="8">
        <v>44134</v>
      </c>
    </row>
    <row r="61" spans="1:26" x14ac:dyDescent="0.25">
      <c r="A61" s="8">
        <v>44150</v>
      </c>
    </row>
    <row r="62" spans="1:26" x14ac:dyDescent="0.25">
      <c r="A62" s="8">
        <v>44165</v>
      </c>
    </row>
    <row r="63" spans="1:26" x14ac:dyDescent="0.25">
      <c r="A63" s="8">
        <v>44180</v>
      </c>
      <c r="Z63">
        <v>20000</v>
      </c>
    </row>
    <row r="64" spans="1:26" x14ac:dyDescent="0.25">
      <c r="A64" s="8">
        <v>44195</v>
      </c>
    </row>
    <row r="65" spans="1:32" x14ac:dyDescent="0.25">
      <c r="A65" s="9" t="s">
        <v>7</v>
      </c>
      <c r="B65">
        <v>300000</v>
      </c>
      <c r="C65">
        <v>21210</v>
      </c>
      <c r="D65">
        <v>63740</v>
      </c>
      <c r="E65">
        <v>166927</v>
      </c>
      <c r="F65">
        <v>146733</v>
      </c>
      <c r="G65">
        <v>70667</v>
      </c>
      <c r="H65">
        <v>300000</v>
      </c>
      <c r="I65">
        <v>0</v>
      </c>
      <c r="J65">
        <v>300000</v>
      </c>
      <c r="K65">
        <v>53565</v>
      </c>
      <c r="L65">
        <v>69000</v>
      </c>
      <c r="M65">
        <v>32862</v>
      </c>
      <c r="N65">
        <v>17306</v>
      </c>
      <c r="O65">
        <v>16951</v>
      </c>
      <c r="P65">
        <v>300000</v>
      </c>
      <c r="Q65">
        <v>14989</v>
      </c>
      <c r="R65">
        <v>300000</v>
      </c>
      <c r="S65">
        <v>165040</v>
      </c>
      <c r="T65">
        <v>64169</v>
      </c>
      <c r="U65">
        <v>41454</v>
      </c>
      <c r="V65">
        <v>47198</v>
      </c>
      <c r="W65">
        <v>96957</v>
      </c>
      <c r="X65">
        <v>98208</v>
      </c>
      <c r="Y65">
        <v>0</v>
      </c>
      <c r="Z65">
        <v>26600</v>
      </c>
    </row>
    <row r="66" spans="1:32" x14ac:dyDescent="0.25">
      <c r="A66" s="10" t="s">
        <v>9</v>
      </c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AE66" s="3"/>
    </row>
    <row r="67" spans="1:32" ht="18.75" x14ac:dyDescent="0.3">
      <c r="A67" s="15">
        <f>SUM(B65:AO65)</f>
        <v>2713576</v>
      </c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AE67" s="3"/>
    </row>
    <row r="68" spans="1:32" x14ac:dyDescent="0.25">
      <c r="A68" s="16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AF68" s="3"/>
    </row>
    <row r="69" spans="1:32" x14ac:dyDescent="0.25">
      <c r="A69" s="16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AF69" s="3"/>
    </row>
    <row r="70" spans="1:32" x14ac:dyDescent="0.25">
      <c r="A70" s="16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AF70" s="3"/>
    </row>
    <row r="71" spans="1:32" x14ac:dyDescent="0.25">
      <c r="A71" s="1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AF71" s="3"/>
    </row>
    <row r="72" spans="1:3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AF72" s="3"/>
    </row>
    <row r="73" spans="1:3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AF73" s="3"/>
    </row>
    <row r="74" spans="1:3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AF74" s="3"/>
    </row>
    <row r="75" spans="1:3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AF75" s="3"/>
    </row>
    <row r="76" spans="1:3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AF76" s="3"/>
    </row>
    <row r="77" spans="1:3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AF77" s="3"/>
    </row>
    <row r="78" spans="1:3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AF78" s="3"/>
    </row>
    <row r="79" spans="1:3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AF79" s="3"/>
    </row>
    <row r="80" spans="1:3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AF80" s="3"/>
    </row>
    <row r="81" spans="1:3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AF81" s="3"/>
    </row>
    <row r="82" spans="1:3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AF82" s="3"/>
    </row>
    <row r="83" spans="1:3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AF83" s="3"/>
    </row>
    <row r="84" spans="1:3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AF84" s="3"/>
    </row>
    <row r="85" spans="1:3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AF85" s="3"/>
    </row>
    <row r="86" spans="1:3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AF86" s="3"/>
    </row>
    <row r="87" spans="1:3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AF87" s="3"/>
    </row>
    <row r="88" spans="1:3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AF88" s="3"/>
    </row>
    <row r="89" spans="1:3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AF89" s="3"/>
    </row>
    <row r="90" spans="1:3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AF90" s="3"/>
    </row>
    <row r="91" spans="1:3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AF91" s="3"/>
    </row>
    <row r="92" spans="1:3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AF92" s="3"/>
    </row>
    <row r="93" spans="1:3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AF93" s="3"/>
    </row>
    <row r="94" spans="1:3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AF94" s="3"/>
    </row>
    <row r="95" spans="1:3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AF95" s="3"/>
    </row>
    <row r="96" spans="1:3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AF96" s="3"/>
    </row>
    <row r="97" spans="1:3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AF97" s="3"/>
    </row>
    <row r="98" spans="1:32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AF98" s="3"/>
    </row>
    <row r="99" spans="1:32" x14ac:dyDescent="0.25">
      <c r="A99" s="2" t="s">
        <v>3</v>
      </c>
      <c r="B99" s="2"/>
      <c r="C99">
        <f>COUNTA(B2:AD2)</f>
        <v>25</v>
      </c>
      <c r="E99" s="2" t="s">
        <v>20</v>
      </c>
      <c r="F99" s="2"/>
      <c r="H99" s="2"/>
      <c r="I99" s="2"/>
      <c r="K99">
        <f>COUNTA(A2:A95)</f>
        <v>66</v>
      </c>
      <c r="AF99" s="3"/>
    </row>
    <row r="100" spans="1:32" x14ac:dyDescent="0.25">
      <c r="A100" t="s">
        <v>24</v>
      </c>
      <c r="C100" t="s">
        <v>1</v>
      </c>
      <c r="E100">
        <f>COUNTA(A1:A65)</f>
        <v>65</v>
      </c>
      <c r="AF100" s="3"/>
    </row>
    <row r="101" spans="1:32" x14ac:dyDescent="0.25">
      <c r="A101" t="s">
        <v>25</v>
      </c>
      <c r="C101" t="s">
        <v>5</v>
      </c>
      <c r="AF101" s="3"/>
    </row>
    <row r="102" spans="1:32" x14ac:dyDescent="0.25">
      <c r="A102" t="s">
        <v>26</v>
      </c>
      <c r="C102" t="s">
        <v>2</v>
      </c>
      <c r="AF102" s="3"/>
    </row>
    <row r="103" spans="1:32" x14ac:dyDescent="0.25">
      <c r="A103" t="s">
        <v>27</v>
      </c>
      <c r="AF103" s="3"/>
    </row>
    <row r="104" spans="1:32" x14ac:dyDescent="0.25">
      <c r="A104" t="s">
        <v>28</v>
      </c>
      <c r="AF104" s="3"/>
    </row>
    <row r="105" spans="1:32" x14ac:dyDescent="0.25">
      <c r="A105" t="s">
        <v>29</v>
      </c>
      <c r="AF105" s="3"/>
    </row>
    <row r="106" spans="1:32" x14ac:dyDescent="0.25">
      <c r="A106" t="s">
        <v>30</v>
      </c>
      <c r="AF106" s="3"/>
    </row>
    <row r="107" spans="1:32" x14ac:dyDescent="0.25">
      <c r="A107" t="s">
        <v>31</v>
      </c>
      <c r="AF107" s="3"/>
    </row>
    <row r="108" spans="1:32" x14ac:dyDescent="0.25">
      <c r="A108" t="s">
        <v>32</v>
      </c>
      <c r="AF108" s="3"/>
    </row>
    <row r="109" spans="1:32" x14ac:dyDescent="0.25">
      <c r="A109" t="s">
        <v>23</v>
      </c>
      <c r="AF109" s="3"/>
    </row>
    <row r="110" spans="1:32" x14ac:dyDescent="0.25">
      <c r="A110" t="s">
        <v>33</v>
      </c>
      <c r="AF110" s="3"/>
    </row>
    <row r="111" spans="1:32" x14ac:dyDescent="0.25">
      <c r="A111" t="s">
        <v>34</v>
      </c>
      <c r="AF111" s="3"/>
    </row>
    <row r="112" spans="1:32" x14ac:dyDescent="0.25">
      <c r="A112" t="s">
        <v>35</v>
      </c>
      <c r="AF112" s="3"/>
    </row>
    <row r="113" spans="1:32" x14ac:dyDescent="0.25">
      <c r="A113" t="s">
        <v>36</v>
      </c>
      <c r="AF113" s="3"/>
    </row>
    <row r="114" spans="1:32" x14ac:dyDescent="0.25">
      <c r="A114" t="s">
        <v>37</v>
      </c>
      <c r="AF114" s="3"/>
    </row>
    <row r="115" spans="1:32" x14ac:dyDescent="0.25">
      <c r="A115" t="s">
        <v>38</v>
      </c>
      <c r="AF115" s="3"/>
    </row>
    <row r="116" spans="1:32" x14ac:dyDescent="0.25">
      <c r="A116" t="s">
        <v>39</v>
      </c>
      <c r="AF116" s="3"/>
    </row>
    <row r="117" spans="1:32" x14ac:dyDescent="0.25">
      <c r="A117" t="s">
        <v>40</v>
      </c>
      <c r="AF117" s="3"/>
    </row>
    <row r="118" spans="1:32" x14ac:dyDescent="0.25">
      <c r="A118" t="s">
        <v>8</v>
      </c>
      <c r="AF118" s="3"/>
    </row>
    <row r="119" spans="1:32" x14ac:dyDescent="0.25">
      <c r="A119" t="s">
        <v>0</v>
      </c>
      <c r="AF119" s="3"/>
    </row>
    <row r="120" spans="1:32" x14ac:dyDescent="0.25">
      <c r="A120" t="s">
        <v>41</v>
      </c>
      <c r="AF120" s="3"/>
    </row>
    <row r="121" spans="1:32" x14ac:dyDescent="0.25">
      <c r="A121" t="s">
        <v>42</v>
      </c>
      <c r="AF121" s="4"/>
    </row>
    <row r="122" spans="1:32" x14ac:dyDescent="0.25">
      <c r="A122" t="s">
        <v>43</v>
      </c>
      <c r="AF122" s="4"/>
    </row>
    <row r="123" spans="1:32" x14ac:dyDescent="0.25">
      <c r="A123" t="s">
        <v>47</v>
      </c>
      <c r="AF123" s="4"/>
    </row>
    <row r="124" spans="1:32" x14ac:dyDescent="0.25">
      <c r="A124" t="s">
        <v>48</v>
      </c>
      <c r="AF124" s="4"/>
    </row>
    <row r="125" spans="1:32" x14ac:dyDescent="0.25">
      <c r="AF125" s="4"/>
    </row>
    <row r="126" spans="1:32" x14ac:dyDescent="0.25">
      <c r="AF126" s="4"/>
    </row>
    <row r="127" spans="1:32" x14ac:dyDescent="0.25">
      <c r="AF127" s="4"/>
    </row>
    <row r="128" spans="1:32" x14ac:dyDescent="0.25">
      <c r="AF128" s="4"/>
    </row>
    <row r="129" spans="32:32" x14ac:dyDescent="0.25">
      <c r="AF129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3" activePane="bottomLeft" state="frozen"/>
      <selection pane="bottomLeft" activeCell="D102" sqref="D102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25" t="s">
        <v>44</v>
      </c>
      <c r="B1" s="14"/>
      <c r="C1" s="14"/>
      <c r="D1" s="14"/>
      <c r="E1" s="25" t="s">
        <v>45</v>
      </c>
      <c r="F1" s="14"/>
      <c r="G1" s="14"/>
      <c r="H1" s="14"/>
      <c r="I1" s="25" t="s">
        <v>46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169" x14ac:dyDescent="0.25">
      <c r="A2" s="14" t="s">
        <v>16</v>
      </c>
      <c r="B2" s="14" t="s">
        <v>17</v>
      </c>
      <c r="C2" s="14" t="s">
        <v>18</v>
      </c>
      <c r="D2" s="14" t="s">
        <v>10</v>
      </c>
      <c r="E2" s="14" t="s">
        <v>16</v>
      </c>
      <c r="F2" s="14" t="s">
        <v>17</v>
      </c>
      <c r="G2" s="14" t="s">
        <v>18</v>
      </c>
      <c r="H2" s="14" t="s">
        <v>10</v>
      </c>
      <c r="I2" s="14" t="s">
        <v>16</v>
      </c>
      <c r="J2" s="14" t="s">
        <v>17</v>
      </c>
      <c r="K2" s="14" t="s">
        <v>18</v>
      </c>
      <c r="L2" s="14" t="s">
        <v>10</v>
      </c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169" x14ac:dyDescent="0.25">
      <c r="A3" s="30">
        <v>43586.259375000001</v>
      </c>
      <c r="B3" s="14">
        <v>10000</v>
      </c>
      <c r="C3" s="31"/>
      <c r="D3" s="14">
        <v>10000</v>
      </c>
      <c r="E3" s="33">
        <v>43587.180451388886</v>
      </c>
      <c r="F3" s="16">
        <v>50000</v>
      </c>
      <c r="G3" s="31"/>
      <c r="H3" s="16">
        <v>50000</v>
      </c>
      <c r="I3" s="30">
        <v>43587.187615740739</v>
      </c>
      <c r="J3" s="14">
        <v>20000</v>
      </c>
      <c r="K3" s="31"/>
      <c r="L3" s="14">
        <v>20000</v>
      </c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</row>
    <row r="4" spans="1:169" x14ac:dyDescent="0.25">
      <c r="A4" s="30">
        <v>43586.259398148148</v>
      </c>
      <c r="B4" s="14">
        <v>0</v>
      </c>
      <c r="C4" s="32">
        <v>300</v>
      </c>
      <c r="D4" s="14">
        <v>10300</v>
      </c>
      <c r="E4" s="33">
        <v>43587.180474537039</v>
      </c>
      <c r="F4" s="16">
        <v>0</v>
      </c>
      <c r="G4" s="31">
        <v>1500</v>
      </c>
      <c r="H4" s="16">
        <v>53000</v>
      </c>
      <c r="I4" s="30">
        <v>43587.195613425924</v>
      </c>
      <c r="J4" s="14"/>
      <c r="K4" s="32">
        <v>600</v>
      </c>
      <c r="L4" s="14">
        <v>21200</v>
      </c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</row>
    <row r="5" spans="1:169" ht="15.75" customHeight="1" x14ac:dyDescent="0.25">
      <c r="A5" s="30">
        <v>43586.259699074071</v>
      </c>
      <c r="B5" s="14">
        <v>0</v>
      </c>
      <c r="C5" s="14"/>
      <c r="D5" s="14">
        <v>10000</v>
      </c>
      <c r="E5" s="33">
        <v>43587.180474537039</v>
      </c>
      <c r="F5" s="16">
        <v>0</v>
      </c>
      <c r="G5" s="31">
        <v>1500</v>
      </c>
      <c r="H5" s="16">
        <v>56000</v>
      </c>
      <c r="I5" s="30">
        <v>43587.206620370373</v>
      </c>
      <c r="J5" s="14"/>
      <c r="K5" s="14"/>
      <c r="L5" s="14">
        <v>20000</v>
      </c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</row>
    <row r="6" spans="1:169" x14ac:dyDescent="0.25">
      <c r="A6" s="30">
        <v>43586.260092592594</v>
      </c>
      <c r="B6" s="14"/>
      <c r="C6" s="32">
        <v>300</v>
      </c>
      <c r="D6" s="14">
        <v>10300</v>
      </c>
      <c r="E6" s="33">
        <v>43587.180486111109</v>
      </c>
      <c r="F6" s="16">
        <v>0</v>
      </c>
      <c r="G6" s="31">
        <v>1500</v>
      </c>
      <c r="H6" s="16">
        <v>59000</v>
      </c>
      <c r="I6" s="30">
        <v>43587.206643518519</v>
      </c>
      <c r="J6" s="14"/>
      <c r="K6" s="31">
        <v>600</v>
      </c>
      <c r="L6" s="14">
        <v>21200</v>
      </c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</row>
    <row r="7" spans="1:169" x14ac:dyDescent="0.25">
      <c r="A7" s="30">
        <v>43586.26017361111</v>
      </c>
      <c r="B7" s="14"/>
      <c r="C7" s="14"/>
      <c r="D7" s="14">
        <v>10000</v>
      </c>
      <c r="E7" s="33">
        <v>43587.180509259262</v>
      </c>
      <c r="F7" s="16">
        <v>0</v>
      </c>
      <c r="G7" s="32">
        <v>1500</v>
      </c>
      <c r="H7" s="16">
        <v>62000</v>
      </c>
      <c r="I7" s="30">
        <v>43587.206666666665</v>
      </c>
      <c r="J7" s="14"/>
      <c r="K7" s="31">
        <v>600</v>
      </c>
      <c r="L7" s="14">
        <v>22400</v>
      </c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</row>
    <row r="8" spans="1:169" x14ac:dyDescent="0.25">
      <c r="A8" s="30">
        <v>43586.260243055556</v>
      </c>
      <c r="B8" s="14">
        <v>-3000</v>
      </c>
      <c r="C8" s="31"/>
      <c r="D8" s="14">
        <v>7000</v>
      </c>
      <c r="E8" s="33">
        <v>43587.180567129632</v>
      </c>
      <c r="F8" s="16">
        <v>0</v>
      </c>
      <c r="G8" s="32"/>
      <c r="H8" s="16">
        <v>60500</v>
      </c>
      <c r="I8" s="30">
        <v>43587.206666666665</v>
      </c>
      <c r="J8" s="14"/>
      <c r="K8" s="32">
        <v>600</v>
      </c>
      <c r="L8" s="14">
        <v>23600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</row>
    <row r="9" spans="1:169" x14ac:dyDescent="0.25">
      <c r="A9" s="33">
        <v>43586.260254629633</v>
      </c>
      <c r="B9" s="16">
        <v>0</v>
      </c>
      <c r="C9" s="32">
        <v>210</v>
      </c>
      <c r="D9" s="16">
        <v>7210</v>
      </c>
      <c r="E9" s="33">
        <v>43587.181747685187</v>
      </c>
      <c r="F9" s="16"/>
      <c r="G9" s="16"/>
      <c r="H9" s="16">
        <v>56000</v>
      </c>
      <c r="I9" s="30">
        <v>43587.206712962965</v>
      </c>
      <c r="J9" s="14"/>
      <c r="K9" s="32"/>
      <c r="L9" s="14">
        <v>21600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</row>
    <row r="10" spans="1:169" x14ac:dyDescent="0.25">
      <c r="A10" s="33">
        <v>43586.260347222225</v>
      </c>
      <c r="B10" s="16">
        <v>0</v>
      </c>
      <c r="C10" s="16"/>
      <c r="D10" s="16">
        <v>7000</v>
      </c>
      <c r="E10" s="33">
        <v>43587.181979166664</v>
      </c>
      <c r="F10" s="16"/>
      <c r="G10" s="32">
        <v>1500</v>
      </c>
      <c r="H10" s="16">
        <v>59000</v>
      </c>
      <c r="I10" s="33">
        <v>43587.206747685188</v>
      </c>
      <c r="J10" s="14"/>
      <c r="K10" s="14"/>
      <c r="L10" s="14">
        <v>20000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</row>
    <row r="11" spans="1:169" x14ac:dyDescent="0.25">
      <c r="A11" s="33">
        <v>43586.952615740738</v>
      </c>
      <c r="B11" s="16"/>
      <c r="C11" s="32">
        <v>210</v>
      </c>
      <c r="D11" s="16">
        <v>7210</v>
      </c>
      <c r="E11" s="33">
        <v>43587.182164351849</v>
      </c>
      <c r="F11" s="16"/>
      <c r="G11" s="16"/>
      <c r="H11" s="16">
        <v>57500</v>
      </c>
      <c r="I11" s="33">
        <v>43587.206805555557</v>
      </c>
      <c r="J11" s="16">
        <v>-5000</v>
      </c>
      <c r="K11" s="31"/>
      <c r="L11" s="16">
        <v>15000</v>
      </c>
      <c r="M11" s="16"/>
      <c r="N11" s="16"/>
      <c r="O11" s="16"/>
      <c r="P11" s="16"/>
      <c r="Q11" s="16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</row>
    <row r="12" spans="1:169" s="27" customFormat="1" x14ac:dyDescent="0.25">
      <c r="A12" s="33">
        <v>43586.952766203707</v>
      </c>
      <c r="B12" s="16"/>
      <c r="C12" s="16"/>
      <c r="D12" s="16">
        <v>7000</v>
      </c>
      <c r="E12" s="33">
        <v>43587.182233796295</v>
      </c>
      <c r="F12" s="16"/>
      <c r="G12" s="32">
        <v>1500</v>
      </c>
      <c r="H12" s="16">
        <v>60500</v>
      </c>
      <c r="I12" s="33">
        <v>43587.206817129627</v>
      </c>
      <c r="J12" s="16">
        <v>0</v>
      </c>
      <c r="K12" s="31">
        <v>450</v>
      </c>
      <c r="L12" s="16">
        <v>15900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</row>
    <row r="13" spans="1:169" x14ac:dyDescent="0.25">
      <c r="A13" s="30">
        <v>43586.952800925923</v>
      </c>
      <c r="B13" s="14"/>
      <c r="C13" s="32">
        <v>210</v>
      </c>
      <c r="D13" s="14">
        <v>7210</v>
      </c>
      <c r="E13" s="33">
        <v>43587.182303240741</v>
      </c>
      <c r="F13" s="16"/>
      <c r="G13" s="16"/>
      <c r="H13" s="16">
        <v>59000</v>
      </c>
      <c r="I13" s="30">
        <v>43587.20684027778</v>
      </c>
      <c r="J13" s="14">
        <v>0</v>
      </c>
      <c r="K13" s="32">
        <v>450</v>
      </c>
      <c r="L13" s="14">
        <v>16800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</row>
    <row r="14" spans="1:169" x14ac:dyDescent="0.25">
      <c r="A14" s="30">
        <v>43586.958854166667</v>
      </c>
      <c r="B14" s="14"/>
      <c r="C14" s="14"/>
      <c r="D14" s="14">
        <v>5770</v>
      </c>
      <c r="E14" s="33">
        <v>43587.186967592592</v>
      </c>
      <c r="F14" s="16"/>
      <c r="G14" s="31">
        <v>1500</v>
      </c>
      <c r="H14" s="16">
        <v>53000</v>
      </c>
      <c r="I14" s="30">
        <v>43587.206863425927</v>
      </c>
      <c r="J14" s="14">
        <v>0</v>
      </c>
      <c r="K14" s="32"/>
      <c r="L14" s="14">
        <v>16000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</row>
    <row r="15" spans="1:169" x14ac:dyDescent="0.25">
      <c r="A15" s="30">
        <v>43586.958958333336</v>
      </c>
      <c r="B15" s="14"/>
      <c r="C15" s="32">
        <v>210</v>
      </c>
      <c r="D15" s="14">
        <v>5980</v>
      </c>
      <c r="E15" s="33">
        <v>43587.186990740738</v>
      </c>
      <c r="F15" s="16"/>
      <c r="G15" s="31">
        <v>1500</v>
      </c>
      <c r="H15" s="16">
        <v>56000</v>
      </c>
      <c r="I15" s="30">
        <v>43587.206886574073</v>
      </c>
      <c r="J15" s="14">
        <v>0</v>
      </c>
      <c r="K15" s="14"/>
      <c r="L15" s="14">
        <v>15000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</row>
    <row r="16" spans="1:169" x14ac:dyDescent="0.25">
      <c r="A16" s="30">
        <v>43586.959027777775</v>
      </c>
      <c r="B16" s="14"/>
      <c r="C16" s="14"/>
      <c r="D16" s="14">
        <v>5560</v>
      </c>
      <c r="E16" s="33">
        <v>43587.186990740738</v>
      </c>
      <c r="F16" s="16"/>
      <c r="G16" s="31">
        <v>1500</v>
      </c>
      <c r="H16" s="16">
        <v>59000</v>
      </c>
      <c r="I16" s="30">
        <v>43587.206932870373</v>
      </c>
      <c r="J16" s="14">
        <v>2000</v>
      </c>
      <c r="K16" s="31"/>
      <c r="L16" s="14">
        <v>17000</v>
      </c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</row>
    <row r="17" spans="1:185" x14ac:dyDescent="0.25">
      <c r="A17" s="30">
        <v>43586.961481481485</v>
      </c>
      <c r="B17" s="14"/>
      <c r="C17" s="32">
        <v>210</v>
      </c>
      <c r="D17" s="14">
        <v>7420</v>
      </c>
      <c r="E17" s="33">
        <v>43587.187013888892</v>
      </c>
      <c r="F17" s="16"/>
      <c r="G17" s="32">
        <v>1500</v>
      </c>
      <c r="H17" s="16">
        <v>62000</v>
      </c>
      <c r="I17" s="30">
        <v>43587.206944444442</v>
      </c>
      <c r="J17" s="14">
        <v>0</v>
      </c>
      <c r="K17" s="32">
        <v>510</v>
      </c>
      <c r="L17" s="14">
        <v>18020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</row>
    <row r="18" spans="1:185" x14ac:dyDescent="0.25">
      <c r="A18" s="30">
        <v>43586.961539351854</v>
      </c>
      <c r="B18" s="14"/>
      <c r="C18" s="14"/>
      <c r="D18" s="14">
        <v>7000</v>
      </c>
      <c r="E18" s="33">
        <v>43587.187060185184</v>
      </c>
      <c r="F18" s="16"/>
      <c r="G18" s="32"/>
      <c r="H18" s="16">
        <v>59000</v>
      </c>
      <c r="I18" s="30">
        <v>43587.206979166665</v>
      </c>
      <c r="J18" s="14">
        <v>0</v>
      </c>
      <c r="K18" s="14"/>
      <c r="L18" s="14">
        <v>17000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</row>
    <row r="19" spans="1:185" x14ac:dyDescent="0.25">
      <c r="A19" s="24">
        <v>43586.961597222224</v>
      </c>
      <c r="B19" s="16"/>
      <c r="C19" s="32">
        <v>210</v>
      </c>
      <c r="D19" s="16">
        <v>7420</v>
      </c>
      <c r="E19" s="33">
        <v>43587.187118055554</v>
      </c>
      <c r="F19" s="16"/>
      <c r="G19" s="16"/>
      <c r="H19" s="16">
        <v>50000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</row>
    <row r="20" spans="1:185" x14ac:dyDescent="0.25">
      <c r="A20" s="19">
        <v>43586.961863425924</v>
      </c>
      <c r="B20" s="16"/>
      <c r="C20" s="16"/>
      <c r="D20" s="22">
        <v>7000</v>
      </c>
      <c r="E20" s="24">
        <v>43587.18712962963</v>
      </c>
      <c r="F20" s="16"/>
      <c r="G20" s="32">
        <v>1500</v>
      </c>
      <c r="H20" s="16">
        <v>53000</v>
      </c>
      <c r="I20" s="16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</row>
    <row r="21" spans="1:185" x14ac:dyDescent="0.25">
      <c r="A21" s="19">
        <v>43586.962094907409</v>
      </c>
      <c r="B21" s="16"/>
      <c r="C21" s="32">
        <v>210</v>
      </c>
      <c r="D21" s="22">
        <v>7420</v>
      </c>
      <c r="E21" s="24">
        <v>43587.187175925923</v>
      </c>
      <c r="F21" s="16"/>
      <c r="G21" s="16"/>
      <c r="H21" s="16">
        <v>50000</v>
      </c>
      <c r="I21" s="16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</row>
    <row r="22" spans="1:185" x14ac:dyDescent="0.25">
      <c r="A22" s="19">
        <v>43586.971516203703</v>
      </c>
      <c r="B22" s="16"/>
      <c r="C22" s="16"/>
      <c r="D22" s="22">
        <v>7000</v>
      </c>
      <c r="E22" s="24">
        <v>43587.187476851854</v>
      </c>
      <c r="F22" s="16">
        <v>-20000</v>
      </c>
      <c r="G22" s="31"/>
      <c r="H22" s="16">
        <v>30000</v>
      </c>
      <c r="I22" s="16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</row>
    <row r="23" spans="1:185" x14ac:dyDescent="0.25">
      <c r="A23" s="19">
        <v>43586.971550925926</v>
      </c>
      <c r="B23" s="16"/>
      <c r="C23" s="31">
        <v>210</v>
      </c>
      <c r="D23" s="22">
        <v>7420</v>
      </c>
      <c r="E23" s="23">
        <v>43587.1875</v>
      </c>
      <c r="F23" s="14">
        <v>0</v>
      </c>
      <c r="G23" s="32">
        <v>900</v>
      </c>
      <c r="H23" s="14">
        <v>31800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</row>
    <row r="24" spans="1:185" x14ac:dyDescent="0.25">
      <c r="A24" s="19">
        <v>43586.971550925926</v>
      </c>
      <c r="B24" s="16"/>
      <c r="C24" s="31">
        <v>210</v>
      </c>
      <c r="D24" s="22">
        <v>7840</v>
      </c>
      <c r="E24" s="23">
        <v>43587.1875462963</v>
      </c>
      <c r="F24" s="14">
        <v>0</v>
      </c>
      <c r="G24" s="14"/>
      <c r="H24" s="14">
        <v>30000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</row>
    <row r="25" spans="1:185" x14ac:dyDescent="0.25">
      <c r="A25" s="19">
        <v>43586.971562500003</v>
      </c>
      <c r="B25" s="16"/>
      <c r="C25" s="32">
        <v>210</v>
      </c>
      <c r="D25" s="22">
        <v>8260</v>
      </c>
      <c r="E25" s="23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</row>
    <row r="26" spans="1:185" x14ac:dyDescent="0.25">
      <c r="A26" s="19">
        <v>43586.971620370372</v>
      </c>
      <c r="B26" s="16"/>
      <c r="C26" s="16"/>
      <c r="D26" s="22">
        <v>7000</v>
      </c>
      <c r="E26" s="23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</row>
    <row r="27" spans="1:185" x14ac:dyDescent="0.25">
      <c r="A27" s="19">
        <v>43587.008402777778</v>
      </c>
      <c r="B27" s="16"/>
      <c r="C27" s="32">
        <v>210</v>
      </c>
      <c r="D27" s="22">
        <v>7420</v>
      </c>
      <c r="E27" s="23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</row>
    <row r="28" spans="1:185" x14ac:dyDescent="0.25">
      <c r="A28" s="19">
        <v>43587.178761574076</v>
      </c>
      <c r="B28" s="16"/>
      <c r="C28" s="16"/>
      <c r="D28" s="22">
        <v>7000</v>
      </c>
      <c r="E28" s="23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</row>
    <row r="29" spans="1:185" x14ac:dyDescent="0.25">
      <c r="A29" s="19">
        <v>43587.186921296299</v>
      </c>
      <c r="B29" s="16"/>
      <c r="C29" s="31">
        <v>210</v>
      </c>
      <c r="D29" s="22">
        <v>7420</v>
      </c>
      <c r="E29" s="2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</row>
    <row r="30" spans="1:185" x14ac:dyDescent="0.25">
      <c r="A30" s="19">
        <v>43587.187326388892</v>
      </c>
      <c r="B30" s="16">
        <v>-2000</v>
      </c>
      <c r="C30" s="32"/>
      <c r="D30" s="22">
        <v>5420</v>
      </c>
      <c r="E30" s="23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</row>
    <row r="31" spans="1:185" x14ac:dyDescent="0.25">
      <c r="A31" s="19">
        <v>43587.187372685185</v>
      </c>
      <c r="B31" s="16">
        <v>0</v>
      </c>
      <c r="C31" s="16"/>
      <c r="D31" s="22">
        <v>5000</v>
      </c>
      <c r="E31" s="23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</row>
    <row r="32" spans="1:185" x14ac:dyDescent="0.25">
      <c r="A32" s="19"/>
      <c r="B32" s="16"/>
      <c r="C32" s="16"/>
      <c r="D32" s="22"/>
      <c r="E32" s="23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</row>
    <row r="33" spans="1:185" x14ac:dyDescent="0.25">
      <c r="A33" s="19"/>
      <c r="B33" s="16"/>
      <c r="C33" s="16"/>
      <c r="D33" s="22"/>
      <c r="E33" s="23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</row>
    <row r="34" spans="1:185" x14ac:dyDescent="0.25">
      <c r="A34" s="19"/>
      <c r="B34" s="16"/>
      <c r="C34" s="16"/>
      <c r="D34" s="22"/>
      <c r="E34" s="23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</row>
    <row r="35" spans="1:185" x14ac:dyDescent="0.25">
      <c r="A35" s="19"/>
      <c r="B35" s="16"/>
      <c r="C35" s="16"/>
      <c r="D35" s="22"/>
      <c r="E35" s="2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</row>
    <row r="36" spans="1:185" x14ac:dyDescent="0.25">
      <c r="A36" s="19"/>
      <c r="B36" s="16"/>
      <c r="C36" s="16"/>
      <c r="D36" s="22"/>
      <c r="E36" s="23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</row>
    <row r="37" spans="1:185" x14ac:dyDescent="0.25">
      <c r="A37" s="19"/>
      <c r="B37" s="16"/>
      <c r="C37" s="16"/>
      <c r="D37" s="22"/>
      <c r="E37" s="23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</row>
    <row r="38" spans="1:185" x14ac:dyDescent="0.25">
      <c r="A38" s="19"/>
      <c r="B38" s="16"/>
      <c r="C38" s="16"/>
      <c r="D38" s="22"/>
      <c r="E38" s="23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</row>
    <row r="39" spans="1:185" x14ac:dyDescent="0.25">
      <c r="A39" s="19"/>
      <c r="B39" s="16"/>
      <c r="C39" s="16"/>
      <c r="D39" s="22"/>
      <c r="E39" s="23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</row>
    <row r="40" spans="1:185" x14ac:dyDescent="0.25">
      <c r="A40" s="19"/>
      <c r="B40" s="16"/>
      <c r="C40" s="16"/>
      <c r="D40" s="22"/>
      <c r="E40" s="23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</row>
    <row r="41" spans="1:185" x14ac:dyDescent="0.25">
      <c r="A41" s="19"/>
      <c r="B41" s="16"/>
      <c r="C41" s="16"/>
      <c r="D41" s="22"/>
      <c r="E41" s="23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</row>
    <row r="42" spans="1:185" x14ac:dyDescent="0.25">
      <c r="A42" s="19"/>
      <c r="B42" s="16"/>
      <c r="C42" s="16"/>
      <c r="D42" s="22"/>
      <c r="E42" s="23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</row>
    <row r="43" spans="1:185" x14ac:dyDescent="0.25">
      <c r="A43" s="19"/>
      <c r="B43" s="16"/>
      <c r="C43" s="16"/>
      <c r="D43" s="22"/>
      <c r="E43" s="2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</row>
    <row r="44" spans="1:185" x14ac:dyDescent="0.25">
      <c r="A44" s="19"/>
      <c r="B44" s="16"/>
      <c r="C44" s="16"/>
      <c r="D44" s="22"/>
      <c r="E44" s="23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</row>
    <row r="45" spans="1:185" x14ac:dyDescent="0.25">
      <c r="A45" s="19"/>
      <c r="B45" s="16"/>
      <c r="C45" s="16"/>
      <c r="D45" s="22"/>
      <c r="E45" s="23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</row>
    <row r="46" spans="1:185" x14ac:dyDescent="0.25">
      <c r="A46" s="19"/>
      <c r="B46" s="16"/>
      <c r="C46" s="16"/>
      <c r="D46" s="22"/>
      <c r="E46" s="23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</row>
    <row r="47" spans="1:185" x14ac:dyDescent="0.25">
      <c r="A47" s="19"/>
      <c r="B47" s="16"/>
      <c r="C47" s="16"/>
      <c r="D47" s="22"/>
      <c r="E47" s="23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</row>
    <row r="48" spans="1:185" x14ac:dyDescent="0.25">
      <c r="A48" s="19"/>
      <c r="B48" s="16"/>
      <c r="C48" s="16"/>
      <c r="D48" s="22"/>
      <c r="E48" s="23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</row>
    <row r="49" spans="1:185" x14ac:dyDescent="0.25">
      <c r="A49" s="19"/>
      <c r="B49" s="16"/>
      <c r="C49" s="16"/>
      <c r="D49" s="22"/>
      <c r="E49" s="23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</row>
    <row r="50" spans="1:185" x14ac:dyDescent="0.25">
      <c r="A50" s="19"/>
      <c r="B50" s="16"/>
      <c r="C50" s="16"/>
      <c r="D50" s="22"/>
      <c r="E50" s="23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</row>
    <row r="51" spans="1:185" x14ac:dyDescent="0.25">
      <c r="A51" s="19"/>
      <c r="B51" s="16"/>
      <c r="C51" s="16"/>
      <c r="D51" s="22"/>
      <c r="E51" s="23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</row>
    <row r="52" spans="1:185" x14ac:dyDescent="0.25">
      <c r="A52" s="19"/>
      <c r="B52" s="16"/>
      <c r="C52" s="16"/>
      <c r="D52" s="22"/>
      <c r="E52" s="23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</row>
    <row r="53" spans="1:185" x14ac:dyDescent="0.25">
      <c r="A53" s="19"/>
      <c r="B53" s="16"/>
      <c r="C53" s="16"/>
      <c r="D53" s="22"/>
      <c r="E53" s="2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</row>
    <row r="54" spans="1:185" x14ac:dyDescent="0.25">
      <c r="A54" s="19"/>
      <c r="B54" s="16"/>
      <c r="C54" s="16"/>
      <c r="D54" s="22"/>
      <c r="E54" s="23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</row>
    <row r="55" spans="1:185" x14ac:dyDescent="0.25">
      <c r="A55" s="19"/>
      <c r="B55" s="16"/>
      <c r="C55" s="16"/>
      <c r="D55" s="22"/>
      <c r="E55" s="23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</row>
    <row r="56" spans="1:185" x14ac:dyDescent="0.25">
      <c r="A56" s="19"/>
      <c r="B56" s="16"/>
      <c r="C56" s="16"/>
      <c r="D56" s="22"/>
      <c r="E56" s="23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</row>
    <row r="57" spans="1:185" x14ac:dyDescent="0.25">
      <c r="A57" s="19"/>
      <c r="B57" s="16"/>
      <c r="C57" s="16"/>
      <c r="D57" s="22"/>
      <c r="E57" s="23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</row>
    <row r="58" spans="1:185" x14ac:dyDescent="0.25">
      <c r="A58" s="19"/>
      <c r="B58" s="16"/>
      <c r="C58" s="16"/>
      <c r="D58" s="22"/>
      <c r="E58" s="23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</row>
    <row r="59" spans="1:185" x14ac:dyDescent="0.25">
      <c r="A59" s="19"/>
      <c r="B59" s="16"/>
      <c r="C59" s="16"/>
      <c r="D59" s="22"/>
      <c r="E59" s="23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</row>
    <row r="60" spans="1:185" x14ac:dyDescent="0.25">
      <c r="A60" s="19"/>
      <c r="B60" s="16"/>
      <c r="C60" s="16"/>
      <c r="D60" s="22"/>
      <c r="E60" s="23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</row>
    <row r="61" spans="1:185" x14ac:dyDescent="0.25">
      <c r="A61" s="19"/>
      <c r="B61" s="16"/>
      <c r="C61" s="16"/>
      <c r="D61" s="22"/>
      <c r="E61" s="23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</row>
    <row r="62" spans="1:185" x14ac:dyDescent="0.25">
      <c r="A62" s="19"/>
      <c r="B62" s="16"/>
      <c r="C62" s="16"/>
      <c r="D62" s="22"/>
      <c r="E62" s="23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</row>
    <row r="63" spans="1:185" x14ac:dyDescent="0.25">
      <c r="A63" s="19"/>
      <c r="B63" s="16"/>
      <c r="C63" s="16"/>
      <c r="D63" s="22"/>
      <c r="E63" s="2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</row>
    <row r="64" spans="1:185" x14ac:dyDescent="0.25">
      <c r="A64" s="18"/>
      <c r="B64" s="16"/>
      <c r="C64" s="16"/>
      <c r="D64" s="22"/>
      <c r="E64" s="2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</row>
    <row r="65" spans="2:185" x14ac:dyDescent="0.25">
      <c r="B65" s="16"/>
      <c r="C65" s="5"/>
      <c r="D65" s="22"/>
      <c r="E65" s="2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</row>
    <row r="66" spans="2:185" x14ac:dyDescent="0.25">
      <c r="B66" s="5"/>
      <c r="C66" s="5"/>
      <c r="D66" s="5"/>
      <c r="E66" s="2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</row>
    <row r="67" spans="2:185" x14ac:dyDescent="0.25">
      <c r="B67" s="5"/>
      <c r="C67" s="5"/>
      <c r="D67" s="5"/>
      <c r="E67" s="23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</row>
    <row r="68" spans="2:185" x14ac:dyDescent="0.25">
      <c r="B68" s="5"/>
      <c r="C68" s="5"/>
      <c r="D68" s="5"/>
      <c r="E68" s="23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</row>
    <row r="69" spans="2:185" x14ac:dyDescent="0.25">
      <c r="B69" s="5"/>
      <c r="C69" s="5"/>
      <c r="D69" s="5"/>
      <c r="E69" s="23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</row>
    <row r="70" spans="2:185" x14ac:dyDescent="0.25">
      <c r="B70" s="5"/>
      <c r="D70" s="5"/>
      <c r="E70" s="2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</row>
    <row r="71" spans="2:185" x14ac:dyDescent="0.25">
      <c r="E71" s="2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</row>
    <row r="72" spans="2:185" x14ac:dyDescent="0.25">
      <c r="E72" s="2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</row>
    <row r="73" spans="2:185" x14ac:dyDescent="0.25">
      <c r="E73" s="2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</row>
    <row r="74" spans="2:185" x14ac:dyDescent="0.25">
      <c r="E74" s="2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</row>
    <row r="75" spans="2:185" x14ac:dyDescent="0.25">
      <c r="E75" s="2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</row>
    <row r="76" spans="2:185" x14ac:dyDescent="0.25">
      <c r="E76" s="23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</row>
    <row r="77" spans="2:185" x14ac:dyDescent="0.25">
      <c r="E77" s="2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</row>
    <row r="78" spans="2:185" x14ac:dyDescent="0.25">
      <c r="E78" s="23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</row>
    <row r="79" spans="2:185" x14ac:dyDescent="0.25">
      <c r="E79" s="23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</row>
    <row r="80" spans="2:185" x14ac:dyDescent="0.25">
      <c r="E80" s="23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</row>
    <row r="81" spans="5:185" x14ac:dyDescent="0.25">
      <c r="E81" s="23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</row>
    <row r="82" spans="5:185" x14ac:dyDescent="0.25">
      <c r="E82" s="23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</row>
    <row r="83" spans="5:185" x14ac:dyDescent="0.25">
      <c r="E83" s="23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</row>
    <row r="84" spans="5:185" x14ac:dyDescent="0.25">
      <c r="E84" s="23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</row>
    <row r="85" spans="5:185" x14ac:dyDescent="0.25">
      <c r="E85" s="23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</row>
    <row r="86" spans="5:185" x14ac:dyDescent="0.25">
      <c r="E86" s="23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</row>
    <row r="87" spans="5:185" x14ac:dyDescent="0.25">
      <c r="E87" s="23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</row>
    <row r="88" spans="5:185" x14ac:dyDescent="0.25">
      <c r="E88" s="23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</row>
    <row r="89" spans="5:185" x14ac:dyDescent="0.25">
      <c r="E89" s="23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</row>
    <row r="90" spans="5:185" x14ac:dyDescent="0.25">
      <c r="E90" s="23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</row>
    <row r="91" spans="5:185" x14ac:dyDescent="0.25">
      <c r="E91" s="23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</row>
    <row r="92" spans="5:185" x14ac:dyDescent="0.25">
      <c r="E92" s="23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</row>
    <row r="93" spans="5:185" x14ac:dyDescent="0.25">
      <c r="E93" s="23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</row>
    <row r="94" spans="5:185" x14ac:dyDescent="0.25">
      <c r="E94" s="23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</row>
    <row r="95" spans="5:185" x14ac:dyDescent="0.25">
      <c r="E95" s="23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</row>
    <row r="96" spans="5:185" x14ac:dyDescent="0.25">
      <c r="E96" s="21"/>
    </row>
    <row r="97" spans="1:8" x14ac:dyDescent="0.25">
      <c r="E97" s="21"/>
    </row>
    <row r="99" spans="1:8" x14ac:dyDescent="0.25">
      <c r="A99" s="20" t="s">
        <v>13</v>
      </c>
      <c r="B99" s="20" t="s">
        <v>11</v>
      </c>
      <c r="C99" s="20" t="s">
        <v>12</v>
      </c>
      <c r="D99" s="20" t="s">
        <v>10</v>
      </c>
      <c r="E99" s="20" t="s">
        <v>14</v>
      </c>
      <c r="F99" s="20" t="s">
        <v>15</v>
      </c>
      <c r="G99" s="20" t="s">
        <v>21</v>
      </c>
      <c r="H99" s="20" t="s">
        <v>19</v>
      </c>
    </row>
    <row r="100" spans="1:8" x14ac:dyDescent="0.25">
      <c r="A100" t="s">
        <v>44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45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46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topLeftCell="A82" workbookViewId="0">
      <selection activeCell="H93" sqref="H93"/>
    </sheetView>
  </sheetViews>
  <sheetFormatPr defaultRowHeight="15" x14ac:dyDescent="0.25"/>
  <sheetData>
    <row r="2" spans="2:26" x14ac:dyDescent="0.25"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23</v>
      </c>
      <c r="L2" t="s">
        <v>33</v>
      </c>
      <c r="M2" t="s">
        <v>34</v>
      </c>
      <c r="N2" t="s">
        <v>35</v>
      </c>
      <c r="O2" t="s">
        <v>36</v>
      </c>
      <c r="P2" t="s">
        <v>37</v>
      </c>
      <c r="Q2" t="s">
        <v>38</v>
      </c>
      <c r="R2" t="s">
        <v>39</v>
      </c>
      <c r="S2" t="s">
        <v>40</v>
      </c>
      <c r="T2" t="s">
        <v>8</v>
      </c>
      <c r="U2" t="s">
        <v>0</v>
      </c>
      <c r="V2" t="s">
        <v>41</v>
      </c>
      <c r="W2" t="s">
        <v>42</v>
      </c>
      <c r="X2" t="s">
        <v>43</v>
      </c>
      <c r="Y2" t="s">
        <v>47</v>
      </c>
      <c r="Z2" t="s">
        <v>48</v>
      </c>
    </row>
    <row r="3" spans="2:26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2:26" x14ac:dyDescent="0.25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8</v>
      </c>
    </row>
    <row r="102" spans="1:3" x14ac:dyDescent="0.25">
      <c r="A102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6B4B6-6D0D-42BD-822D-0470D71CAC97}">
  <sheetPr codeName="Sheet6"/>
  <dimension ref="A1:AF424"/>
  <sheetViews>
    <sheetView tabSelected="1" topLeftCell="A298" zoomScale="85" zoomScaleNormal="85" workbookViewId="0">
      <selection activeCell="L347" sqref="L347"/>
    </sheetView>
  </sheetViews>
  <sheetFormatPr defaultRowHeight="15" x14ac:dyDescent="0.25"/>
  <cols>
    <col min="1" max="1" width="23" customWidth="1"/>
    <col min="2" max="2" width="14.7109375" customWidth="1"/>
    <col min="3" max="13" width="12.42578125" customWidth="1"/>
    <col min="14" max="27" width="12.28515625" customWidth="1"/>
    <col min="32" max="32" width="13.140625" customWidth="1"/>
  </cols>
  <sheetData>
    <row r="1" spans="1:7" ht="15.75" thickBot="1" x14ac:dyDescent="0.3">
      <c r="A1" s="35">
        <v>2013</v>
      </c>
    </row>
    <row r="2" spans="1:7" ht="15.75" thickBot="1" x14ac:dyDescent="0.3">
      <c r="A2" s="71" t="s">
        <v>6</v>
      </c>
      <c r="B2" s="72" t="s">
        <v>60</v>
      </c>
      <c r="C2" s="73" t="s">
        <v>24</v>
      </c>
      <c r="D2" s="74" t="s">
        <v>25</v>
      </c>
      <c r="E2" s="74" t="s">
        <v>61</v>
      </c>
      <c r="F2" s="74" t="s">
        <v>61</v>
      </c>
      <c r="G2" s="75" t="s">
        <v>61</v>
      </c>
    </row>
    <row r="3" spans="1:7" x14ac:dyDescent="0.25">
      <c r="A3" s="67">
        <v>43281</v>
      </c>
      <c r="B3" s="68"/>
      <c r="C3" s="69"/>
      <c r="D3" s="69"/>
      <c r="E3" s="69"/>
      <c r="F3" s="69"/>
      <c r="G3" s="70"/>
    </row>
    <row r="4" spans="1:7" x14ac:dyDescent="0.25">
      <c r="A4" s="34">
        <v>43296</v>
      </c>
      <c r="B4" s="56"/>
      <c r="C4" s="49"/>
      <c r="D4" s="49"/>
      <c r="E4" s="49"/>
      <c r="F4" s="49"/>
      <c r="G4" s="50"/>
    </row>
    <row r="5" spans="1:7" x14ac:dyDescent="0.25">
      <c r="A5" s="34">
        <v>43311</v>
      </c>
      <c r="B5" s="56"/>
      <c r="C5" s="49"/>
      <c r="D5" s="49"/>
      <c r="E5" s="49"/>
      <c r="F5" s="49"/>
      <c r="G5" s="50"/>
    </row>
    <row r="6" spans="1:7" x14ac:dyDescent="0.25">
      <c r="A6" s="34">
        <v>41501</v>
      </c>
      <c r="B6" s="56"/>
      <c r="C6" s="49"/>
      <c r="D6" s="49"/>
      <c r="E6" s="49"/>
      <c r="F6" s="49"/>
      <c r="G6" s="50"/>
    </row>
    <row r="7" spans="1:7" x14ac:dyDescent="0.25">
      <c r="A7" s="34">
        <v>41516</v>
      </c>
      <c r="B7" s="56"/>
      <c r="C7" s="49"/>
      <c r="D7" s="49"/>
      <c r="E7" s="49"/>
      <c r="F7" s="49"/>
      <c r="G7" s="50"/>
    </row>
    <row r="8" spans="1:7" x14ac:dyDescent="0.25">
      <c r="A8" s="34">
        <v>41532</v>
      </c>
      <c r="B8" s="56"/>
      <c r="C8" s="49"/>
      <c r="D8" s="49"/>
      <c r="E8" s="49"/>
      <c r="F8" s="49"/>
      <c r="G8" s="50"/>
    </row>
    <row r="9" spans="1:7" x14ac:dyDescent="0.25">
      <c r="A9" s="34">
        <v>41547</v>
      </c>
      <c r="B9" s="56"/>
      <c r="C9" s="49"/>
      <c r="D9" s="49"/>
      <c r="E9" s="49"/>
      <c r="F9" s="49"/>
      <c r="G9" s="50"/>
    </row>
    <row r="10" spans="1:7" x14ac:dyDescent="0.25">
      <c r="A10" s="34">
        <v>41562</v>
      </c>
      <c r="B10" s="56"/>
      <c r="C10" s="49"/>
      <c r="D10" s="49"/>
      <c r="E10" s="49"/>
      <c r="F10" s="49"/>
      <c r="G10" s="50"/>
    </row>
    <row r="11" spans="1:7" x14ac:dyDescent="0.25">
      <c r="A11" s="34">
        <v>41577</v>
      </c>
      <c r="B11" s="56"/>
      <c r="C11" s="49"/>
      <c r="D11" s="49"/>
      <c r="E11" s="49"/>
      <c r="F11" s="49"/>
      <c r="G11" s="50"/>
    </row>
    <row r="12" spans="1:7" x14ac:dyDescent="0.25">
      <c r="A12" s="34">
        <v>41593</v>
      </c>
      <c r="B12" s="56">
        <v>0</v>
      </c>
      <c r="C12" s="49">
        <v>3500</v>
      </c>
      <c r="D12" s="49">
        <v>1500</v>
      </c>
      <c r="E12" s="49"/>
      <c r="F12" s="49"/>
      <c r="G12" s="50"/>
    </row>
    <row r="13" spans="1:7" x14ac:dyDescent="0.25">
      <c r="A13" s="34">
        <v>41608</v>
      </c>
      <c r="B13" s="56">
        <v>160</v>
      </c>
      <c r="C13" s="49"/>
      <c r="D13" s="49"/>
      <c r="E13" s="49"/>
      <c r="F13" s="49"/>
      <c r="G13" s="50"/>
    </row>
    <row r="14" spans="1:7" ht="15.75" thickBot="1" x14ac:dyDescent="0.3">
      <c r="A14" s="51">
        <v>41623</v>
      </c>
      <c r="B14" s="57">
        <v>120</v>
      </c>
      <c r="C14" s="52"/>
      <c r="D14" s="52"/>
      <c r="E14" s="52"/>
      <c r="F14" s="52"/>
      <c r="G14" s="53"/>
    </row>
    <row r="15" spans="1:7" ht="15.75" thickBot="1" x14ac:dyDescent="0.3">
      <c r="A15" s="54" t="s">
        <v>7</v>
      </c>
      <c r="B15" s="55">
        <f t="shared" ref="B15:G15" si="0">SUM(B3:B14)</f>
        <v>280</v>
      </c>
      <c r="C15" s="55">
        <f t="shared" si="0"/>
        <v>3500</v>
      </c>
      <c r="D15" s="55">
        <f t="shared" si="0"/>
        <v>1500</v>
      </c>
      <c r="E15" s="55">
        <f t="shared" si="0"/>
        <v>0</v>
      </c>
      <c r="F15" s="55">
        <f t="shared" si="0"/>
        <v>0</v>
      </c>
      <c r="G15" s="58">
        <f t="shared" si="0"/>
        <v>0</v>
      </c>
    </row>
    <row r="16" spans="1:7" ht="15.75" thickBot="1" x14ac:dyDescent="0.3"/>
    <row r="17" spans="1:7" ht="15.75" thickBot="1" x14ac:dyDescent="0.3">
      <c r="A17" s="35" t="s">
        <v>63</v>
      </c>
    </row>
    <row r="18" spans="1:7" ht="15.75" thickBot="1" x14ac:dyDescent="0.3">
      <c r="A18" s="71" t="s">
        <v>6</v>
      </c>
      <c r="B18" s="72" t="s">
        <v>60</v>
      </c>
      <c r="C18" s="73" t="s">
        <v>24</v>
      </c>
      <c r="D18" s="74" t="s">
        <v>25</v>
      </c>
      <c r="E18" s="74" t="s">
        <v>26</v>
      </c>
      <c r="F18" s="74" t="s">
        <v>27</v>
      </c>
      <c r="G18" s="75" t="s">
        <v>28</v>
      </c>
    </row>
    <row r="19" spans="1:7" x14ac:dyDescent="0.25">
      <c r="A19" s="67">
        <v>42003</v>
      </c>
      <c r="B19" s="68">
        <v>78</v>
      </c>
      <c r="C19" s="69"/>
      <c r="D19" s="69"/>
      <c r="E19" s="69"/>
      <c r="F19" s="69"/>
      <c r="G19" s="70"/>
    </row>
    <row r="20" spans="1:7" x14ac:dyDescent="0.25">
      <c r="A20" s="34">
        <v>41654</v>
      </c>
      <c r="B20" s="56">
        <v>222</v>
      </c>
      <c r="C20" s="49">
        <v>1000</v>
      </c>
      <c r="D20" s="49">
        <v>1000</v>
      </c>
      <c r="E20" s="49"/>
      <c r="F20" s="49"/>
      <c r="G20" s="50"/>
    </row>
    <row r="21" spans="1:7" x14ac:dyDescent="0.25">
      <c r="A21" s="34">
        <v>41669</v>
      </c>
      <c r="B21" s="56">
        <v>300</v>
      </c>
      <c r="C21" s="49"/>
      <c r="D21" s="49"/>
      <c r="E21" s="49"/>
      <c r="F21" s="49"/>
      <c r="G21" s="50"/>
    </row>
    <row r="22" spans="1:7" x14ac:dyDescent="0.25">
      <c r="A22" s="34">
        <v>41685</v>
      </c>
      <c r="B22" s="56">
        <v>180</v>
      </c>
      <c r="C22" s="49"/>
      <c r="D22" s="49"/>
      <c r="E22" s="49"/>
      <c r="F22" s="49"/>
      <c r="G22" s="50"/>
    </row>
    <row r="23" spans="1:7" x14ac:dyDescent="0.25">
      <c r="A23" s="34">
        <v>41698</v>
      </c>
      <c r="B23" s="56">
        <v>110</v>
      </c>
      <c r="C23" s="49">
        <v>500</v>
      </c>
      <c r="D23" s="49">
        <v>500</v>
      </c>
      <c r="E23" s="49"/>
      <c r="F23" s="49"/>
      <c r="G23" s="50"/>
    </row>
    <row r="24" spans="1:7" x14ac:dyDescent="0.25">
      <c r="A24" s="34">
        <v>41713</v>
      </c>
      <c r="B24" s="56">
        <v>180</v>
      </c>
      <c r="C24" s="49"/>
      <c r="D24" s="49"/>
      <c r="E24" s="49"/>
      <c r="F24" s="49"/>
      <c r="G24" s="50"/>
    </row>
    <row r="25" spans="1:7" x14ac:dyDescent="0.25">
      <c r="A25" s="34">
        <v>41728</v>
      </c>
      <c r="B25" s="56">
        <v>185</v>
      </c>
      <c r="C25" s="49"/>
      <c r="D25" s="49"/>
      <c r="E25" s="49"/>
      <c r="F25" s="49"/>
      <c r="G25" s="50"/>
    </row>
    <row r="26" spans="1:7" x14ac:dyDescent="0.25">
      <c r="A26" s="34">
        <v>41744</v>
      </c>
      <c r="B26" s="56">
        <v>195</v>
      </c>
      <c r="C26" s="49"/>
      <c r="D26" s="49"/>
      <c r="E26" s="49"/>
      <c r="F26" s="49"/>
      <c r="G26" s="50"/>
    </row>
    <row r="27" spans="1:7" x14ac:dyDescent="0.25">
      <c r="A27" s="34">
        <v>41759</v>
      </c>
      <c r="B27" s="56">
        <v>195</v>
      </c>
      <c r="C27" s="49"/>
      <c r="D27" s="49"/>
      <c r="E27" s="49"/>
      <c r="F27" s="49"/>
      <c r="G27" s="50"/>
    </row>
    <row r="28" spans="1:7" x14ac:dyDescent="0.25">
      <c r="A28" s="34">
        <v>41774</v>
      </c>
      <c r="B28" s="56">
        <v>150</v>
      </c>
      <c r="C28" s="49"/>
      <c r="D28" s="49"/>
      <c r="E28" s="49"/>
      <c r="F28" s="49"/>
      <c r="G28" s="50"/>
    </row>
    <row r="29" spans="1:7" x14ac:dyDescent="0.25">
      <c r="A29" s="34">
        <v>41789</v>
      </c>
      <c r="B29" s="56">
        <v>300</v>
      </c>
      <c r="C29" s="49"/>
      <c r="D29" s="49"/>
      <c r="E29" s="49"/>
      <c r="F29" s="49"/>
      <c r="G29" s="50"/>
    </row>
    <row r="30" spans="1:7" ht="15.75" thickBot="1" x14ac:dyDescent="0.3">
      <c r="A30" s="51">
        <v>41805</v>
      </c>
      <c r="B30" s="57">
        <v>210</v>
      </c>
      <c r="C30" s="52">
        <v>1616</v>
      </c>
      <c r="D30" s="52">
        <v>1000</v>
      </c>
      <c r="E30" s="52">
        <v>500</v>
      </c>
      <c r="F30" s="52">
        <v>0</v>
      </c>
      <c r="G30" s="53">
        <v>500</v>
      </c>
    </row>
    <row r="31" spans="1:7" ht="15.75" thickBot="1" x14ac:dyDescent="0.3">
      <c r="A31" s="54" t="s">
        <v>7</v>
      </c>
      <c r="B31" s="55">
        <f>SUM(B19:B30) + B15</f>
        <v>2585</v>
      </c>
      <c r="C31" s="55">
        <f>SUM(C19:C30) +C15</f>
        <v>6616</v>
      </c>
      <c r="D31" s="55">
        <f>SUM(D19:D30) +D15</f>
        <v>4000</v>
      </c>
      <c r="E31" s="55">
        <f>SUM(E19:E30) +E15</f>
        <v>500</v>
      </c>
      <c r="F31" s="55">
        <f>SUM(F19:F30) + F15</f>
        <v>0</v>
      </c>
      <c r="G31" s="58">
        <f>SUM(G19:G30) + G15</f>
        <v>500</v>
      </c>
    </row>
    <row r="32" spans="1:7" ht="15.75" thickBot="1" x14ac:dyDescent="0.3"/>
    <row r="33" spans="1:8" ht="15.75" thickBot="1" x14ac:dyDescent="0.3">
      <c r="A33" s="35" t="s">
        <v>62</v>
      </c>
    </row>
    <row r="34" spans="1:8" ht="15.75" thickBot="1" x14ac:dyDescent="0.3">
      <c r="A34" s="71" t="s">
        <v>6</v>
      </c>
      <c r="B34" s="72" t="s">
        <v>60</v>
      </c>
      <c r="C34" s="73" t="s">
        <v>24</v>
      </c>
      <c r="D34" s="74" t="s">
        <v>25</v>
      </c>
      <c r="E34" s="74" t="s">
        <v>26</v>
      </c>
      <c r="F34" s="74" t="s">
        <v>27</v>
      </c>
      <c r="G34" s="75" t="s">
        <v>28</v>
      </c>
      <c r="H34" s="75" t="s">
        <v>29</v>
      </c>
    </row>
    <row r="35" spans="1:8" x14ac:dyDescent="0.25">
      <c r="A35" s="67">
        <v>41820</v>
      </c>
      <c r="B35" s="68">
        <v>630</v>
      </c>
      <c r="C35" s="69">
        <v>5084</v>
      </c>
      <c r="D35" s="69">
        <v>0</v>
      </c>
      <c r="E35" s="69">
        <v>500</v>
      </c>
      <c r="F35" s="69">
        <v>0</v>
      </c>
      <c r="G35" s="70">
        <v>0</v>
      </c>
      <c r="H35" s="70">
        <v>4000</v>
      </c>
    </row>
    <row r="36" spans="1:8" x14ac:dyDescent="0.25">
      <c r="A36" s="34">
        <v>41835</v>
      </c>
      <c r="B36" s="56">
        <v>570</v>
      </c>
      <c r="C36" s="49">
        <v>10300</v>
      </c>
      <c r="D36" s="49">
        <v>0</v>
      </c>
      <c r="E36" s="49">
        <v>500</v>
      </c>
      <c r="F36" s="49">
        <v>0</v>
      </c>
      <c r="G36" s="50">
        <v>500</v>
      </c>
      <c r="H36" s="50">
        <v>2000</v>
      </c>
    </row>
    <row r="37" spans="1:8" x14ac:dyDescent="0.25">
      <c r="A37" s="34">
        <v>41850</v>
      </c>
      <c r="B37" s="56">
        <v>605</v>
      </c>
      <c r="C37" s="49">
        <v>0</v>
      </c>
      <c r="D37" s="49">
        <v>0</v>
      </c>
      <c r="E37" s="49">
        <v>500</v>
      </c>
      <c r="F37" s="49">
        <v>0</v>
      </c>
      <c r="G37" s="50">
        <v>1000</v>
      </c>
      <c r="H37" s="50">
        <v>1000</v>
      </c>
    </row>
    <row r="38" spans="1:8" x14ac:dyDescent="0.25">
      <c r="A38" s="34">
        <v>41866</v>
      </c>
      <c r="B38" s="56">
        <v>1417</v>
      </c>
      <c r="C38" s="49">
        <v>0</v>
      </c>
      <c r="D38" s="49">
        <v>0</v>
      </c>
      <c r="E38" s="49">
        <v>500</v>
      </c>
      <c r="F38" s="49">
        <v>500</v>
      </c>
      <c r="G38" s="50">
        <v>1000</v>
      </c>
      <c r="H38" s="50">
        <v>0</v>
      </c>
    </row>
    <row r="39" spans="1:8" x14ac:dyDescent="0.25">
      <c r="A39" s="34">
        <v>41881</v>
      </c>
      <c r="B39" s="56">
        <v>823</v>
      </c>
      <c r="C39" s="49">
        <v>0</v>
      </c>
      <c r="D39" s="49">
        <v>2000</v>
      </c>
      <c r="E39" s="49">
        <v>500</v>
      </c>
      <c r="F39" s="49">
        <v>0</v>
      </c>
      <c r="G39" s="50">
        <v>500</v>
      </c>
      <c r="H39" s="50">
        <v>0</v>
      </c>
    </row>
    <row r="40" spans="1:8" x14ac:dyDescent="0.25">
      <c r="A40" s="34">
        <v>41897</v>
      </c>
      <c r="B40" s="56">
        <v>681</v>
      </c>
      <c r="C40" s="49">
        <v>0</v>
      </c>
      <c r="D40" s="49">
        <v>0</v>
      </c>
      <c r="E40" s="49">
        <v>500</v>
      </c>
      <c r="F40" s="49">
        <v>0</v>
      </c>
      <c r="G40" s="50">
        <v>1000</v>
      </c>
      <c r="H40" s="50">
        <v>2000</v>
      </c>
    </row>
    <row r="41" spans="1:8" x14ac:dyDescent="0.25">
      <c r="A41" s="34">
        <v>41912</v>
      </c>
      <c r="B41" s="56">
        <v>1956</v>
      </c>
      <c r="C41" s="49">
        <v>0</v>
      </c>
      <c r="D41" s="49">
        <v>0</v>
      </c>
      <c r="E41" s="49">
        <v>500</v>
      </c>
      <c r="F41" s="49">
        <v>0</v>
      </c>
      <c r="G41" s="50">
        <v>1000</v>
      </c>
      <c r="H41" s="50">
        <v>1000</v>
      </c>
    </row>
    <row r="42" spans="1:8" x14ac:dyDescent="0.25">
      <c r="A42" s="34">
        <v>41927</v>
      </c>
      <c r="B42" s="56">
        <v>1490</v>
      </c>
      <c r="C42" s="49">
        <v>0</v>
      </c>
      <c r="D42" s="49">
        <v>0</v>
      </c>
      <c r="E42" s="49">
        <v>0</v>
      </c>
      <c r="F42" s="49">
        <v>0</v>
      </c>
      <c r="G42" s="50">
        <v>1000</v>
      </c>
      <c r="H42" s="50">
        <v>1000</v>
      </c>
    </row>
    <row r="43" spans="1:8" x14ac:dyDescent="0.25">
      <c r="A43" s="34">
        <v>41942</v>
      </c>
      <c r="B43" s="56">
        <v>900</v>
      </c>
      <c r="C43" s="49">
        <v>0</v>
      </c>
      <c r="D43" s="49">
        <v>0</v>
      </c>
      <c r="E43" s="49">
        <v>1000</v>
      </c>
      <c r="F43" s="49">
        <v>0</v>
      </c>
      <c r="G43" s="50">
        <v>1000</v>
      </c>
      <c r="H43" s="50">
        <v>1000</v>
      </c>
    </row>
    <row r="44" spans="1:8" x14ac:dyDescent="0.25">
      <c r="A44" s="34">
        <v>41958</v>
      </c>
      <c r="B44" s="56">
        <v>1493</v>
      </c>
      <c r="C44" s="49">
        <v>0</v>
      </c>
      <c r="D44" s="49">
        <v>0</v>
      </c>
      <c r="E44" s="49">
        <v>500</v>
      </c>
      <c r="F44" s="49">
        <v>0</v>
      </c>
      <c r="G44" s="50">
        <v>1000</v>
      </c>
      <c r="H44" s="50">
        <v>1000</v>
      </c>
    </row>
    <row r="45" spans="1:8" x14ac:dyDescent="0.25">
      <c r="A45" s="34">
        <v>41973</v>
      </c>
      <c r="B45" s="56">
        <v>1525</v>
      </c>
      <c r="C45" s="49">
        <v>0</v>
      </c>
      <c r="D45" s="49">
        <v>0</v>
      </c>
      <c r="E45" s="49">
        <v>0</v>
      </c>
      <c r="F45" s="49">
        <v>0</v>
      </c>
      <c r="G45" s="50">
        <v>1000</v>
      </c>
      <c r="H45" s="50">
        <v>0</v>
      </c>
    </row>
    <row r="46" spans="1:8" ht="15.75" thickBot="1" x14ac:dyDescent="0.3">
      <c r="A46" s="61"/>
      <c r="B46" s="62"/>
      <c r="C46" s="62"/>
      <c r="D46" s="62"/>
      <c r="E46" s="62"/>
      <c r="F46" s="62"/>
      <c r="G46" s="63"/>
      <c r="H46" s="63"/>
    </row>
    <row r="47" spans="1:8" ht="15.75" thickBot="1" x14ac:dyDescent="0.3">
      <c r="A47" s="54" t="s">
        <v>7</v>
      </c>
      <c r="B47" s="55">
        <f>SUM(B35:B46)</f>
        <v>12090</v>
      </c>
      <c r="C47" s="55">
        <f>SUM(C35:C46) +C31</f>
        <v>22000</v>
      </c>
      <c r="D47" s="55">
        <f>SUM(D35:D46) +D31</f>
        <v>6000</v>
      </c>
      <c r="E47" s="55">
        <f>SUM(E35:E46) +E31</f>
        <v>5500</v>
      </c>
      <c r="F47" s="55">
        <f>SUM(F35:F46) + F31</f>
        <v>500</v>
      </c>
      <c r="G47" s="58">
        <f>SUM(G35:G46) + G31</f>
        <v>9500</v>
      </c>
      <c r="H47" s="58">
        <f>SUM(H35:H46) + H31</f>
        <v>13000</v>
      </c>
    </row>
    <row r="48" spans="1:8" ht="15.75" thickBot="1" x14ac:dyDescent="0.3"/>
    <row r="49" spans="1:12" ht="15.75" thickBot="1" x14ac:dyDescent="0.3">
      <c r="A49" s="35" t="s">
        <v>64</v>
      </c>
    </row>
    <row r="50" spans="1:12" ht="15.75" thickBot="1" x14ac:dyDescent="0.3">
      <c r="A50" s="71" t="s">
        <v>6</v>
      </c>
      <c r="B50" s="72" t="s">
        <v>60</v>
      </c>
      <c r="C50" s="73" t="s">
        <v>24</v>
      </c>
      <c r="D50" s="74" t="s">
        <v>25</v>
      </c>
      <c r="E50" s="74" t="s">
        <v>26</v>
      </c>
      <c r="F50" s="74" t="s">
        <v>27</v>
      </c>
      <c r="G50" s="75" t="s">
        <v>28</v>
      </c>
      <c r="H50" s="75" t="s">
        <v>29</v>
      </c>
      <c r="I50" s="75" t="s">
        <v>30</v>
      </c>
      <c r="J50" s="75" t="s">
        <v>66</v>
      </c>
      <c r="K50" s="75" t="s">
        <v>32</v>
      </c>
      <c r="L50" s="75" t="s">
        <v>67</v>
      </c>
    </row>
    <row r="51" spans="1:12" x14ac:dyDescent="0.25">
      <c r="A51" s="67">
        <v>42353</v>
      </c>
      <c r="B51" s="68">
        <v>1741</v>
      </c>
      <c r="C51" s="69">
        <v>4707</v>
      </c>
      <c r="D51" s="69">
        <v>0</v>
      </c>
      <c r="E51" s="69">
        <v>1177</v>
      </c>
      <c r="F51" s="69">
        <v>107</v>
      </c>
      <c r="G51" s="70">
        <v>3033</v>
      </c>
      <c r="H51" s="70">
        <v>4782</v>
      </c>
      <c r="I51" s="70">
        <v>5000</v>
      </c>
      <c r="J51" s="70">
        <v>0</v>
      </c>
      <c r="K51" s="70">
        <v>0</v>
      </c>
      <c r="L51" s="70">
        <v>0</v>
      </c>
    </row>
    <row r="52" spans="1:12" x14ac:dyDescent="0.25">
      <c r="A52" s="34">
        <v>42368</v>
      </c>
      <c r="B52" s="56">
        <v>720</v>
      </c>
      <c r="C52" s="49">
        <v>0</v>
      </c>
      <c r="D52" s="49">
        <v>0</v>
      </c>
      <c r="E52" s="49">
        <v>500</v>
      </c>
      <c r="F52" s="49">
        <v>0</v>
      </c>
      <c r="G52" s="50">
        <v>1000</v>
      </c>
      <c r="H52" s="50">
        <v>1000</v>
      </c>
      <c r="I52" s="50">
        <v>1000</v>
      </c>
      <c r="J52" s="50">
        <v>0</v>
      </c>
      <c r="K52" s="50">
        <v>0</v>
      </c>
      <c r="L52" s="50">
        <v>0</v>
      </c>
    </row>
    <row r="53" spans="1:12" x14ac:dyDescent="0.25">
      <c r="A53" s="34">
        <v>42019</v>
      </c>
      <c r="B53" s="56">
        <v>2283</v>
      </c>
      <c r="C53" s="49">
        <v>0</v>
      </c>
      <c r="D53" s="49">
        <v>0</v>
      </c>
      <c r="E53" s="49">
        <v>0</v>
      </c>
      <c r="F53" s="49">
        <v>0</v>
      </c>
      <c r="G53" s="50">
        <v>1000</v>
      </c>
      <c r="H53" s="50">
        <v>500</v>
      </c>
      <c r="I53" s="50">
        <v>1000</v>
      </c>
      <c r="J53" s="50">
        <v>0</v>
      </c>
      <c r="K53" s="50">
        <v>0</v>
      </c>
      <c r="L53" s="50">
        <v>0</v>
      </c>
    </row>
    <row r="54" spans="1:12" x14ac:dyDescent="0.25">
      <c r="A54" s="34">
        <v>42034</v>
      </c>
      <c r="B54" s="56">
        <v>3351</v>
      </c>
      <c r="C54" s="49">
        <v>2500</v>
      </c>
      <c r="D54" s="49">
        <v>0</v>
      </c>
      <c r="E54" s="49">
        <v>500</v>
      </c>
      <c r="F54" s="49">
        <v>0</v>
      </c>
      <c r="G54" s="50">
        <v>1000</v>
      </c>
      <c r="H54" s="50">
        <v>1000</v>
      </c>
      <c r="I54" s="50">
        <v>3000</v>
      </c>
      <c r="J54" s="50">
        <v>0</v>
      </c>
      <c r="K54" s="50">
        <v>0</v>
      </c>
      <c r="L54" s="50">
        <v>0</v>
      </c>
    </row>
    <row r="55" spans="1:12" x14ac:dyDescent="0.25">
      <c r="A55" s="34">
        <v>42050</v>
      </c>
      <c r="B55" s="56">
        <v>1549</v>
      </c>
      <c r="C55" s="49">
        <v>2500</v>
      </c>
      <c r="D55" s="49">
        <v>0</v>
      </c>
      <c r="E55" s="49">
        <v>500</v>
      </c>
      <c r="F55" s="49">
        <v>0</v>
      </c>
      <c r="G55" s="50">
        <v>1000</v>
      </c>
      <c r="H55" s="50">
        <v>1000</v>
      </c>
      <c r="I55" s="50">
        <v>1000</v>
      </c>
      <c r="J55" s="50">
        <v>0</v>
      </c>
      <c r="K55" s="50">
        <v>0</v>
      </c>
      <c r="L55" s="50">
        <v>0</v>
      </c>
    </row>
    <row r="56" spans="1:12" x14ac:dyDescent="0.25">
      <c r="A56" s="34">
        <v>42063</v>
      </c>
      <c r="B56" s="56">
        <v>3573</v>
      </c>
      <c r="C56" s="49">
        <v>2500</v>
      </c>
      <c r="D56" s="49">
        <v>0</v>
      </c>
      <c r="E56" s="49">
        <v>0</v>
      </c>
      <c r="F56" s="49">
        <v>0</v>
      </c>
      <c r="G56" s="50">
        <v>1000</v>
      </c>
      <c r="H56" s="50">
        <v>1000</v>
      </c>
      <c r="I56" s="50">
        <v>3000</v>
      </c>
      <c r="J56" s="50">
        <v>1000</v>
      </c>
      <c r="K56" s="50">
        <v>0</v>
      </c>
      <c r="L56" s="50">
        <v>0</v>
      </c>
    </row>
    <row r="57" spans="1:12" x14ac:dyDescent="0.25">
      <c r="A57" s="34">
        <v>42078</v>
      </c>
      <c r="B57" s="56">
        <v>2017</v>
      </c>
      <c r="C57" s="49">
        <v>0</v>
      </c>
      <c r="D57" s="49">
        <v>0</v>
      </c>
      <c r="E57" s="49">
        <v>0</v>
      </c>
      <c r="F57" s="49">
        <v>0</v>
      </c>
      <c r="G57" s="50">
        <v>1000</v>
      </c>
      <c r="H57" s="50">
        <v>1000</v>
      </c>
      <c r="I57" s="50">
        <v>2000</v>
      </c>
      <c r="J57" s="50">
        <v>100</v>
      </c>
      <c r="K57" s="50">
        <v>0</v>
      </c>
      <c r="L57" s="50">
        <v>0</v>
      </c>
    </row>
    <row r="58" spans="1:12" x14ac:dyDescent="0.25">
      <c r="A58" s="34">
        <v>42093</v>
      </c>
      <c r="B58" s="56">
        <v>4662</v>
      </c>
      <c r="C58" s="49">
        <v>2000</v>
      </c>
      <c r="D58" s="49">
        <v>0</v>
      </c>
      <c r="E58" s="49">
        <v>500</v>
      </c>
      <c r="F58" s="49">
        <v>0</v>
      </c>
      <c r="G58" s="50">
        <v>700</v>
      </c>
      <c r="H58" s="50">
        <v>2000</v>
      </c>
      <c r="I58" s="50">
        <v>2000</v>
      </c>
      <c r="J58" s="50">
        <v>500</v>
      </c>
      <c r="K58" s="50">
        <v>5000</v>
      </c>
      <c r="L58" s="50">
        <v>2000</v>
      </c>
    </row>
    <row r="59" spans="1:12" x14ac:dyDescent="0.25">
      <c r="A59" s="34">
        <v>42109</v>
      </c>
      <c r="B59" s="56">
        <v>2443</v>
      </c>
      <c r="C59" s="49">
        <v>2500</v>
      </c>
      <c r="D59" s="49">
        <v>0</v>
      </c>
      <c r="E59" s="49">
        <v>0</v>
      </c>
      <c r="F59" s="49">
        <v>500</v>
      </c>
      <c r="G59" s="50">
        <v>1000</v>
      </c>
      <c r="H59" s="50">
        <v>1000</v>
      </c>
      <c r="I59" s="50">
        <v>2000</v>
      </c>
      <c r="J59" s="50">
        <v>500</v>
      </c>
      <c r="K59" s="50">
        <v>3000</v>
      </c>
      <c r="L59" s="50">
        <v>5000</v>
      </c>
    </row>
    <row r="60" spans="1:12" x14ac:dyDescent="0.25">
      <c r="A60" s="34">
        <v>42124</v>
      </c>
      <c r="B60" s="56">
        <v>3926</v>
      </c>
      <c r="C60" s="49">
        <v>2000</v>
      </c>
      <c r="D60" s="49">
        <v>0</v>
      </c>
      <c r="E60" s="49">
        <v>500</v>
      </c>
      <c r="F60" s="49">
        <v>0</v>
      </c>
      <c r="G60" s="50">
        <v>1000</v>
      </c>
      <c r="H60" s="50">
        <v>1000</v>
      </c>
      <c r="I60" s="50">
        <v>0</v>
      </c>
      <c r="J60" s="50">
        <v>0</v>
      </c>
      <c r="K60" s="50">
        <v>0</v>
      </c>
      <c r="L60" s="50">
        <v>850</v>
      </c>
    </row>
    <row r="61" spans="1:12" x14ac:dyDescent="0.25">
      <c r="A61" s="34">
        <v>42139</v>
      </c>
      <c r="B61" s="56">
        <v>5456</v>
      </c>
      <c r="C61" s="49">
        <v>2500</v>
      </c>
      <c r="D61" s="49">
        <v>0</v>
      </c>
      <c r="E61" s="49">
        <v>0</v>
      </c>
      <c r="F61" s="49">
        <v>0</v>
      </c>
      <c r="G61" s="50">
        <v>1000</v>
      </c>
      <c r="H61" s="50">
        <v>1000</v>
      </c>
      <c r="I61" s="50">
        <v>2000</v>
      </c>
      <c r="J61" s="50">
        <v>500</v>
      </c>
      <c r="K61" s="50">
        <v>0</v>
      </c>
      <c r="L61" s="50">
        <v>0</v>
      </c>
    </row>
    <row r="62" spans="1:12" ht="15.75" thickBot="1" x14ac:dyDescent="0.3">
      <c r="A62" s="34">
        <v>42154</v>
      </c>
      <c r="B62" s="84">
        <v>3453</v>
      </c>
      <c r="C62" s="65">
        <v>2000</v>
      </c>
      <c r="D62" s="65">
        <v>0</v>
      </c>
      <c r="E62" s="65">
        <v>0</v>
      </c>
      <c r="F62" s="65">
        <v>0</v>
      </c>
      <c r="G62" s="66">
        <v>500</v>
      </c>
      <c r="H62" s="66">
        <v>1000</v>
      </c>
      <c r="I62" s="66">
        <v>2000</v>
      </c>
      <c r="J62" s="66">
        <v>500</v>
      </c>
      <c r="K62" s="66">
        <v>0</v>
      </c>
      <c r="L62" s="66">
        <v>0</v>
      </c>
    </row>
    <row r="63" spans="1:12" ht="15.75" thickBot="1" x14ac:dyDescent="0.3">
      <c r="A63" s="54" t="s">
        <v>7</v>
      </c>
      <c r="B63" s="55">
        <f>SUM(B51:B62) - 684</f>
        <v>34490</v>
      </c>
      <c r="C63" s="55">
        <f>SUM(C51:C62) +C47</f>
        <v>45207</v>
      </c>
      <c r="D63" s="55">
        <f>SUM(D51:D62) +D47</f>
        <v>6000</v>
      </c>
      <c r="E63" s="55">
        <f>SUM(E51:E62) +E47</f>
        <v>9177</v>
      </c>
      <c r="F63" s="55">
        <f t="shared" ref="F63:L63" si="1">SUM(F51:F62) + F47</f>
        <v>1107</v>
      </c>
      <c r="G63" s="58">
        <f t="shared" si="1"/>
        <v>22733</v>
      </c>
      <c r="H63" s="58">
        <f t="shared" si="1"/>
        <v>29282</v>
      </c>
      <c r="I63" s="58">
        <f t="shared" si="1"/>
        <v>24000</v>
      </c>
      <c r="J63" s="58">
        <f t="shared" si="1"/>
        <v>3100</v>
      </c>
      <c r="K63" s="58">
        <f t="shared" si="1"/>
        <v>8000</v>
      </c>
      <c r="L63" s="58">
        <f t="shared" si="1"/>
        <v>7850</v>
      </c>
    </row>
    <row r="64" spans="1:12" ht="15.75" thickBot="1" x14ac:dyDescent="0.3"/>
    <row r="65" spans="1:32" ht="15.75" thickBot="1" x14ac:dyDescent="0.3">
      <c r="A65" s="35" t="s">
        <v>65</v>
      </c>
    </row>
    <row r="66" spans="1:32" ht="15.75" thickBot="1" x14ac:dyDescent="0.3">
      <c r="A66" s="71" t="s">
        <v>6</v>
      </c>
      <c r="B66" s="72" t="s">
        <v>60</v>
      </c>
      <c r="C66" s="73" t="s">
        <v>24</v>
      </c>
      <c r="D66" s="74" t="s">
        <v>25</v>
      </c>
      <c r="E66" s="74" t="s">
        <v>26</v>
      </c>
      <c r="F66" s="74" t="s">
        <v>27</v>
      </c>
      <c r="G66" s="75" t="s">
        <v>28</v>
      </c>
      <c r="H66" s="75" t="s">
        <v>29</v>
      </c>
      <c r="I66" s="75" t="s">
        <v>30</v>
      </c>
      <c r="J66" s="75" t="s">
        <v>66</v>
      </c>
      <c r="K66" s="75" t="s">
        <v>32</v>
      </c>
      <c r="L66" s="75" t="s">
        <v>67</v>
      </c>
      <c r="M66" s="75" t="s">
        <v>23</v>
      </c>
      <c r="N66" s="75" t="s">
        <v>33</v>
      </c>
      <c r="O66" s="75" t="s">
        <v>68</v>
      </c>
      <c r="AE66" s="3"/>
    </row>
    <row r="67" spans="1:32" x14ac:dyDescent="0.25">
      <c r="A67" s="67">
        <v>42170</v>
      </c>
      <c r="B67" s="68">
        <v>6223</v>
      </c>
      <c r="C67" s="69">
        <v>12932</v>
      </c>
      <c r="D67" s="69">
        <v>1957</v>
      </c>
      <c r="E67" s="69">
        <v>3101</v>
      </c>
      <c r="F67" s="69">
        <v>678</v>
      </c>
      <c r="G67" s="70">
        <v>1000</v>
      </c>
      <c r="H67" s="70">
        <v>7368</v>
      </c>
      <c r="I67" s="70">
        <v>2000</v>
      </c>
      <c r="J67" s="70">
        <v>500</v>
      </c>
      <c r="K67" s="70">
        <v>747</v>
      </c>
      <c r="L67" s="70">
        <v>0</v>
      </c>
      <c r="M67" s="70">
        <v>0</v>
      </c>
      <c r="N67" s="70">
        <v>0</v>
      </c>
      <c r="O67" s="70">
        <v>0</v>
      </c>
      <c r="AE67" s="3"/>
    </row>
    <row r="68" spans="1:32" x14ac:dyDescent="0.25">
      <c r="A68" s="34">
        <v>42185</v>
      </c>
      <c r="B68" s="56">
        <v>4332</v>
      </c>
      <c r="C68" s="49">
        <v>0</v>
      </c>
      <c r="D68" s="49">
        <v>0</v>
      </c>
      <c r="E68" s="49">
        <v>0</v>
      </c>
      <c r="F68" s="49">
        <v>0</v>
      </c>
      <c r="G68" s="50">
        <v>1000</v>
      </c>
      <c r="H68" s="50">
        <v>1000</v>
      </c>
      <c r="I68" s="50">
        <v>2000</v>
      </c>
      <c r="J68" s="50">
        <v>500</v>
      </c>
      <c r="K68" s="50">
        <v>0</v>
      </c>
      <c r="L68" s="50">
        <v>500</v>
      </c>
      <c r="M68" s="50">
        <v>0</v>
      </c>
      <c r="N68" s="50">
        <v>0</v>
      </c>
      <c r="O68" s="50">
        <v>0</v>
      </c>
      <c r="AF68" s="3"/>
    </row>
    <row r="69" spans="1:32" x14ac:dyDescent="0.25">
      <c r="A69" s="34">
        <v>42200</v>
      </c>
      <c r="B69" s="56">
        <v>6895</v>
      </c>
      <c r="C69" s="49">
        <v>0</v>
      </c>
      <c r="D69" s="49">
        <v>0</v>
      </c>
      <c r="E69" s="49">
        <v>0</v>
      </c>
      <c r="F69" s="49">
        <v>500</v>
      </c>
      <c r="G69" s="50">
        <v>1000</v>
      </c>
      <c r="H69" s="50">
        <v>1000</v>
      </c>
      <c r="I69" s="50">
        <v>2000</v>
      </c>
      <c r="J69" s="50">
        <v>0</v>
      </c>
      <c r="K69" s="50">
        <v>0</v>
      </c>
      <c r="L69" s="50">
        <v>500</v>
      </c>
      <c r="M69" s="50">
        <v>0</v>
      </c>
      <c r="N69" s="50">
        <v>0</v>
      </c>
      <c r="O69" s="50">
        <v>0</v>
      </c>
      <c r="AF69" s="3"/>
    </row>
    <row r="70" spans="1:32" x14ac:dyDescent="0.25">
      <c r="A70" s="34">
        <v>42215</v>
      </c>
      <c r="B70" s="56">
        <v>5170</v>
      </c>
      <c r="C70" s="49">
        <v>0</v>
      </c>
      <c r="D70" s="49">
        <v>0</v>
      </c>
      <c r="E70" s="49">
        <v>0</v>
      </c>
      <c r="F70" s="49">
        <v>500</v>
      </c>
      <c r="G70" s="50">
        <v>1000</v>
      </c>
      <c r="H70" s="50">
        <v>2000</v>
      </c>
      <c r="I70" s="50">
        <v>0</v>
      </c>
      <c r="J70" s="50">
        <v>500</v>
      </c>
      <c r="K70" s="50">
        <v>0</v>
      </c>
      <c r="L70" s="50">
        <v>500</v>
      </c>
      <c r="M70" s="50">
        <v>0</v>
      </c>
      <c r="N70" s="50">
        <v>0</v>
      </c>
      <c r="O70" s="50">
        <v>0</v>
      </c>
      <c r="AF70" s="3"/>
    </row>
    <row r="71" spans="1:32" x14ac:dyDescent="0.25">
      <c r="A71" s="34">
        <v>42231</v>
      </c>
      <c r="B71" s="56">
        <v>7034</v>
      </c>
      <c r="C71" s="49">
        <v>0</v>
      </c>
      <c r="D71" s="49">
        <v>0</v>
      </c>
      <c r="E71" s="49">
        <v>0</v>
      </c>
      <c r="F71" s="49">
        <v>0</v>
      </c>
      <c r="G71" s="50">
        <v>1000</v>
      </c>
      <c r="H71" s="50">
        <v>2000</v>
      </c>
      <c r="I71" s="50">
        <v>0</v>
      </c>
      <c r="J71" s="50">
        <v>0</v>
      </c>
      <c r="K71" s="50">
        <v>0</v>
      </c>
      <c r="L71" s="50">
        <v>0</v>
      </c>
      <c r="M71" s="50">
        <v>0</v>
      </c>
      <c r="N71" s="50">
        <v>0</v>
      </c>
      <c r="O71" s="50">
        <v>0</v>
      </c>
      <c r="AF71" s="3"/>
    </row>
    <row r="72" spans="1:32" x14ac:dyDescent="0.25">
      <c r="A72" s="34">
        <v>42246</v>
      </c>
      <c r="B72" s="56">
        <v>3730</v>
      </c>
      <c r="C72" s="49">
        <v>0</v>
      </c>
      <c r="D72" s="49">
        <v>0</v>
      </c>
      <c r="E72" s="49">
        <v>0</v>
      </c>
      <c r="F72" s="49">
        <v>0</v>
      </c>
      <c r="G72" s="50">
        <v>1000</v>
      </c>
      <c r="H72" s="50">
        <v>0</v>
      </c>
      <c r="I72" s="50">
        <v>0</v>
      </c>
      <c r="J72" s="50">
        <v>0</v>
      </c>
      <c r="K72" s="50">
        <v>0</v>
      </c>
      <c r="L72" s="50">
        <v>0</v>
      </c>
      <c r="M72" s="50">
        <v>0</v>
      </c>
      <c r="N72" s="50">
        <v>0</v>
      </c>
      <c r="O72" s="50">
        <v>0</v>
      </c>
      <c r="AF72" s="3"/>
    </row>
    <row r="73" spans="1:32" x14ac:dyDescent="0.25">
      <c r="A73" s="34">
        <v>42262</v>
      </c>
      <c r="B73" s="56">
        <v>4458</v>
      </c>
      <c r="C73" s="49">
        <v>0</v>
      </c>
      <c r="D73" s="49">
        <v>0</v>
      </c>
      <c r="E73" s="49">
        <v>100</v>
      </c>
      <c r="F73" s="49">
        <v>500</v>
      </c>
      <c r="G73" s="50">
        <v>1000</v>
      </c>
      <c r="H73" s="50">
        <v>0</v>
      </c>
      <c r="I73" s="50">
        <v>0</v>
      </c>
      <c r="J73" s="50">
        <v>0</v>
      </c>
      <c r="K73" s="50">
        <v>0</v>
      </c>
      <c r="L73" s="50">
        <v>-4000</v>
      </c>
      <c r="M73" s="50">
        <v>1500</v>
      </c>
      <c r="N73" s="50">
        <v>2000</v>
      </c>
      <c r="O73" s="50">
        <v>0</v>
      </c>
      <c r="AF73" s="3"/>
    </row>
    <row r="74" spans="1:32" x14ac:dyDescent="0.25">
      <c r="A74" s="34">
        <v>42277</v>
      </c>
      <c r="B74" s="56">
        <v>4948</v>
      </c>
      <c r="C74" s="49">
        <v>2000</v>
      </c>
      <c r="D74" s="49">
        <v>0</v>
      </c>
      <c r="E74" s="49">
        <v>100</v>
      </c>
      <c r="F74" s="49">
        <v>500</v>
      </c>
      <c r="G74" s="50">
        <v>1000</v>
      </c>
      <c r="H74" s="50">
        <v>0</v>
      </c>
      <c r="I74" s="50">
        <v>0</v>
      </c>
      <c r="J74" s="50">
        <v>0</v>
      </c>
      <c r="K74" s="50">
        <v>2000</v>
      </c>
      <c r="L74" s="50">
        <v>0</v>
      </c>
      <c r="M74" s="50">
        <v>1000</v>
      </c>
      <c r="N74" s="50">
        <v>500</v>
      </c>
      <c r="O74" s="50">
        <v>1000</v>
      </c>
      <c r="AF74" s="3"/>
    </row>
    <row r="75" spans="1:32" x14ac:dyDescent="0.25">
      <c r="A75" s="34">
        <v>42292</v>
      </c>
      <c r="B75" s="56">
        <v>5710</v>
      </c>
      <c r="C75" s="49">
        <v>2000</v>
      </c>
      <c r="D75" s="49">
        <v>0</v>
      </c>
      <c r="E75" s="49">
        <v>0</v>
      </c>
      <c r="F75" s="49">
        <v>500</v>
      </c>
      <c r="G75" s="50">
        <v>1000</v>
      </c>
      <c r="H75" s="50">
        <v>0</v>
      </c>
      <c r="I75" s="50">
        <v>0</v>
      </c>
      <c r="J75" s="50">
        <v>400</v>
      </c>
      <c r="K75" s="50">
        <v>0</v>
      </c>
      <c r="L75" s="50">
        <v>0</v>
      </c>
      <c r="M75" s="50">
        <v>2000</v>
      </c>
      <c r="N75" s="50">
        <v>1000</v>
      </c>
      <c r="O75" s="50">
        <v>1000</v>
      </c>
      <c r="AF75" s="3"/>
    </row>
    <row r="76" spans="1:32" x14ac:dyDescent="0.25">
      <c r="A76" s="34">
        <v>42307</v>
      </c>
      <c r="B76" s="56">
        <v>7550</v>
      </c>
      <c r="C76" s="49">
        <v>2000</v>
      </c>
      <c r="D76" s="49">
        <v>0</v>
      </c>
      <c r="E76" s="49">
        <v>100</v>
      </c>
      <c r="F76" s="49">
        <v>0</v>
      </c>
      <c r="G76" s="50">
        <v>1000</v>
      </c>
      <c r="H76" s="50">
        <v>1000</v>
      </c>
      <c r="I76" s="50">
        <v>0</v>
      </c>
      <c r="J76" s="50">
        <v>0</v>
      </c>
      <c r="K76" s="50">
        <v>0</v>
      </c>
      <c r="L76" s="50">
        <v>0</v>
      </c>
      <c r="M76" s="50">
        <v>1000</v>
      </c>
      <c r="N76" s="50">
        <v>500</v>
      </c>
      <c r="O76" s="50">
        <v>500</v>
      </c>
      <c r="AF76" s="3"/>
    </row>
    <row r="77" spans="1:32" x14ac:dyDescent="0.25">
      <c r="A77" s="34">
        <v>42323</v>
      </c>
      <c r="B77" s="56">
        <v>7248</v>
      </c>
      <c r="C77" s="49">
        <v>2000</v>
      </c>
      <c r="D77" s="49">
        <v>0</v>
      </c>
      <c r="E77" s="49">
        <v>165</v>
      </c>
      <c r="F77" s="49">
        <v>0</v>
      </c>
      <c r="G77" s="50">
        <v>1000</v>
      </c>
      <c r="H77" s="50">
        <v>1000</v>
      </c>
      <c r="I77" s="50">
        <v>0</v>
      </c>
      <c r="J77" s="50">
        <v>0</v>
      </c>
      <c r="K77" s="50">
        <v>0</v>
      </c>
      <c r="L77" s="50">
        <v>0</v>
      </c>
      <c r="M77" s="50">
        <v>1000</v>
      </c>
      <c r="N77" s="50">
        <v>1000</v>
      </c>
      <c r="O77" s="50">
        <v>0</v>
      </c>
      <c r="AF77" s="3"/>
    </row>
    <row r="78" spans="1:32" ht="15.75" thickBot="1" x14ac:dyDescent="0.3">
      <c r="A78" s="34">
        <v>42338</v>
      </c>
      <c r="B78" s="84">
        <v>4853</v>
      </c>
      <c r="C78" s="65">
        <v>0</v>
      </c>
      <c r="D78" s="65">
        <v>0</v>
      </c>
      <c r="E78" s="65">
        <v>100</v>
      </c>
      <c r="F78" s="65">
        <v>2000</v>
      </c>
      <c r="G78" s="66">
        <v>1000</v>
      </c>
      <c r="H78" s="66">
        <v>1000</v>
      </c>
      <c r="I78" s="66">
        <v>0</v>
      </c>
      <c r="J78" s="66">
        <v>0</v>
      </c>
      <c r="K78" s="66">
        <v>0</v>
      </c>
      <c r="L78" s="66">
        <v>0</v>
      </c>
      <c r="M78" s="66">
        <v>1000</v>
      </c>
      <c r="N78" s="66">
        <v>500</v>
      </c>
      <c r="O78" s="66">
        <v>0</v>
      </c>
      <c r="AF78" s="3"/>
    </row>
    <row r="79" spans="1:32" ht="15.75" thickBot="1" x14ac:dyDescent="0.3">
      <c r="A79" s="54" t="s">
        <v>7</v>
      </c>
      <c r="B79" s="55">
        <f>SUM(B67:B78) - 887</f>
        <v>67264</v>
      </c>
      <c r="C79" s="55">
        <f>SUM(C67:C78) +C63</f>
        <v>66139</v>
      </c>
      <c r="D79" s="55">
        <f>SUM(D67:D78) +D63</f>
        <v>7957</v>
      </c>
      <c r="E79" s="55">
        <f>SUM(E67:E78) +E63</f>
        <v>12843</v>
      </c>
      <c r="F79" s="55">
        <f t="shared" ref="F79:O79" si="2">SUM(F67:F78) + F63</f>
        <v>6285</v>
      </c>
      <c r="G79" s="58">
        <f t="shared" si="2"/>
        <v>34733</v>
      </c>
      <c r="H79" s="58">
        <f t="shared" si="2"/>
        <v>45650</v>
      </c>
      <c r="I79" s="58">
        <f t="shared" si="2"/>
        <v>30000</v>
      </c>
      <c r="J79" s="58">
        <f t="shared" si="2"/>
        <v>5000</v>
      </c>
      <c r="K79" s="58">
        <f t="shared" si="2"/>
        <v>10747</v>
      </c>
      <c r="L79" s="58">
        <f t="shared" si="2"/>
        <v>5350</v>
      </c>
      <c r="M79" s="58">
        <f t="shared" si="2"/>
        <v>7500</v>
      </c>
      <c r="N79" s="58">
        <f t="shared" si="2"/>
        <v>5500</v>
      </c>
      <c r="O79" s="58">
        <f t="shared" si="2"/>
        <v>2500</v>
      </c>
      <c r="AF79" s="3"/>
    </row>
    <row r="80" spans="1:32" ht="15.75" thickBot="1" x14ac:dyDescent="0.3">
      <c r="AF80" s="3"/>
    </row>
    <row r="81" spans="1:32" ht="15.75" thickBot="1" x14ac:dyDescent="0.3">
      <c r="A81" s="35" t="s">
        <v>70</v>
      </c>
      <c r="AF81" s="3"/>
    </row>
    <row r="82" spans="1:32" ht="15.75" thickBot="1" x14ac:dyDescent="0.3">
      <c r="A82" s="71" t="s">
        <v>6</v>
      </c>
      <c r="B82" s="72" t="s">
        <v>60</v>
      </c>
      <c r="C82" s="73" t="s">
        <v>24</v>
      </c>
      <c r="D82" s="74" t="s">
        <v>25</v>
      </c>
      <c r="E82" s="74" t="s">
        <v>26</v>
      </c>
      <c r="F82" s="74" t="s">
        <v>27</v>
      </c>
      <c r="G82" s="75" t="s">
        <v>28</v>
      </c>
      <c r="H82" s="75" t="s">
        <v>29</v>
      </c>
      <c r="I82" s="75" t="s">
        <v>30</v>
      </c>
      <c r="J82" s="75" t="s">
        <v>66</v>
      </c>
      <c r="K82" s="75" t="s">
        <v>32</v>
      </c>
      <c r="L82" s="75" t="s">
        <v>67</v>
      </c>
      <c r="M82" s="75" t="s">
        <v>23</v>
      </c>
      <c r="N82" s="75" t="s">
        <v>33</v>
      </c>
      <c r="O82" s="75" t="s">
        <v>68</v>
      </c>
      <c r="P82" s="75" t="s">
        <v>34</v>
      </c>
      <c r="Q82" s="75" t="s">
        <v>71</v>
      </c>
      <c r="AF82" s="3"/>
    </row>
    <row r="83" spans="1:32" x14ac:dyDescent="0.25">
      <c r="A83" s="67">
        <v>42719</v>
      </c>
      <c r="B83" s="68">
        <v>3731</v>
      </c>
      <c r="C83" s="69">
        <v>21368</v>
      </c>
      <c r="D83" s="69">
        <v>2570</v>
      </c>
      <c r="E83" s="69">
        <v>4497</v>
      </c>
      <c r="F83" s="69">
        <v>3956</v>
      </c>
      <c r="G83" s="70">
        <v>1000</v>
      </c>
      <c r="H83" s="70">
        <v>13248</v>
      </c>
      <c r="I83" s="70">
        <v>0</v>
      </c>
      <c r="J83" s="70">
        <v>0</v>
      </c>
      <c r="K83" s="70">
        <v>0</v>
      </c>
      <c r="L83" s="70">
        <v>0</v>
      </c>
      <c r="M83" s="70">
        <v>1565</v>
      </c>
      <c r="N83" s="70">
        <v>1000</v>
      </c>
      <c r="O83" s="70">
        <v>0</v>
      </c>
      <c r="P83" s="70">
        <v>0</v>
      </c>
      <c r="Q83" s="70">
        <v>0</v>
      </c>
      <c r="AF83" s="3"/>
    </row>
    <row r="84" spans="1:32" x14ac:dyDescent="0.25">
      <c r="A84" s="34">
        <v>42734</v>
      </c>
      <c r="B84" s="56">
        <v>5750</v>
      </c>
      <c r="C84" s="49">
        <v>2000</v>
      </c>
      <c r="D84" s="49">
        <v>0</v>
      </c>
      <c r="E84" s="49">
        <v>0</v>
      </c>
      <c r="F84" s="49">
        <v>0</v>
      </c>
      <c r="G84" s="50">
        <v>1000</v>
      </c>
      <c r="H84" s="50">
        <v>0</v>
      </c>
      <c r="I84" s="50">
        <v>0</v>
      </c>
      <c r="J84" s="50">
        <v>1000</v>
      </c>
      <c r="K84" s="50">
        <v>3000</v>
      </c>
      <c r="L84" s="50">
        <v>0</v>
      </c>
      <c r="M84" s="50">
        <v>500</v>
      </c>
      <c r="N84" s="50">
        <v>500</v>
      </c>
      <c r="O84" s="50">
        <v>1500</v>
      </c>
      <c r="P84" s="50">
        <v>0</v>
      </c>
      <c r="Q84" s="50">
        <v>0</v>
      </c>
      <c r="AF84" s="3"/>
    </row>
    <row r="85" spans="1:32" x14ac:dyDescent="0.25">
      <c r="A85" s="34">
        <v>42384</v>
      </c>
      <c r="B85" s="56">
        <v>9230</v>
      </c>
      <c r="C85" s="49">
        <v>2000</v>
      </c>
      <c r="D85" s="49">
        <v>0</v>
      </c>
      <c r="E85" s="49">
        <v>0</v>
      </c>
      <c r="F85" s="49">
        <v>2000</v>
      </c>
      <c r="G85" s="50">
        <v>1000</v>
      </c>
      <c r="H85" s="50">
        <v>0</v>
      </c>
      <c r="I85" s="50">
        <v>2500</v>
      </c>
      <c r="J85" s="50">
        <v>0</v>
      </c>
      <c r="K85" s="50">
        <v>3000</v>
      </c>
      <c r="L85" s="50">
        <v>2000</v>
      </c>
      <c r="M85" s="50">
        <v>500</v>
      </c>
      <c r="N85" s="50">
        <v>1000</v>
      </c>
      <c r="O85" s="50">
        <v>0</v>
      </c>
      <c r="P85" s="50">
        <v>0</v>
      </c>
      <c r="Q85" s="50">
        <v>0</v>
      </c>
      <c r="AF85" s="3"/>
    </row>
    <row r="86" spans="1:32" x14ac:dyDescent="0.25">
      <c r="A86" s="34">
        <v>42399</v>
      </c>
      <c r="B86" s="56">
        <v>5301</v>
      </c>
      <c r="C86" s="49">
        <v>2000</v>
      </c>
      <c r="D86" s="49">
        <v>0</v>
      </c>
      <c r="E86" s="49">
        <v>200</v>
      </c>
      <c r="F86" s="49">
        <v>0</v>
      </c>
      <c r="G86" s="50">
        <v>1000</v>
      </c>
      <c r="H86" s="50">
        <v>0</v>
      </c>
      <c r="I86" s="50">
        <v>3000</v>
      </c>
      <c r="J86" s="50">
        <v>0</v>
      </c>
      <c r="K86" s="50">
        <v>0</v>
      </c>
      <c r="L86" s="50">
        <v>1000</v>
      </c>
      <c r="M86" s="50">
        <v>500</v>
      </c>
      <c r="N86" s="50">
        <v>500</v>
      </c>
      <c r="O86" s="50">
        <v>0</v>
      </c>
      <c r="P86" s="50">
        <v>0</v>
      </c>
      <c r="Q86" s="50">
        <v>0</v>
      </c>
      <c r="AF86" s="3"/>
    </row>
    <row r="87" spans="1:32" x14ac:dyDescent="0.25">
      <c r="A87" s="34">
        <v>42415</v>
      </c>
      <c r="B87" s="56">
        <v>6066</v>
      </c>
      <c r="C87" s="49">
        <v>2000</v>
      </c>
      <c r="D87" s="49">
        <v>0</v>
      </c>
      <c r="E87" s="49">
        <v>500</v>
      </c>
      <c r="F87" s="49">
        <v>0</v>
      </c>
      <c r="G87" s="50">
        <v>1000</v>
      </c>
      <c r="H87" s="50">
        <v>1000</v>
      </c>
      <c r="I87" s="50">
        <v>0</v>
      </c>
      <c r="J87" s="50">
        <v>1000</v>
      </c>
      <c r="K87" s="50">
        <v>0</v>
      </c>
      <c r="L87" s="50">
        <v>1000</v>
      </c>
      <c r="M87" s="50">
        <v>500</v>
      </c>
      <c r="N87" s="50">
        <v>1000</v>
      </c>
      <c r="O87" s="50">
        <v>1000</v>
      </c>
      <c r="P87" s="50">
        <v>0</v>
      </c>
      <c r="Q87" s="50">
        <v>0</v>
      </c>
      <c r="AF87" s="3"/>
    </row>
    <row r="88" spans="1:32" x14ac:dyDescent="0.25">
      <c r="A88" s="34">
        <v>42428</v>
      </c>
      <c r="B88" s="56">
        <v>8662</v>
      </c>
      <c r="C88" s="49">
        <v>2500</v>
      </c>
      <c r="D88" s="49">
        <v>0</v>
      </c>
      <c r="E88" s="49">
        <v>200</v>
      </c>
      <c r="F88" s="49">
        <v>3000</v>
      </c>
      <c r="G88" s="50">
        <v>1000</v>
      </c>
      <c r="H88" s="50">
        <v>1000</v>
      </c>
      <c r="I88" s="50">
        <v>0</v>
      </c>
      <c r="J88" s="50">
        <v>1000</v>
      </c>
      <c r="K88" s="50">
        <v>3000</v>
      </c>
      <c r="L88" s="50">
        <v>1000</v>
      </c>
      <c r="M88" s="50">
        <v>500</v>
      </c>
      <c r="N88" s="50">
        <v>500</v>
      </c>
      <c r="O88" s="50">
        <v>0</v>
      </c>
      <c r="P88" s="50">
        <v>4000</v>
      </c>
      <c r="Q88" s="50">
        <v>2000</v>
      </c>
      <c r="AF88" s="3"/>
    </row>
    <row r="89" spans="1:32" x14ac:dyDescent="0.25">
      <c r="A89" s="34">
        <v>42444</v>
      </c>
      <c r="B89" s="56">
        <v>9391</v>
      </c>
      <c r="C89" s="49">
        <v>2000</v>
      </c>
      <c r="D89" s="49">
        <v>0</v>
      </c>
      <c r="E89" s="49">
        <v>200</v>
      </c>
      <c r="F89" s="49">
        <v>3000</v>
      </c>
      <c r="G89" s="50">
        <v>1000</v>
      </c>
      <c r="H89" s="50">
        <v>1000</v>
      </c>
      <c r="I89" s="50">
        <v>0</v>
      </c>
      <c r="J89" s="50">
        <v>1000</v>
      </c>
      <c r="K89" s="50">
        <v>0</v>
      </c>
      <c r="L89" s="50">
        <v>1000</v>
      </c>
      <c r="M89" s="50">
        <v>500</v>
      </c>
      <c r="N89" s="50">
        <v>1000</v>
      </c>
      <c r="O89" s="50">
        <v>0</v>
      </c>
      <c r="P89" s="50">
        <v>500</v>
      </c>
      <c r="Q89" s="50">
        <v>3000</v>
      </c>
      <c r="AF89" s="3"/>
    </row>
    <row r="90" spans="1:32" x14ac:dyDescent="0.25">
      <c r="A90" s="34">
        <v>42459</v>
      </c>
      <c r="B90" s="56">
        <v>9825</v>
      </c>
      <c r="C90" s="49">
        <v>2500</v>
      </c>
      <c r="D90" s="49">
        <v>0</v>
      </c>
      <c r="E90" s="49">
        <v>300</v>
      </c>
      <c r="F90" s="49">
        <v>3000</v>
      </c>
      <c r="G90" s="50">
        <v>1000</v>
      </c>
      <c r="H90" s="50">
        <v>1000</v>
      </c>
      <c r="I90" s="50">
        <v>0</v>
      </c>
      <c r="J90" s="50">
        <v>1000</v>
      </c>
      <c r="K90" s="50">
        <v>0</v>
      </c>
      <c r="L90" s="50">
        <v>2000</v>
      </c>
      <c r="M90" s="50">
        <v>500</v>
      </c>
      <c r="N90" s="50">
        <v>500</v>
      </c>
      <c r="O90" s="50">
        <v>0</v>
      </c>
      <c r="P90" s="50">
        <v>500</v>
      </c>
      <c r="Q90" s="50">
        <v>3000</v>
      </c>
      <c r="AF90" s="3"/>
    </row>
    <row r="91" spans="1:32" x14ac:dyDescent="0.25">
      <c r="A91" s="34">
        <v>42475</v>
      </c>
      <c r="B91" s="56">
        <v>12819</v>
      </c>
      <c r="C91" s="49">
        <v>2500</v>
      </c>
      <c r="D91" s="49">
        <v>0</v>
      </c>
      <c r="E91" s="49">
        <v>200</v>
      </c>
      <c r="F91" s="49">
        <v>3000</v>
      </c>
      <c r="G91" s="50">
        <v>1000</v>
      </c>
      <c r="H91" s="50">
        <v>1000</v>
      </c>
      <c r="I91" s="50">
        <v>0</v>
      </c>
      <c r="J91" s="50">
        <v>500</v>
      </c>
      <c r="K91" s="50">
        <v>3000</v>
      </c>
      <c r="L91" s="50">
        <v>1000</v>
      </c>
      <c r="M91" s="50">
        <v>500</v>
      </c>
      <c r="N91" s="50">
        <v>1000</v>
      </c>
      <c r="O91" s="50">
        <v>3000</v>
      </c>
      <c r="P91" s="50">
        <v>500</v>
      </c>
      <c r="Q91" s="50">
        <v>0</v>
      </c>
      <c r="AF91" s="3"/>
    </row>
    <row r="92" spans="1:32" x14ac:dyDescent="0.25">
      <c r="A92" s="34">
        <v>42490</v>
      </c>
      <c r="B92" s="56">
        <v>13559</v>
      </c>
      <c r="C92" s="49">
        <v>2000</v>
      </c>
      <c r="D92" s="49">
        <v>0</v>
      </c>
      <c r="E92" s="49">
        <v>300</v>
      </c>
      <c r="F92" s="49">
        <v>3000</v>
      </c>
      <c r="G92" s="50">
        <v>1000</v>
      </c>
      <c r="H92" s="50">
        <v>1000</v>
      </c>
      <c r="I92" s="50">
        <v>0</v>
      </c>
      <c r="J92" s="50">
        <v>0</v>
      </c>
      <c r="K92" s="50">
        <v>0</v>
      </c>
      <c r="L92" s="50">
        <v>1200</v>
      </c>
      <c r="M92" s="50">
        <v>500</v>
      </c>
      <c r="N92" s="50">
        <v>500</v>
      </c>
      <c r="O92" s="50">
        <v>0</v>
      </c>
      <c r="P92" s="50">
        <v>0</v>
      </c>
      <c r="Q92" s="50">
        <v>0</v>
      </c>
      <c r="AF92" s="3"/>
    </row>
    <row r="93" spans="1:32" x14ac:dyDescent="0.25">
      <c r="A93" s="34">
        <v>42505</v>
      </c>
      <c r="B93" s="56">
        <v>11200</v>
      </c>
      <c r="C93" s="49">
        <v>2000</v>
      </c>
      <c r="D93" s="49">
        <v>0</v>
      </c>
      <c r="E93" s="49">
        <v>100</v>
      </c>
      <c r="F93" s="49">
        <v>2000</v>
      </c>
      <c r="G93" s="50">
        <v>1000</v>
      </c>
      <c r="H93" s="50">
        <v>1000</v>
      </c>
      <c r="I93" s="50">
        <v>0</v>
      </c>
      <c r="J93" s="50">
        <v>0</v>
      </c>
      <c r="K93" s="50">
        <v>0</v>
      </c>
      <c r="L93" s="50">
        <v>2000</v>
      </c>
      <c r="M93" s="50">
        <v>500</v>
      </c>
      <c r="N93" s="50">
        <v>1000</v>
      </c>
      <c r="O93" s="50">
        <v>0</v>
      </c>
      <c r="P93" s="50">
        <v>500</v>
      </c>
      <c r="Q93" s="50">
        <v>0</v>
      </c>
      <c r="AF93" s="3"/>
    </row>
    <row r="94" spans="1:32" ht="15.75" thickBot="1" x14ac:dyDescent="0.3">
      <c r="A94" s="34">
        <v>42520</v>
      </c>
      <c r="B94" s="84">
        <v>12290</v>
      </c>
      <c r="C94" s="65">
        <v>2000</v>
      </c>
      <c r="D94" s="65">
        <v>0</v>
      </c>
      <c r="E94" s="65">
        <v>200</v>
      </c>
      <c r="F94" s="65">
        <v>1000</v>
      </c>
      <c r="G94" s="66">
        <v>1000</v>
      </c>
      <c r="H94" s="66">
        <v>0</v>
      </c>
      <c r="I94" s="66">
        <v>0</v>
      </c>
      <c r="J94" s="66">
        <v>0</v>
      </c>
      <c r="K94" s="66">
        <v>0</v>
      </c>
      <c r="L94" s="66">
        <v>2000</v>
      </c>
      <c r="M94" s="66">
        <v>500</v>
      </c>
      <c r="N94" s="66">
        <v>500</v>
      </c>
      <c r="O94" s="66">
        <v>2000</v>
      </c>
      <c r="P94" s="66">
        <v>500</v>
      </c>
      <c r="Q94" s="66">
        <v>0</v>
      </c>
      <c r="AF94" s="3"/>
    </row>
    <row r="95" spans="1:32" ht="15.75" thickBot="1" x14ac:dyDescent="0.3">
      <c r="A95" s="54" t="s">
        <v>7</v>
      </c>
      <c r="B95" s="55">
        <f>SUM(B83:B94)-19145</f>
        <v>88679</v>
      </c>
      <c r="C95" s="55">
        <f>SUM(C83:C94) +C79</f>
        <v>111007</v>
      </c>
      <c r="D95" s="55">
        <f>SUM(D83:D94) +D79</f>
        <v>10527</v>
      </c>
      <c r="E95" s="55">
        <f>SUM(E83:E94) +E79</f>
        <v>19540</v>
      </c>
      <c r="F95" s="55">
        <f t="shared" ref="F95:Q95" si="3">SUM(F83:F94) + F79</f>
        <v>30241</v>
      </c>
      <c r="G95" s="58">
        <f t="shared" si="3"/>
        <v>46733</v>
      </c>
      <c r="H95" s="58">
        <f t="shared" si="3"/>
        <v>65898</v>
      </c>
      <c r="I95" s="58">
        <f t="shared" si="3"/>
        <v>35500</v>
      </c>
      <c r="J95" s="58">
        <f t="shared" si="3"/>
        <v>10500</v>
      </c>
      <c r="K95" s="58">
        <f t="shared" si="3"/>
        <v>22747</v>
      </c>
      <c r="L95" s="58">
        <f t="shared" si="3"/>
        <v>19550</v>
      </c>
      <c r="M95" s="58">
        <f t="shared" si="3"/>
        <v>14565</v>
      </c>
      <c r="N95" s="58">
        <f t="shared" si="3"/>
        <v>14500</v>
      </c>
      <c r="O95" s="58">
        <f t="shared" si="3"/>
        <v>10000</v>
      </c>
      <c r="P95" s="58">
        <f t="shared" si="3"/>
        <v>6500</v>
      </c>
      <c r="Q95" s="58">
        <f t="shared" si="3"/>
        <v>8000</v>
      </c>
      <c r="AF95" s="3"/>
    </row>
    <row r="96" spans="1:32" ht="15.75" thickBot="1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AF96" s="3"/>
    </row>
    <row r="97" spans="1:32" ht="15.75" thickBot="1" x14ac:dyDescent="0.3">
      <c r="A97" s="35" t="s">
        <v>69</v>
      </c>
      <c r="AF97" s="3"/>
    </row>
    <row r="98" spans="1:32" ht="15.75" thickBot="1" x14ac:dyDescent="0.3">
      <c r="A98" s="71" t="s">
        <v>6</v>
      </c>
      <c r="B98" s="72" t="s">
        <v>60</v>
      </c>
      <c r="C98" s="73" t="s">
        <v>24</v>
      </c>
      <c r="D98" s="74" t="s">
        <v>25</v>
      </c>
      <c r="E98" s="74" t="s">
        <v>26</v>
      </c>
      <c r="F98" s="74" t="s">
        <v>27</v>
      </c>
      <c r="G98" s="75" t="s">
        <v>28</v>
      </c>
      <c r="H98" s="75" t="s">
        <v>29</v>
      </c>
      <c r="I98" s="75" t="s">
        <v>30</v>
      </c>
      <c r="J98" s="75" t="s">
        <v>66</v>
      </c>
      <c r="K98" s="75" t="s">
        <v>32</v>
      </c>
      <c r="L98" s="75" t="s">
        <v>67</v>
      </c>
      <c r="M98" s="75" t="s">
        <v>23</v>
      </c>
      <c r="N98" s="75" t="s">
        <v>33</v>
      </c>
      <c r="O98" s="75" t="s">
        <v>68</v>
      </c>
      <c r="P98" s="75" t="s">
        <v>34</v>
      </c>
      <c r="Q98" s="75" t="s">
        <v>71</v>
      </c>
      <c r="R98" s="75" t="s">
        <v>36</v>
      </c>
      <c r="S98" s="75" t="s">
        <v>37</v>
      </c>
      <c r="T98" s="75" t="s">
        <v>72</v>
      </c>
      <c r="U98" s="75" t="s">
        <v>39</v>
      </c>
      <c r="V98" s="75" t="s">
        <v>40</v>
      </c>
      <c r="AF98" s="3"/>
    </row>
    <row r="99" spans="1:32" x14ac:dyDescent="0.25">
      <c r="A99" s="67">
        <v>42536</v>
      </c>
      <c r="B99" s="68">
        <v>10595</v>
      </c>
      <c r="C99" s="69">
        <v>24894</v>
      </c>
      <c r="D99" s="69">
        <v>711</v>
      </c>
      <c r="E99" s="69">
        <v>300</v>
      </c>
      <c r="F99" s="69">
        <v>0</v>
      </c>
      <c r="G99" s="70">
        <v>1000</v>
      </c>
      <c r="H99" s="70">
        <v>15702</v>
      </c>
      <c r="I99" s="70">
        <v>0</v>
      </c>
      <c r="J99" s="70">
        <v>0</v>
      </c>
      <c r="K99" s="70">
        <v>0</v>
      </c>
      <c r="L99" s="70">
        <v>2000</v>
      </c>
      <c r="M99" s="70">
        <v>500</v>
      </c>
      <c r="N99" s="70">
        <v>2500</v>
      </c>
      <c r="O99" s="70">
        <v>1000</v>
      </c>
      <c r="P99" s="70">
        <v>638</v>
      </c>
      <c r="Q99" s="70">
        <v>822</v>
      </c>
      <c r="R99" s="70"/>
      <c r="S99" s="70"/>
      <c r="T99" s="70"/>
      <c r="U99" s="70"/>
      <c r="V99" s="70"/>
      <c r="AF99" s="3"/>
    </row>
    <row r="100" spans="1:32" x14ac:dyDescent="0.25">
      <c r="A100" s="34">
        <v>42551</v>
      </c>
      <c r="B100" s="56">
        <v>6994</v>
      </c>
      <c r="C100" s="49">
        <v>2000</v>
      </c>
      <c r="D100" s="49">
        <v>0</v>
      </c>
      <c r="E100" s="49">
        <v>0</v>
      </c>
      <c r="F100" s="49">
        <v>0</v>
      </c>
      <c r="G100" s="50">
        <v>1000</v>
      </c>
      <c r="H100" s="50">
        <v>1000</v>
      </c>
      <c r="I100" s="50">
        <v>2500</v>
      </c>
      <c r="J100" s="50">
        <v>0</v>
      </c>
      <c r="K100" s="50">
        <v>0</v>
      </c>
      <c r="L100" s="50">
        <v>2000</v>
      </c>
      <c r="M100" s="50">
        <v>500</v>
      </c>
      <c r="N100" s="50">
        <v>500</v>
      </c>
      <c r="O100" s="50">
        <v>0</v>
      </c>
      <c r="P100" s="50">
        <v>0</v>
      </c>
      <c r="Q100" s="50">
        <v>0</v>
      </c>
      <c r="R100" s="50"/>
      <c r="S100" s="50"/>
      <c r="T100" s="50"/>
      <c r="U100" s="50"/>
      <c r="V100" s="50"/>
      <c r="AF100" s="3"/>
    </row>
    <row r="101" spans="1:32" x14ac:dyDescent="0.25">
      <c r="A101" s="34">
        <v>42566</v>
      </c>
      <c r="B101" s="56">
        <v>9434</v>
      </c>
      <c r="C101" s="49">
        <v>2000</v>
      </c>
      <c r="D101" s="49">
        <v>0</v>
      </c>
      <c r="E101" s="49">
        <v>0</v>
      </c>
      <c r="F101" s="49">
        <v>0</v>
      </c>
      <c r="G101" s="50">
        <v>1000</v>
      </c>
      <c r="H101" s="50">
        <v>0</v>
      </c>
      <c r="I101" s="50">
        <v>0</v>
      </c>
      <c r="J101" s="50">
        <v>0</v>
      </c>
      <c r="K101" s="50">
        <v>0</v>
      </c>
      <c r="L101" s="50">
        <v>0</v>
      </c>
      <c r="M101" s="50">
        <v>500</v>
      </c>
      <c r="N101" s="50">
        <v>1000</v>
      </c>
      <c r="O101" s="50">
        <v>0</v>
      </c>
      <c r="P101" s="50">
        <v>0</v>
      </c>
      <c r="Q101" s="50">
        <v>0</v>
      </c>
      <c r="R101" s="50"/>
      <c r="S101" s="50"/>
      <c r="T101" s="50"/>
      <c r="U101" s="50"/>
      <c r="V101" s="50"/>
      <c r="AF101" s="3"/>
    </row>
    <row r="102" spans="1:32" x14ac:dyDescent="0.25">
      <c r="A102" s="34">
        <v>42581</v>
      </c>
      <c r="B102" s="56">
        <v>11876</v>
      </c>
      <c r="C102" s="49">
        <v>2000</v>
      </c>
      <c r="D102" s="49">
        <v>0</v>
      </c>
      <c r="E102" s="49">
        <v>0</v>
      </c>
      <c r="F102" s="49">
        <v>0</v>
      </c>
      <c r="G102" s="50">
        <v>1000</v>
      </c>
      <c r="H102" s="50">
        <v>1000</v>
      </c>
      <c r="I102" s="50">
        <v>1000</v>
      </c>
      <c r="J102" s="50">
        <v>0</v>
      </c>
      <c r="K102" s="50">
        <v>0</v>
      </c>
      <c r="L102" s="50">
        <v>3000</v>
      </c>
      <c r="M102" s="50">
        <v>500</v>
      </c>
      <c r="N102" s="50">
        <v>500</v>
      </c>
      <c r="O102" s="50">
        <v>0</v>
      </c>
      <c r="P102" s="50">
        <v>0</v>
      </c>
      <c r="Q102" s="50">
        <v>0</v>
      </c>
      <c r="R102" s="50"/>
      <c r="S102" s="50"/>
      <c r="T102" s="50"/>
      <c r="U102" s="50"/>
      <c r="V102" s="50"/>
      <c r="AF102" s="3"/>
    </row>
    <row r="103" spans="1:32" x14ac:dyDescent="0.25">
      <c r="A103" s="34">
        <v>42597</v>
      </c>
      <c r="B103" s="56">
        <v>10637</v>
      </c>
      <c r="C103" s="49">
        <v>2000</v>
      </c>
      <c r="D103" s="49">
        <v>0</v>
      </c>
      <c r="E103" s="49">
        <v>0</v>
      </c>
      <c r="F103" s="49">
        <v>0</v>
      </c>
      <c r="G103" s="50">
        <v>1000</v>
      </c>
      <c r="H103" s="50">
        <v>0</v>
      </c>
      <c r="I103" s="50">
        <v>0</v>
      </c>
      <c r="J103" s="50">
        <v>0</v>
      </c>
      <c r="K103" s="50">
        <v>0</v>
      </c>
      <c r="L103" s="50">
        <v>3000</v>
      </c>
      <c r="M103" s="50">
        <v>500</v>
      </c>
      <c r="N103" s="50">
        <v>1000</v>
      </c>
      <c r="O103" s="50">
        <v>0</v>
      </c>
      <c r="P103" s="50">
        <v>0</v>
      </c>
      <c r="Q103" s="50">
        <v>3000</v>
      </c>
      <c r="R103" s="50"/>
      <c r="S103" s="50"/>
      <c r="T103" s="50"/>
      <c r="U103" s="50"/>
      <c r="V103" s="50"/>
      <c r="AF103" s="3"/>
    </row>
    <row r="104" spans="1:32" x14ac:dyDescent="0.25">
      <c r="A104" s="34">
        <v>42612</v>
      </c>
      <c r="B104" s="56">
        <v>8129</v>
      </c>
      <c r="C104" s="49">
        <v>2000</v>
      </c>
      <c r="D104" s="49">
        <v>0</v>
      </c>
      <c r="E104" s="49">
        <v>0</v>
      </c>
      <c r="F104" s="49">
        <v>0</v>
      </c>
      <c r="G104" s="50">
        <v>1000</v>
      </c>
      <c r="H104" s="50">
        <v>0</v>
      </c>
      <c r="I104" s="50">
        <v>0</v>
      </c>
      <c r="J104" s="50">
        <v>0</v>
      </c>
      <c r="K104" s="50">
        <v>0</v>
      </c>
      <c r="L104" s="50">
        <v>2000</v>
      </c>
      <c r="M104" s="50">
        <v>500</v>
      </c>
      <c r="N104" s="50">
        <v>500</v>
      </c>
      <c r="O104" s="50">
        <v>0</v>
      </c>
      <c r="P104" s="50">
        <v>0</v>
      </c>
      <c r="Q104" s="50">
        <v>2000</v>
      </c>
      <c r="R104" s="50"/>
      <c r="S104" s="50"/>
      <c r="T104" s="50"/>
      <c r="U104" s="50"/>
      <c r="V104" s="50"/>
      <c r="AF104" s="3"/>
    </row>
    <row r="105" spans="1:32" x14ac:dyDescent="0.25">
      <c r="A105" s="34">
        <v>42628</v>
      </c>
      <c r="B105" s="56">
        <v>16349</v>
      </c>
      <c r="C105" s="49">
        <v>2000</v>
      </c>
      <c r="D105" s="49">
        <v>0</v>
      </c>
      <c r="E105" s="49">
        <v>242</v>
      </c>
      <c r="F105" s="49">
        <v>0</v>
      </c>
      <c r="G105" s="50">
        <v>1000</v>
      </c>
      <c r="H105" s="50">
        <v>2000</v>
      </c>
      <c r="I105" s="50">
        <v>0</v>
      </c>
      <c r="J105" s="50">
        <v>0</v>
      </c>
      <c r="K105" s="50">
        <v>0</v>
      </c>
      <c r="L105" s="50">
        <v>3000</v>
      </c>
      <c r="M105" s="50">
        <v>500</v>
      </c>
      <c r="N105" s="50">
        <v>0</v>
      </c>
      <c r="O105" s="50">
        <v>0</v>
      </c>
      <c r="P105" s="50">
        <v>0</v>
      </c>
      <c r="Q105" s="50">
        <v>0</v>
      </c>
      <c r="R105" s="50"/>
      <c r="S105" s="50"/>
      <c r="T105" s="50"/>
      <c r="U105" s="50"/>
      <c r="V105" s="50"/>
      <c r="AF105" s="3"/>
    </row>
    <row r="106" spans="1:32" x14ac:dyDescent="0.25">
      <c r="A106" s="34">
        <v>42643</v>
      </c>
      <c r="B106" s="56">
        <v>17414</v>
      </c>
      <c r="C106" s="49">
        <v>2000</v>
      </c>
      <c r="D106" s="49">
        <v>0</v>
      </c>
      <c r="E106" s="49">
        <v>0</v>
      </c>
      <c r="F106" s="49">
        <v>2500</v>
      </c>
      <c r="G106" s="50">
        <v>1000</v>
      </c>
      <c r="H106" s="50">
        <v>0</v>
      </c>
      <c r="I106" s="50">
        <v>0</v>
      </c>
      <c r="J106" s="50">
        <v>0</v>
      </c>
      <c r="K106" s="50">
        <v>0</v>
      </c>
      <c r="L106" s="50">
        <v>3000</v>
      </c>
      <c r="M106" s="50">
        <v>500</v>
      </c>
      <c r="N106" s="50">
        <v>1000</v>
      </c>
      <c r="O106" s="50">
        <v>0</v>
      </c>
      <c r="P106" s="50">
        <v>0</v>
      </c>
      <c r="Q106" s="50">
        <v>3000</v>
      </c>
      <c r="R106" s="50"/>
      <c r="S106" s="50"/>
      <c r="T106" s="50"/>
      <c r="U106" s="50"/>
      <c r="V106" s="50"/>
      <c r="AF106" s="3"/>
    </row>
    <row r="107" spans="1:32" x14ac:dyDescent="0.25">
      <c r="A107" s="34">
        <v>42658</v>
      </c>
      <c r="B107" s="56">
        <v>23699</v>
      </c>
      <c r="C107" s="49">
        <v>2000</v>
      </c>
      <c r="D107" s="49">
        <v>0</v>
      </c>
      <c r="E107" s="49">
        <v>0</v>
      </c>
      <c r="F107" s="49">
        <v>2000</v>
      </c>
      <c r="G107" s="50">
        <v>1000</v>
      </c>
      <c r="H107" s="50">
        <v>0</v>
      </c>
      <c r="I107" s="50">
        <v>0</v>
      </c>
      <c r="J107" s="50">
        <v>0</v>
      </c>
      <c r="K107" s="50">
        <v>0</v>
      </c>
      <c r="L107" s="50">
        <v>1500</v>
      </c>
      <c r="M107" s="50">
        <v>500</v>
      </c>
      <c r="N107" s="50">
        <v>0</v>
      </c>
      <c r="O107" s="50">
        <v>0</v>
      </c>
      <c r="P107" s="50">
        <v>0</v>
      </c>
      <c r="Q107" s="50">
        <v>0</v>
      </c>
      <c r="R107" s="50"/>
      <c r="S107" s="50"/>
      <c r="T107" s="50"/>
      <c r="U107" s="50"/>
      <c r="V107" s="50"/>
      <c r="AF107" s="3"/>
    </row>
    <row r="108" spans="1:32" x14ac:dyDescent="0.25">
      <c r="A108" s="34">
        <v>42673</v>
      </c>
      <c r="B108" s="56">
        <v>19998</v>
      </c>
      <c r="C108" s="49">
        <v>2000</v>
      </c>
      <c r="D108" s="49">
        <v>0</v>
      </c>
      <c r="E108" s="49">
        <v>0</v>
      </c>
      <c r="F108" s="49">
        <v>0</v>
      </c>
      <c r="G108" s="50">
        <v>1000</v>
      </c>
      <c r="H108" s="50">
        <v>0</v>
      </c>
      <c r="I108" s="50">
        <v>0</v>
      </c>
      <c r="J108" s="50">
        <v>0</v>
      </c>
      <c r="K108" s="50">
        <v>0</v>
      </c>
      <c r="L108" s="50">
        <v>1000</v>
      </c>
      <c r="M108" s="50">
        <v>500</v>
      </c>
      <c r="N108" s="50">
        <v>1000</v>
      </c>
      <c r="O108" s="50">
        <v>0</v>
      </c>
      <c r="P108" s="50">
        <v>0</v>
      </c>
      <c r="Q108" s="50">
        <v>0</v>
      </c>
      <c r="R108" s="50"/>
      <c r="S108" s="50"/>
      <c r="T108" s="50"/>
      <c r="U108" s="50"/>
      <c r="V108" s="50"/>
      <c r="AF108" s="3"/>
    </row>
    <row r="109" spans="1:32" x14ac:dyDescent="0.25">
      <c r="A109" s="34">
        <v>42689</v>
      </c>
      <c r="B109" s="56">
        <v>20901</v>
      </c>
      <c r="C109" s="49">
        <v>2000</v>
      </c>
      <c r="D109" s="49">
        <v>0</v>
      </c>
      <c r="E109" s="49">
        <v>500</v>
      </c>
      <c r="F109" s="49">
        <v>500</v>
      </c>
      <c r="G109" s="50">
        <v>1000</v>
      </c>
      <c r="H109" s="50">
        <v>0</v>
      </c>
      <c r="I109" s="50">
        <v>0</v>
      </c>
      <c r="J109" s="50">
        <v>0</v>
      </c>
      <c r="K109" s="50">
        <v>0</v>
      </c>
      <c r="L109" s="50">
        <v>2000</v>
      </c>
      <c r="M109" s="50">
        <v>500</v>
      </c>
      <c r="N109" s="50">
        <v>500</v>
      </c>
      <c r="O109" s="50">
        <v>0</v>
      </c>
      <c r="P109" s="50">
        <v>1000</v>
      </c>
      <c r="Q109" s="50">
        <v>0</v>
      </c>
      <c r="R109" s="50"/>
      <c r="S109" s="50"/>
      <c r="T109" s="50"/>
      <c r="U109" s="50"/>
      <c r="V109" s="50"/>
      <c r="AF109" s="3"/>
    </row>
    <row r="110" spans="1:32" ht="15.75" thickBot="1" x14ac:dyDescent="0.3">
      <c r="A110" s="34">
        <v>42704</v>
      </c>
      <c r="B110" s="84">
        <v>13431</v>
      </c>
      <c r="C110" s="65">
        <v>2000</v>
      </c>
      <c r="D110" s="65">
        <v>0</v>
      </c>
      <c r="E110" s="65">
        <v>0</v>
      </c>
      <c r="F110" s="65">
        <v>0</v>
      </c>
      <c r="G110" s="66">
        <v>1000</v>
      </c>
      <c r="H110" s="66">
        <v>0</v>
      </c>
      <c r="I110" s="66">
        <v>0</v>
      </c>
      <c r="J110" s="66">
        <v>0</v>
      </c>
      <c r="K110" s="66">
        <v>0</v>
      </c>
      <c r="L110" s="66">
        <v>2000</v>
      </c>
      <c r="M110" s="66">
        <v>500</v>
      </c>
      <c r="N110" s="66">
        <v>500</v>
      </c>
      <c r="O110" s="66">
        <v>0</v>
      </c>
      <c r="P110" s="66">
        <v>500</v>
      </c>
      <c r="Q110" s="66">
        <v>0</v>
      </c>
      <c r="R110" s="66">
        <v>5000</v>
      </c>
      <c r="S110" s="66">
        <v>5000</v>
      </c>
      <c r="T110" s="66">
        <v>5000</v>
      </c>
      <c r="U110" s="66"/>
      <c r="V110" s="66">
        <v>1000</v>
      </c>
      <c r="AF110" s="3"/>
    </row>
    <row r="111" spans="1:32" ht="15.75" thickBot="1" x14ac:dyDescent="0.3">
      <c r="A111" s="54" t="s">
        <v>7</v>
      </c>
      <c r="B111" s="55">
        <f>SUM(B99:B110)</f>
        <v>169457</v>
      </c>
      <c r="C111" s="55">
        <f>SUM(C99:C110) +C95</f>
        <v>157901</v>
      </c>
      <c r="D111" s="55">
        <f>SUM(D99:D110) +D95</f>
        <v>11238</v>
      </c>
      <c r="E111" s="55">
        <f>SUM(E99:E110) +E95</f>
        <v>20582</v>
      </c>
      <c r="F111" s="55">
        <f t="shared" ref="F111:V111" si="4">SUM(F99:F110) + F95</f>
        <v>35241</v>
      </c>
      <c r="G111" s="58">
        <f t="shared" si="4"/>
        <v>58733</v>
      </c>
      <c r="H111" s="58">
        <f t="shared" si="4"/>
        <v>85600</v>
      </c>
      <c r="I111" s="58">
        <f t="shared" si="4"/>
        <v>39000</v>
      </c>
      <c r="J111" s="58">
        <f t="shared" si="4"/>
        <v>10500</v>
      </c>
      <c r="K111" s="58">
        <f t="shared" si="4"/>
        <v>22747</v>
      </c>
      <c r="L111" s="58">
        <f t="shared" si="4"/>
        <v>44050</v>
      </c>
      <c r="M111" s="58">
        <f t="shared" si="4"/>
        <v>20565</v>
      </c>
      <c r="N111" s="58">
        <f t="shared" si="4"/>
        <v>23500</v>
      </c>
      <c r="O111" s="58">
        <f t="shared" si="4"/>
        <v>11000</v>
      </c>
      <c r="P111" s="58">
        <f t="shared" si="4"/>
        <v>8638</v>
      </c>
      <c r="Q111" s="58">
        <f t="shared" si="4"/>
        <v>16822</v>
      </c>
      <c r="R111" s="58">
        <f t="shared" si="4"/>
        <v>5000</v>
      </c>
      <c r="S111" s="58">
        <f t="shared" si="4"/>
        <v>5000</v>
      </c>
      <c r="T111" s="58">
        <f t="shared" si="4"/>
        <v>5000</v>
      </c>
      <c r="U111" s="58">
        <f t="shared" si="4"/>
        <v>0</v>
      </c>
      <c r="V111" s="58">
        <f t="shared" si="4"/>
        <v>1000</v>
      </c>
      <c r="AF111" s="3"/>
    </row>
    <row r="112" spans="1:32" ht="15.75" thickBot="1" x14ac:dyDescent="0.3">
      <c r="AF112" s="3"/>
    </row>
    <row r="113" spans="1:32" ht="15.75" thickBot="1" x14ac:dyDescent="0.3">
      <c r="A113" s="35" t="s">
        <v>73</v>
      </c>
      <c r="AF113" s="3"/>
    </row>
    <row r="114" spans="1:32" ht="15.75" thickBot="1" x14ac:dyDescent="0.3">
      <c r="A114" s="71" t="s">
        <v>6</v>
      </c>
      <c r="B114" s="72" t="s">
        <v>60</v>
      </c>
      <c r="C114" s="73" t="s">
        <v>24</v>
      </c>
      <c r="D114" s="74" t="s">
        <v>25</v>
      </c>
      <c r="E114" s="74" t="s">
        <v>26</v>
      </c>
      <c r="F114" s="74" t="s">
        <v>27</v>
      </c>
      <c r="G114" s="75" t="s">
        <v>28</v>
      </c>
      <c r="H114" s="75" t="s">
        <v>29</v>
      </c>
      <c r="I114" s="75" t="s">
        <v>30</v>
      </c>
      <c r="J114" s="75" t="s">
        <v>66</v>
      </c>
      <c r="K114" s="75" t="s">
        <v>32</v>
      </c>
      <c r="L114" s="75" t="s">
        <v>67</v>
      </c>
      <c r="M114" s="75" t="s">
        <v>23</v>
      </c>
      <c r="N114" s="75" t="s">
        <v>33</v>
      </c>
      <c r="O114" s="75" t="s">
        <v>68</v>
      </c>
      <c r="P114" s="75" t="s">
        <v>34</v>
      </c>
      <c r="Q114" s="75" t="s">
        <v>71</v>
      </c>
      <c r="R114" s="75" t="s">
        <v>36</v>
      </c>
      <c r="S114" s="75" t="s">
        <v>37</v>
      </c>
      <c r="T114" s="75" t="s">
        <v>72</v>
      </c>
      <c r="U114" s="75" t="s">
        <v>39</v>
      </c>
      <c r="V114" s="75" t="s">
        <v>40</v>
      </c>
      <c r="AF114" s="3"/>
    </row>
    <row r="115" spans="1:32" x14ac:dyDescent="0.25">
      <c r="A115" s="67">
        <v>43084</v>
      </c>
      <c r="B115" s="68">
        <v>15836</v>
      </c>
      <c r="C115" s="69">
        <v>49379</v>
      </c>
      <c r="D115" s="69">
        <v>665</v>
      </c>
      <c r="E115" s="69">
        <v>7650</v>
      </c>
      <c r="F115" s="69">
        <v>5000</v>
      </c>
      <c r="G115" s="70">
        <v>1000</v>
      </c>
      <c r="H115" s="70">
        <v>5000</v>
      </c>
      <c r="I115" s="70">
        <v>0</v>
      </c>
      <c r="J115" s="70">
        <v>0</v>
      </c>
      <c r="K115" s="70">
        <v>7454</v>
      </c>
      <c r="L115" s="70">
        <v>2000</v>
      </c>
      <c r="M115" s="70">
        <v>500</v>
      </c>
      <c r="N115" s="70">
        <v>3000</v>
      </c>
      <c r="O115" s="70">
        <v>1500</v>
      </c>
      <c r="P115" s="70">
        <v>2847</v>
      </c>
      <c r="Q115" s="70">
        <v>4381</v>
      </c>
      <c r="R115" s="70">
        <v>0</v>
      </c>
      <c r="S115" s="70">
        <v>3000</v>
      </c>
      <c r="T115" s="70">
        <v>0</v>
      </c>
      <c r="U115" s="70">
        <v>5000</v>
      </c>
      <c r="V115" s="70">
        <v>0</v>
      </c>
      <c r="AF115" s="3"/>
    </row>
    <row r="116" spans="1:32" x14ac:dyDescent="0.25">
      <c r="A116" s="34">
        <v>43099</v>
      </c>
      <c r="B116" s="56">
        <v>16668</v>
      </c>
      <c r="C116" s="49">
        <v>2000</v>
      </c>
      <c r="D116" s="49">
        <v>0</v>
      </c>
      <c r="E116" s="49">
        <v>0</v>
      </c>
      <c r="F116" s="49">
        <v>0</v>
      </c>
      <c r="G116" s="50">
        <v>1000</v>
      </c>
      <c r="H116" s="50">
        <v>0</v>
      </c>
      <c r="I116" s="50">
        <v>0</v>
      </c>
      <c r="J116" s="50">
        <v>0</v>
      </c>
      <c r="K116" s="50">
        <v>0</v>
      </c>
      <c r="L116" s="50">
        <v>0</v>
      </c>
      <c r="M116" s="50">
        <v>500</v>
      </c>
      <c r="N116" s="50">
        <v>500</v>
      </c>
      <c r="O116" s="50">
        <v>0</v>
      </c>
      <c r="P116" s="50">
        <v>500</v>
      </c>
      <c r="Q116" s="50">
        <v>0</v>
      </c>
      <c r="R116" s="50">
        <v>0</v>
      </c>
      <c r="S116" s="50">
        <v>3000</v>
      </c>
      <c r="T116" s="50">
        <v>0</v>
      </c>
      <c r="U116" s="50">
        <v>3000</v>
      </c>
      <c r="V116" s="50">
        <v>0</v>
      </c>
      <c r="AF116" s="3"/>
    </row>
    <row r="117" spans="1:32" x14ac:dyDescent="0.25">
      <c r="A117" s="34">
        <v>42750</v>
      </c>
      <c r="B117" s="56">
        <v>21431</v>
      </c>
      <c r="C117" s="49">
        <v>2000</v>
      </c>
      <c r="D117" s="49">
        <v>0</v>
      </c>
      <c r="E117" s="49">
        <v>0</v>
      </c>
      <c r="F117" s="49">
        <v>0</v>
      </c>
      <c r="G117" s="50">
        <v>1000</v>
      </c>
      <c r="H117" s="50">
        <v>0</v>
      </c>
      <c r="I117" s="50">
        <v>0</v>
      </c>
      <c r="J117" s="50">
        <v>0</v>
      </c>
      <c r="K117" s="50">
        <v>0</v>
      </c>
      <c r="L117" s="50">
        <v>0</v>
      </c>
      <c r="M117" s="50">
        <v>500</v>
      </c>
      <c r="N117" s="50">
        <v>500</v>
      </c>
      <c r="O117" s="50">
        <v>0</v>
      </c>
      <c r="P117" s="50">
        <v>0</v>
      </c>
      <c r="Q117" s="50">
        <v>0</v>
      </c>
      <c r="R117" s="50">
        <v>0</v>
      </c>
      <c r="S117" s="50">
        <v>3000</v>
      </c>
      <c r="T117" s="50">
        <v>3000</v>
      </c>
      <c r="U117" s="50">
        <v>3000</v>
      </c>
      <c r="V117" s="50">
        <v>0</v>
      </c>
      <c r="AF117" s="3"/>
    </row>
    <row r="118" spans="1:32" x14ac:dyDescent="0.25">
      <c r="A118" s="34">
        <v>42765</v>
      </c>
      <c r="B118" s="56">
        <v>15625</v>
      </c>
      <c r="C118" s="49">
        <v>2000</v>
      </c>
      <c r="D118" s="49">
        <v>0</v>
      </c>
      <c r="E118" s="49">
        <v>0</v>
      </c>
      <c r="F118" s="49">
        <v>0</v>
      </c>
      <c r="G118" s="50">
        <v>1000</v>
      </c>
      <c r="H118" s="50">
        <v>0</v>
      </c>
      <c r="I118" s="50">
        <v>0</v>
      </c>
      <c r="J118" s="50">
        <v>0</v>
      </c>
      <c r="K118" s="50">
        <v>3000</v>
      </c>
      <c r="L118" s="50">
        <v>2000</v>
      </c>
      <c r="M118" s="50">
        <v>500</v>
      </c>
      <c r="N118" s="50">
        <v>500</v>
      </c>
      <c r="O118" s="50">
        <v>0</v>
      </c>
      <c r="P118" s="50">
        <v>0</v>
      </c>
      <c r="Q118" s="50">
        <v>0</v>
      </c>
      <c r="R118" s="50">
        <v>0</v>
      </c>
      <c r="S118" s="50">
        <v>3000</v>
      </c>
      <c r="T118" s="50">
        <v>0</v>
      </c>
      <c r="U118" s="50">
        <v>3000</v>
      </c>
      <c r="V118" s="50">
        <v>0</v>
      </c>
      <c r="AF118" s="3"/>
    </row>
    <row r="119" spans="1:32" x14ac:dyDescent="0.25">
      <c r="A119" s="34">
        <v>42781</v>
      </c>
      <c r="B119" s="56">
        <v>18963</v>
      </c>
      <c r="C119" s="49">
        <v>2000</v>
      </c>
      <c r="D119" s="49">
        <v>0</v>
      </c>
      <c r="E119" s="49">
        <v>0</v>
      </c>
      <c r="F119" s="49">
        <v>0</v>
      </c>
      <c r="G119" s="50">
        <v>1000</v>
      </c>
      <c r="H119" s="50">
        <v>0</v>
      </c>
      <c r="I119" s="50">
        <v>0</v>
      </c>
      <c r="J119" s="50">
        <v>0</v>
      </c>
      <c r="K119" s="50">
        <v>3000</v>
      </c>
      <c r="L119" s="50">
        <v>1000</v>
      </c>
      <c r="M119" s="50">
        <v>500</v>
      </c>
      <c r="N119" s="50">
        <v>500</v>
      </c>
      <c r="O119" s="50">
        <v>0</v>
      </c>
      <c r="P119" s="50">
        <v>500</v>
      </c>
      <c r="Q119" s="50">
        <v>0</v>
      </c>
      <c r="R119" s="50">
        <v>0</v>
      </c>
      <c r="S119" s="50">
        <v>3000</v>
      </c>
      <c r="T119" s="50">
        <v>3000</v>
      </c>
      <c r="U119" s="50">
        <v>3000</v>
      </c>
      <c r="V119" s="50">
        <v>0</v>
      </c>
      <c r="AF119" s="3"/>
    </row>
    <row r="120" spans="1:32" x14ac:dyDescent="0.25">
      <c r="A120" s="34">
        <v>42794</v>
      </c>
      <c r="B120" s="56">
        <v>15862</v>
      </c>
      <c r="C120" s="49">
        <v>2000</v>
      </c>
      <c r="D120" s="49">
        <v>0</v>
      </c>
      <c r="E120" s="49">
        <v>1000</v>
      </c>
      <c r="F120" s="49">
        <v>0</v>
      </c>
      <c r="G120" s="50">
        <v>1000</v>
      </c>
      <c r="H120" s="50">
        <v>0</v>
      </c>
      <c r="I120" s="50">
        <v>0</v>
      </c>
      <c r="J120" s="50">
        <v>0</v>
      </c>
      <c r="K120" s="50">
        <v>3000</v>
      </c>
      <c r="L120" s="50">
        <v>1000</v>
      </c>
      <c r="M120" s="50">
        <v>0</v>
      </c>
      <c r="N120" s="50">
        <v>500</v>
      </c>
      <c r="O120" s="50">
        <v>0</v>
      </c>
      <c r="P120" s="50">
        <v>0</v>
      </c>
      <c r="Q120" s="50">
        <v>0</v>
      </c>
      <c r="R120" s="50">
        <v>0</v>
      </c>
      <c r="S120" s="50">
        <v>3000</v>
      </c>
      <c r="T120" s="50">
        <v>0</v>
      </c>
      <c r="U120" s="50">
        <v>3000</v>
      </c>
      <c r="V120" s="50">
        <v>0</v>
      </c>
      <c r="AF120" s="3"/>
    </row>
    <row r="121" spans="1:32" x14ac:dyDescent="0.25">
      <c r="A121" s="34">
        <v>42809</v>
      </c>
      <c r="B121" s="56">
        <v>12733</v>
      </c>
      <c r="C121" s="49">
        <v>2000</v>
      </c>
      <c r="D121" s="49">
        <v>0</v>
      </c>
      <c r="E121" s="49">
        <v>500</v>
      </c>
      <c r="F121" s="49">
        <v>0</v>
      </c>
      <c r="G121" s="50">
        <v>1000</v>
      </c>
      <c r="H121" s="50">
        <v>0</v>
      </c>
      <c r="I121" s="50">
        <v>0</v>
      </c>
      <c r="J121" s="50">
        <v>0</v>
      </c>
      <c r="K121" s="50">
        <v>0</v>
      </c>
      <c r="L121" s="50">
        <v>1000</v>
      </c>
      <c r="M121" s="50">
        <v>500</v>
      </c>
      <c r="N121" s="50">
        <v>500</v>
      </c>
      <c r="O121" s="50">
        <v>0</v>
      </c>
      <c r="P121" s="50">
        <v>0</v>
      </c>
      <c r="Q121" s="50">
        <v>0</v>
      </c>
      <c r="R121" s="50">
        <v>0</v>
      </c>
      <c r="S121" s="50">
        <v>3000</v>
      </c>
      <c r="T121" s="50">
        <v>3000</v>
      </c>
      <c r="U121" s="50">
        <v>3000</v>
      </c>
      <c r="V121" s="50">
        <v>0</v>
      </c>
      <c r="AF121" s="4"/>
    </row>
    <row r="122" spans="1:32" x14ac:dyDescent="0.25">
      <c r="A122" s="34">
        <v>42824</v>
      </c>
      <c r="B122" s="56">
        <v>21108</v>
      </c>
      <c r="C122" s="49">
        <v>2000</v>
      </c>
      <c r="D122" s="49">
        <v>0</v>
      </c>
      <c r="E122" s="49">
        <v>1000</v>
      </c>
      <c r="F122" s="49">
        <v>0</v>
      </c>
      <c r="G122" s="50">
        <v>1000</v>
      </c>
      <c r="H122" s="50">
        <v>0</v>
      </c>
      <c r="I122" s="50">
        <v>0</v>
      </c>
      <c r="J122" s="50">
        <v>0</v>
      </c>
      <c r="K122" s="50">
        <v>3000</v>
      </c>
      <c r="L122" s="50">
        <v>3000</v>
      </c>
      <c r="M122" s="50">
        <v>500</v>
      </c>
      <c r="N122" s="50">
        <v>500</v>
      </c>
      <c r="O122" s="50">
        <v>0</v>
      </c>
      <c r="P122" s="50">
        <v>500</v>
      </c>
      <c r="Q122" s="50">
        <v>0</v>
      </c>
      <c r="R122" s="50">
        <v>0</v>
      </c>
      <c r="S122" s="50">
        <v>3000</v>
      </c>
      <c r="T122" s="50">
        <v>0</v>
      </c>
      <c r="U122" s="50">
        <v>3000</v>
      </c>
      <c r="V122" s="50">
        <v>0</v>
      </c>
      <c r="AF122" s="4"/>
    </row>
    <row r="123" spans="1:32" x14ac:dyDescent="0.25">
      <c r="A123" s="34">
        <v>42840</v>
      </c>
      <c r="B123" s="56">
        <v>27345</v>
      </c>
      <c r="C123" s="49">
        <v>2000</v>
      </c>
      <c r="D123" s="49">
        <v>0</v>
      </c>
      <c r="E123" s="49">
        <v>0</v>
      </c>
      <c r="F123" s="49">
        <v>0</v>
      </c>
      <c r="G123" s="50">
        <v>1000</v>
      </c>
      <c r="H123" s="50">
        <v>0</v>
      </c>
      <c r="I123" s="50">
        <v>0</v>
      </c>
      <c r="J123" s="50">
        <v>0</v>
      </c>
      <c r="K123" s="50">
        <v>0</v>
      </c>
      <c r="L123" s="50">
        <v>0</v>
      </c>
      <c r="M123" s="50">
        <v>500</v>
      </c>
      <c r="N123" s="50">
        <v>500</v>
      </c>
      <c r="O123" s="50">
        <v>0</v>
      </c>
      <c r="P123" s="50">
        <v>0</v>
      </c>
      <c r="Q123" s="50">
        <v>0</v>
      </c>
      <c r="R123" s="50">
        <v>0</v>
      </c>
      <c r="S123" s="50">
        <v>3000</v>
      </c>
      <c r="T123" s="50">
        <v>0</v>
      </c>
      <c r="U123" s="50">
        <v>3000</v>
      </c>
      <c r="V123" s="50">
        <v>0</v>
      </c>
      <c r="AF123" s="4"/>
    </row>
    <row r="124" spans="1:32" x14ac:dyDescent="0.25">
      <c r="A124" s="34">
        <v>42855</v>
      </c>
      <c r="B124" s="56">
        <v>32404</v>
      </c>
      <c r="C124" s="49">
        <v>2000</v>
      </c>
      <c r="D124" s="49">
        <v>0</v>
      </c>
      <c r="E124" s="49">
        <v>0</v>
      </c>
      <c r="F124" s="49">
        <v>2000</v>
      </c>
      <c r="G124" s="50">
        <v>1000</v>
      </c>
      <c r="H124" s="50">
        <v>0</v>
      </c>
      <c r="I124" s="50">
        <v>0</v>
      </c>
      <c r="J124" s="50">
        <v>0</v>
      </c>
      <c r="K124" s="50">
        <v>0</v>
      </c>
      <c r="L124" s="50">
        <v>0</v>
      </c>
      <c r="M124" s="50">
        <v>500</v>
      </c>
      <c r="N124" s="50">
        <v>500</v>
      </c>
      <c r="O124" s="50">
        <v>0</v>
      </c>
      <c r="P124" s="50">
        <v>0</v>
      </c>
      <c r="Q124" s="50">
        <v>0</v>
      </c>
      <c r="R124" s="50">
        <v>0</v>
      </c>
      <c r="S124" s="50">
        <v>3000</v>
      </c>
      <c r="T124" s="50">
        <v>0</v>
      </c>
      <c r="U124" s="50">
        <v>3000</v>
      </c>
      <c r="V124" s="50">
        <v>0</v>
      </c>
      <c r="AF124" s="4"/>
    </row>
    <row r="125" spans="1:32" x14ac:dyDescent="0.25">
      <c r="A125" s="34">
        <v>42870</v>
      </c>
      <c r="B125" s="56">
        <v>16924</v>
      </c>
      <c r="C125" s="49">
        <v>2000</v>
      </c>
      <c r="D125" s="49">
        <v>0</v>
      </c>
      <c r="E125" s="49">
        <v>0</v>
      </c>
      <c r="F125" s="49">
        <v>0</v>
      </c>
      <c r="G125" s="50">
        <v>1000</v>
      </c>
      <c r="H125" s="50">
        <v>0</v>
      </c>
      <c r="I125" s="50">
        <v>0</v>
      </c>
      <c r="J125" s="50">
        <v>0</v>
      </c>
      <c r="K125" s="50">
        <v>0</v>
      </c>
      <c r="L125" s="50">
        <v>3000</v>
      </c>
      <c r="M125" s="50">
        <v>500</v>
      </c>
      <c r="N125" s="50">
        <v>500</v>
      </c>
      <c r="O125" s="50">
        <v>0</v>
      </c>
      <c r="P125" s="50">
        <v>0</v>
      </c>
      <c r="Q125" s="50">
        <v>0</v>
      </c>
      <c r="R125" s="50">
        <v>0</v>
      </c>
      <c r="S125" s="50">
        <v>3000</v>
      </c>
      <c r="T125" s="50">
        <v>0</v>
      </c>
      <c r="U125" s="50">
        <v>3000</v>
      </c>
      <c r="V125" s="50">
        <v>0</v>
      </c>
      <c r="AF125" s="4"/>
    </row>
    <row r="126" spans="1:32" ht="15.75" thickBot="1" x14ac:dyDescent="0.3">
      <c r="A126" s="34">
        <v>42885</v>
      </c>
      <c r="B126" s="84">
        <v>19661</v>
      </c>
      <c r="C126" s="65">
        <v>2000</v>
      </c>
      <c r="D126" s="65">
        <v>0</v>
      </c>
      <c r="E126" s="65">
        <v>1000</v>
      </c>
      <c r="F126" s="65">
        <v>0</v>
      </c>
      <c r="G126" s="66">
        <v>1000</v>
      </c>
      <c r="H126" s="66">
        <v>0</v>
      </c>
      <c r="I126" s="66">
        <v>3000</v>
      </c>
      <c r="J126" s="66">
        <v>0</v>
      </c>
      <c r="K126" s="66">
        <v>0</v>
      </c>
      <c r="L126" s="66">
        <v>3000</v>
      </c>
      <c r="M126" s="66">
        <v>500</v>
      </c>
      <c r="N126" s="66">
        <v>500</v>
      </c>
      <c r="O126" s="66">
        <v>0</v>
      </c>
      <c r="P126" s="66">
        <v>0</v>
      </c>
      <c r="Q126" s="66">
        <v>0</v>
      </c>
      <c r="R126" s="66">
        <v>0</v>
      </c>
      <c r="S126" s="66">
        <v>3000</v>
      </c>
      <c r="T126" s="66">
        <v>0</v>
      </c>
      <c r="U126" s="66">
        <v>0</v>
      </c>
      <c r="V126" s="66">
        <v>0</v>
      </c>
      <c r="AF126" s="4"/>
    </row>
    <row r="127" spans="1:32" ht="15.75" thickBot="1" x14ac:dyDescent="0.3">
      <c r="A127" s="54" t="s">
        <v>7</v>
      </c>
      <c r="B127" s="55">
        <f>SUM(B115:B126)</f>
        <v>234560</v>
      </c>
      <c r="C127" s="55">
        <f>SUM(C115:C126) +C111</f>
        <v>229280</v>
      </c>
      <c r="D127" s="55">
        <f>SUM(D115:D126) +D111</f>
        <v>11903</v>
      </c>
      <c r="E127" s="55">
        <f>SUM(E115:E126) +E111</f>
        <v>31732</v>
      </c>
      <c r="F127" s="55">
        <f t="shared" ref="F127:V127" si="5">SUM(F115:F126) + F111</f>
        <v>42241</v>
      </c>
      <c r="G127" s="58">
        <f t="shared" si="5"/>
        <v>70733</v>
      </c>
      <c r="H127" s="58">
        <f t="shared" si="5"/>
        <v>90600</v>
      </c>
      <c r="I127" s="58">
        <f t="shared" si="5"/>
        <v>42000</v>
      </c>
      <c r="J127" s="58">
        <f t="shared" si="5"/>
        <v>10500</v>
      </c>
      <c r="K127" s="58">
        <f t="shared" si="5"/>
        <v>42201</v>
      </c>
      <c r="L127" s="58">
        <f t="shared" si="5"/>
        <v>60050</v>
      </c>
      <c r="M127" s="58">
        <f t="shared" si="5"/>
        <v>26065</v>
      </c>
      <c r="N127" s="58">
        <f t="shared" si="5"/>
        <v>32000</v>
      </c>
      <c r="O127" s="58">
        <f t="shared" si="5"/>
        <v>12500</v>
      </c>
      <c r="P127" s="58">
        <f t="shared" si="5"/>
        <v>12985</v>
      </c>
      <c r="Q127" s="58">
        <f t="shared" si="5"/>
        <v>21203</v>
      </c>
      <c r="R127" s="58">
        <f t="shared" si="5"/>
        <v>5000</v>
      </c>
      <c r="S127" s="58">
        <f t="shared" si="5"/>
        <v>41000</v>
      </c>
      <c r="T127" s="58">
        <f t="shared" si="5"/>
        <v>14000</v>
      </c>
      <c r="U127" s="58">
        <f t="shared" si="5"/>
        <v>35000</v>
      </c>
      <c r="V127" s="58">
        <f t="shared" si="5"/>
        <v>1000</v>
      </c>
      <c r="AF127" s="4"/>
    </row>
    <row r="128" spans="1:32" ht="15.75" thickBot="1" x14ac:dyDescent="0.3">
      <c r="AF128" s="4"/>
    </row>
    <row r="129" spans="1:32" ht="15.75" thickBot="1" x14ac:dyDescent="0.3">
      <c r="A129" s="35" t="s">
        <v>74</v>
      </c>
      <c r="AF129" s="4"/>
    </row>
    <row r="130" spans="1:32" ht="15.75" thickBot="1" x14ac:dyDescent="0.3">
      <c r="A130" s="71" t="s">
        <v>6</v>
      </c>
      <c r="B130" s="72" t="s">
        <v>60</v>
      </c>
      <c r="C130" s="73" t="s">
        <v>24</v>
      </c>
      <c r="D130" s="74" t="s">
        <v>25</v>
      </c>
      <c r="E130" s="74" t="s">
        <v>26</v>
      </c>
      <c r="F130" s="74" t="s">
        <v>27</v>
      </c>
      <c r="G130" s="75" t="s">
        <v>28</v>
      </c>
      <c r="H130" s="75" t="s">
        <v>29</v>
      </c>
      <c r="I130" s="75" t="s">
        <v>30</v>
      </c>
      <c r="J130" s="75" t="s">
        <v>31</v>
      </c>
      <c r="K130" s="75" t="s">
        <v>32</v>
      </c>
      <c r="L130" s="75" t="s">
        <v>67</v>
      </c>
      <c r="M130" s="75" t="s">
        <v>23</v>
      </c>
      <c r="N130" s="75" t="s">
        <v>33</v>
      </c>
      <c r="O130" s="75" t="s">
        <v>68</v>
      </c>
      <c r="P130" s="75" t="s">
        <v>34</v>
      </c>
      <c r="Q130" s="75" t="s">
        <v>71</v>
      </c>
      <c r="R130" s="75" t="s">
        <v>36</v>
      </c>
      <c r="S130" s="75" t="s">
        <v>37</v>
      </c>
      <c r="T130" s="75" t="s">
        <v>72</v>
      </c>
      <c r="U130" s="75" t="s">
        <v>39</v>
      </c>
      <c r="V130" s="75" t="s">
        <v>40</v>
      </c>
    </row>
    <row r="131" spans="1:32" x14ac:dyDescent="0.25">
      <c r="A131" s="67">
        <v>42901</v>
      </c>
      <c r="B131" s="68">
        <v>19394</v>
      </c>
      <c r="C131" s="69">
        <v>32720</v>
      </c>
      <c r="D131" s="69">
        <v>0</v>
      </c>
      <c r="E131" s="69">
        <v>0</v>
      </c>
      <c r="F131" s="69">
        <v>0</v>
      </c>
      <c r="G131" s="70">
        <v>1000</v>
      </c>
      <c r="H131" s="70">
        <v>28693</v>
      </c>
      <c r="I131" s="70">
        <v>12410</v>
      </c>
      <c r="J131" s="77"/>
      <c r="K131" s="70">
        <v>0</v>
      </c>
      <c r="L131" s="70">
        <v>2000</v>
      </c>
      <c r="M131" s="70">
        <v>0</v>
      </c>
      <c r="N131" s="70">
        <v>500</v>
      </c>
      <c r="O131" s="70">
        <v>2500</v>
      </c>
      <c r="P131" s="70">
        <v>1800</v>
      </c>
      <c r="Q131" s="70">
        <v>6628</v>
      </c>
      <c r="R131" s="70">
        <v>1591</v>
      </c>
      <c r="S131" s="70">
        <v>10010</v>
      </c>
      <c r="T131" s="70">
        <v>0</v>
      </c>
      <c r="U131" s="70">
        <v>5929</v>
      </c>
      <c r="V131" s="70">
        <v>2318</v>
      </c>
    </row>
    <row r="132" spans="1:32" x14ac:dyDescent="0.25">
      <c r="A132" s="34">
        <v>42916</v>
      </c>
      <c r="B132" s="56">
        <v>21816</v>
      </c>
      <c r="C132" s="49">
        <v>2000</v>
      </c>
      <c r="D132" s="49">
        <v>0</v>
      </c>
      <c r="E132" s="49">
        <v>0</v>
      </c>
      <c r="F132" s="49">
        <v>0</v>
      </c>
      <c r="G132" s="50">
        <v>1000</v>
      </c>
      <c r="H132" s="50">
        <v>0</v>
      </c>
      <c r="I132" s="50">
        <v>0</v>
      </c>
      <c r="J132" s="50">
        <v>1000</v>
      </c>
      <c r="K132" s="50">
        <v>0</v>
      </c>
      <c r="L132" s="50">
        <v>1000</v>
      </c>
      <c r="M132" s="50">
        <v>500</v>
      </c>
      <c r="N132" s="50">
        <v>500</v>
      </c>
      <c r="O132" s="50">
        <v>0</v>
      </c>
      <c r="P132" s="50">
        <v>0</v>
      </c>
      <c r="Q132" s="50">
        <v>0</v>
      </c>
      <c r="R132" s="50">
        <v>0</v>
      </c>
      <c r="S132" s="50">
        <v>3000</v>
      </c>
      <c r="T132" s="50">
        <v>0</v>
      </c>
      <c r="U132" s="50">
        <v>3000</v>
      </c>
      <c r="V132" s="50">
        <v>2000</v>
      </c>
    </row>
    <row r="133" spans="1:32" x14ac:dyDescent="0.25">
      <c r="A133" s="34">
        <v>42931</v>
      </c>
      <c r="B133" s="56">
        <v>19396</v>
      </c>
      <c r="C133" s="49">
        <v>2000</v>
      </c>
      <c r="D133" s="49">
        <v>0</v>
      </c>
      <c r="E133" s="49">
        <v>0</v>
      </c>
      <c r="F133" s="49">
        <v>0</v>
      </c>
      <c r="G133" s="50">
        <v>1000</v>
      </c>
      <c r="H133" s="50">
        <v>0</v>
      </c>
      <c r="I133" s="50">
        <v>3000</v>
      </c>
      <c r="J133" s="50">
        <v>0</v>
      </c>
      <c r="K133" s="50">
        <v>0</v>
      </c>
      <c r="L133" s="50">
        <v>500</v>
      </c>
      <c r="M133" s="50">
        <v>500</v>
      </c>
      <c r="N133" s="50">
        <v>500</v>
      </c>
      <c r="O133" s="50">
        <v>0</v>
      </c>
      <c r="P133" s="50">
        <v>0</v>
      </c>
      <c r="Q133" s="50">
        <v>0</v>
      </c>
      <c r="R133" s="50">
        <v>0</v>
      </c>
      <c r="S133" s="50">
        <v>3000</v>
      </c>
      <c r="T133" s="50">
        <v>0</v>
      </c>
      <c r="U133" s="50">
        <v>3000</v>
      </c>
      <c r="V133" s="50">
        <v>2000</v>
      </c>
    </row>
    <row r="134" spans="1:32" x14ac:dyDescent="0.25">
      <c r="A134" s="34">
        <v>42946</v>
      </c>
      <c r="B134" s="56">
        <v>17959</v>
      </c>
      <c r="C134" s="49">
        <v>2000</v>
      </c>
      <c r="D134" s="49">
        <v>0</v>
      </c>
      <c r="E134" s="49">
        <v>0</v>
      </c>
      <c r="F134" s="49">
        <v>500</v>
      </c>
      <c r="G134" s="50">
        <v>1000</v>
      </c>
      <c r="H134" s="50">
        <v>0</v>
      </c>
      <c r="I134" s="50">
        <v>3000</v>
      </c>
      <c r="J134" s="50">
        <v>0</v>
      </c>
      <c r="K134" s="50">
        <v>0</v>
      </c>
      <c r="L134" s="50">
        <v>500</v>
      </c>
      <c r="M134" s="50">
        <v>0</v>
      </c>
      <c r="N134" s="50">
        <v>500</v>
      </c>
      <c r="O134" s="50">
        <v>0</v>
      </c>
      <c r="P134" s="50">
        <v>0</v>
      </c>
      <c r="Q134" s="50">
        <v>0</v>
      </c>
      <c r="R134" s="50">
        <v>0</v>
      </c>
      <c r="S134" s="50">
        <v>3000</v>
      </c>
      <c r="T134" s="50">
        <v>0</v>
      </c>
      <c r="U134" s="50">
        <v>3000</v>
      </c>
      <c r="V134" s="50">
        <v>2000</v>
      </c>
    </row>
    <row r="135" spans="1:32" x14ac:dyDescent="0.25">
      <c r="A135" s="34">
        <v>42962</v>
      </c>
      <c r="B135" s="56">
        <v>16689</v>
      </c>
      <c r="C135" s="49">
        <v>2000</v>
      </c>
      <c r="D135" s="49">
        <v>0</v>
      </c>
      <c r="E135" s="49">
        <v>0</v>
      </c>
      <c r="F135" s="49">
        <v>0</v>
      </c>
      <c r="G135" s="50">
        <v>1000</v>
      </c>
      <c r="H135" s="50">
        <v>0</v>
      </c>
      <c r="I135" s="50">
        <v>3000</v>
      </c>
      <c r="J135" s="50">
        <v>0</v>
      </c>
      <c r="K135" s="50">
        <v>0</v>
      </c>
      <c r="L135" s="50">
        <v>500</v>
      </c>
      <c r="M135" s="50">
        <v>500</v>
      </c>
      <c r="N135" s="50">
        <v>500</v>
      </c>
      <c r="O135" s="50">
        <v>0</v>
      </c>
      <c r="P135" s="50">
        <v>0</v>
      </c>
      <c r="Q135" s="50">
        <v>0</v>
      </c>
      <c r="R135" s="50">
        <v>0</v>
      </c>
      <c r="S135" s="50">
        <v>3000</v>
      </c>
      <c r="T135" s="50">
        <v>0</v>
      </c>
      <c r="U135" s="50">
        <v>3000</v>
      </c>
      <c r="V135" s="50">
        <v>2000</v>
      </c>
    </row>
    <row r="136" spans="1:32" x14ac:dyDescent="0.25">
      <c r="A136" s="34">
        <v>42977</v>
      </c>
      <c r="B136" s="56">
        <v>28958</v>
      </c>
      <c r="C136" s="49">
        <v>2000</v>
      </c>
      <c r="D136" s="49">
        <v>0</v>
      </c>
      <c r="E136" s="49">
        <v>0</v>
      </c>
      <c r="F136" s="49">
        <v>0</v>
      </c>
      <c r="G136" s="50">
        <v>1000</v>
      </c>
      <c r="H136" s="50">
        <v>0</v>
      </c>
      <c r="I136" s="50">
        <v>3000</v>
      </c>
      <c r="J136" s="50">
        <v>1000</v>
      </c>
      <c r="K136" s="50">
        <v>0</v>
      </c>
      <c r="L136" s="50">
        <v>0</v>
      </c>
      <c r="M136" s="50">
        <v>0</v>
      </c>
      <c r="N136" s="50">
        <v>500</v>
      </c>
      <c r="O136" s="50">
        <v>0</v>
      </c>
      <c r="P136" s="50">
        <v>0</v>
      </c>
      <c r="Q136" s="50">
        <v>0</v>
      </c>
      <c r="R136" s="50">
        <v>1000</v>
      </c>
      <c r="S136" s="50">
        <v>3000</v>
      </c>
      <c r="T136" s="50">
        <v>0</v>
      </c>
      <c r="U136" s="50">
        <v>3000</v>
      </c>
      <c r="V136" s="50">
        <v>2000</v>
      </c>
    </row>
    <row r="137" spans="1:32" x14ac:dyDescent="0.25">
      <c r="A137" s="34">
        <v>42993</v>
      </c>
      <c r="B137" s="56">
        <v>22558</v>
      </c>
      <c r="C137" s="49">
        <v>2000</v>
      </c>
      <c r="D137" s="49">
        <v>0</v>
      </c>
      <c r="E137" s="49">
        <v>0</v>
      </c>
      <c r="F137" s="49">
        <v>0</v>
      </c>
      <c r="G137" s="50">
        <v>1000</v>
      </c>
      <c r="H137" s="50">
        <v>0</v>
      </c>
      <c r="I137" s="50">
        <v>3000</v>
      </c>
      <c r="J137" s="50">
        <v>0</v>
      </c>
      <c r="K137" s="50">
        <v>3000</v>
      </c>
      <c r="L137" s="50">
        <v>1000</v>
      </c>
      <c r="M137" s="50">
        <v>1500</v>
      </c>
      <c r="N137" s="50">
        <v>500</v>
      </c>
      <c r="O137" s="50">
        <v>0</v>
      </c>
      <c r="P137" s="50">
        <v>0</v>
      </c>
      <c r="Q137" s="50">
        <v>0</v>
      </c>
      <c r="R137" s="50">
        <v>500</v>
      </c>
      <c r="S137" s="50">
        <v>3000</v>
      </c>
      <c r="T137" s="50">
        <v>0</v>
      </c>
      <c r="U137" s="50">
        <v>3000</v>
      </c>
      <c r="V137" s="50">
        <v>2000</v>
      </c>
    </row>
    <row r="138" spans="1:32" x14ac:dyDescent="0.25">
      <c r="A138" s="34">
        <v>43008</v>
      </c>
      <c r="B138" s="56">
        <v>40266</v>
      </c>
      <c r="C138" s="49">
        <v>2000</v>
      </c>
      <c r="D138" s="49">
        <v>0</v>
      </c>
      <c r="E138" s="49">
        <v>0</v>
      </c>
      <c r="F138" s="49">
        <v>0</v>
      </c>
      <c r="G138" s="50">
        <v>1000</v>
      </c>
      <c r="H138" s="50">
        <v>-60000</v>
      </c>
      <c r="I138" s="50">
        <v>0</v>
      </c>
      <c r="J138" s="50">
        <v>0</v>
      </c>
      <c r="K138" s="50">
        <v>3000</v>
      </c>
      <c r="L138" s="50">
        <v>0</v>
      </c>
      <c r="M138" s="50">
        <v>1000</v>
      </c>
      <c r="N138" s="50">
        <v>500</v>
      </c>
      <c r="O138" s="50">
        <v>0</v>
      </c>
      <c r="P138" s="50">
        <v>0</v>
      </c>
      <c r="Q138" s="50">
        <v>0</v>
      </c>
      <c r="R138" s="50">
        <v>500</v>
      </c>
      <c r="S138" s="50">
        <v>3000</v>
      </c>
      <c r="T138" s="50">
        <v>0</v>
      </c>
      <c r="U138" s="50">
        <v>3000</v>
      </c>
      <c r="V138" s="50">
        <v>2000</v>
      </c>
    </row>
    <row r="139" spans="1:32" x14ac:dyDescent="0.25">
      <c r="A139" s="34">
        <v>43023</v>
      </c>
      <c r="B139" s="56">
        <v>29558</v>
      </c>
      <c r="C139" s="49">
        <v>2000</v>
      </c>
      <c r="D139" s="49">
        <v>0</v>
      </c>
      <c r="E139" s="49">
        <v>0</v>
      </c>
      <c r="F139" s="49">
        <v>0</v>
      </c>
      <c r="G139" s="50">
        <v>1000</v>
      </c>
      <c r="H139" s="50">
        <v>0</v>
      </c>
      <c r="I139" s="50">
        <v>0</v>
      </c>
      <c r="J139" s="50">
        <v>0</v>
      </c>
      <c r="K139" s="50">
        <v>3000</v>
      </c>
      <c r="L139" s="50">
        <v>0</v>
      </c>
      <c r="M139" s="50">
        <v>500</v>
      </c>
      <c r="N139" s="50">
        <v>500</v>
      </c>
      <c r="O139" s="50">
        <v>0</v>
      </c>
      <c r="P139" s="50">
        <v>0</v>
      </c>
      <c r="Q139" s="50">
        <v>0</v>
      </c>
      <c r="R139" s="50">
        <v>500</v>
      </c>
      <c r="S139" s="50">
        <v>3000</v>
      </c>
      <c r="T139" s="50">
        <v>0</v>
      </c>
      <c r="U139" s="50">
        <v>3000</v>
      </c>
      <c r="V139" s="50">
        <v>2000</v>
      </c>
    </row>
    <row r="140" spans="1:32" x14ac:dyDescent="0.25">
      <c r="A140" s="34">
        <v>43038</v>
      </c>
      <c r="B140" s="56">
        <v>13527</v>
      </c>
      <c r="C140" s="49">
        <v>2000</v>
      </c>
      <c r="D140" s="49">
        <v>0</v>
      </c>
      <c r="E140" s="49">
        <v>0</v>
      </c>
      <c r="F140" s="49">
        <v>0</v>
      </c>
      <c r="G140" s="50">
        <v>1000</v>
      </c>
      <c r="H140" s="50">
        <v>0</v>
      </c>
      <c r="I140" s="50">
        <v>0</v>
      </c>
      <c r="J140" s="50">
        <v>0</v>
      </c>
      <c r="K140" s="50">
        <v>3000</v>
      </c>
      <c r="L140" s="50">
        <v>0</v>
      </c>
      <c r="M140" s="50">
        <v>500</v>
      </c>
      <c r="N140" s="50">
        <v>500</v>
      </c>
      <c r="O140" s="50">
        <v>0</v>
      </c>
      <c r="P140" s="50">
        <v>0</v>
      </c>
      <c r="Q140" s="50">
        <v>0</v>
      </c>
      <c r="R140" s="50">
        <v>0</v>
      </c>
      <c r="S140" s="50">
        <v>3000</v>
      </c>
      <c r="T140" s="50">
        <v>0</v>
      </c>
      <c r="U140" s="50">
        <v>3000</v>
      </c>
      <c r="V140" s="50">
        <v>2000</v>
      </c>
    </row>
    <row r="141" spans="1:32" x14ac:dyDescent="0.25">
      <c r="A141" s="34">
        <v>43054</v>
      </c>
      <c r="B141" s="56">
        <v>36275</v>
      </c>
      <c r="C141" s="49">
        <v>2000</v>
      </c>
      <c r="D141" s="49">
        <v>0</v>
      </c>
      <c r="E141" s="49">
        <v>0</v>
      </c>
      <c r="F141" s="49">
        <v>1000</v>
      </c>
      <c r="G141" s="50">
        <v>1000</v>
      </c>
      <c r="H141" s="50">
        <v>0</v>
      </c>
      <c r="I141" s="50">
        <v>3000</v>
      </c>
      <c r="J141" s="50">
        <v>0</v>
      </c>
      <c r="K141" s="50">
        <v>3000</v>
      </c>
      <c r="L141" s="50">
        <v>0</v>
      </c>
      <c r="M141" s="50">
        <v>500</v>
      </c>
      <c r="N141" s="50">
        <v>500</v>
      </c>
      <c r="O141" s="50">
        <v>0</v>
      </c>
      <c r="P141" s="50">
        <v>0</v>
      </c>
      <c r="Q141" s="50">
        <v>0</v>
      </c>
      <c r="R141" s="50">
        <v>0</v>
      </c>
      <c r="S141" s="50">
        <v>3000</v>
      </c>
      <c r="T141" s="50">
        <v>0</v>
      </c>
      <c r="U141" s="50">
        <v>3000</v>
      </c>
      <c r="V141" s="50">
        <v>2000</v>
      </c>
    </row>
    <row r="142" spans="1:32" ht="15.75" thickBot="1" x14ac:dyDescent="0.3">
      <c r="A142" s="34">
        <v>43069</v>
      </c>
      <c r="B142" s="84">
        <v>37600</v>
      </c>
      <c r="C142" s="65">
        <v>2000</v>
      </c>
      <c r="D142" s="65">
        <v>0</v>
      </c>
      <c r="E142" s="65">
        <v>500</v>
      </c>
      <c r="F142" s="65">
        <v>0</v>
      </c>
      <c r="G142" s="66">
        <v>1000</v>
      </c>
      <c r="H142" s="66">
        <v>0</v>
      </c>
      <c r="I142" s="66">
        <v>3000</v>
      </c>
      <c r="J142" s="66">
        <v>0</v>
      </c>
      <c r="K142" s="66">
        <v>3000</v>
      </c>
      <c r="L142" s="66">
        <v>0</v>
      </c>
      <c r="M142" s="66">
        <v>500</v>
      </c>
      <c r="N142" s="66">
        <v>500</v>
      </c>
      <c r="O142" s="66">
        <v>0</v>
      </c>
      <c r="P142" s="66">
        <v>0</v>
      </c>
      <c r="Q142" s="66">
        <v>0</v>
      </c>
      <c r="R142" s="66">
        <v>0</v>
      </c>
      <c r="S142" s="66">
        <v>3000</v>
      </c>
      <c r="T142" s="66">
        <v>0</v>
      </c>
      <c r="U142" s="66">
        <v>3000</v>
      </c>
      <c r="V142" s="66">
        <v>2000</v>
      </c>
    </row>
    <row r="143" spans="1:32" ht="15.75" thickBot="1" x14ac:dyDescent="0.3">
      <c r="A143" s="54" t="s">
        <v>7</v>
      </c>
      <c r="B143" s="55">
        <f>SUM(B131:B142)</f>
        <v>303996</v>
      </c>
      <c r="C143" s="55">
        <f>SUM(C131:C142) +C127</f>
        <v>284000</v>
      </c>
      <c r="D143" s="55">
        <f>SUM(D131:D142) +D127</f>
        <v>11903</v>
      </c>
      <c r="E143" s="55">
        <f>SUM(E131:E142) +E127</f>
        <v>32232</v>
      </c>
      <c r="F143" s="55">
        <f>SUM(F131:F142) + F127</f>
        <v>43741</v>
      </c>
      <c r="G143" s="58">
        <f>SUM(G131:G142) + G127</f>
        <v>82733</v>
      </c>
      <c r="H143" s="58">
        <f>SUM(H131:H142) + H127</f>
        <v>59293</v>
      </c>
      <c r="I143" s="58">
        <f>SUM(I131:I142) + I127</f>
        <v>75410</v>
      </c>
      <c r="J143" s="58">
        <f>SUM(J131:J142) + 0</f>
        <v>2000</v>
      </c>
      <c r="K143" s="58">
        <f t="shared" ref="K143:V143" si="6">SUM(K131:K142) + K127</f>
        <v>60201</v>
      </c>
      <c r="L143" s="58">
        <f t="shared" si="6"/>
        <v>65550</v>
      </c>
      <c r="M143" s="58">
        <f t="shared" si="6"/>
        <v>32065</v>
      </c>
      <c r="N143" s="58">
        <f t="shared" si="6"/>
        <v>38000</v>
      </c>
      <c r="O143" s="58">
        <f t="shared" si="6"/>
        <v>15000</v>
      </c>
      <c r="P143" s="58">
        <f t="shared" si="6"/>
        <v>14785</v>
      </c>
      <c r="Q143" s="88">
        <f t="shared" si="6"/>
        <v>27831</v>
      </c>
      <c r="R143" s="58">
        <f t="shared" si="6"/>
        <v>9091</v>
      </c>
      <c r="S143" s="58">
        <f t="shared" si="6"/>
        <v>84010</v>
      </c>
      <c r="T143" s="58">
        <f t="shared" si="6"/>
        <v>14000</v>
      </c>
      <c r="U143" s="58">
        <f t="shared" si="6"/>
        <v>73929</v>
      </c>
      <c r="V143" s="58">
        <f t="shared" si="6"/>
        <v>25318</v>
      </c>
    </row>
    <row r="144" spans="1:32" ht="15.75" thickBot="1" x14ac:dyDescent="0.3"/>
    <row r="145" spans="1:25" ht="15.75" thickBot="1" x14ac:dyDescent="0.3">
      <c r="A145" s="35" t="s">
        <v>75</v>
      </c>
    </row>
    <row r="146" spans="1:25" ht="15.75" thickBot="1" x14ac:dyDescent="0.3">
      <c r="A146" s="71" t="s">
        <v>6</v>
      </c>
      <c r="B146" s="72" t="s">
        <v>60</v>
      </c>
      <c r="C146" s="73" t="s">
        <v>24</v>
      </c>
      <c r="D146" s="74" t="s">
        <v>25</v>
      </c>
      <c r="E146" s="74" t="s">
        <v>26</v>
      </c>
      <c r="F146" s="74" t="s">
        <v>27</v>
      </c>
      <c r="G146" s="75" t="s">
        <v>28</v>
      </c>
      <c r="H146" s="75" t="s">
        <v>29</v>
      </c>
      <c r="I146" s="75" t="s">
        <v>30</v>
      </c>
      <c r="J146" s="75" t="s">
        <v>31</v>
      </c>
      <c r="K146" s="75" t="s">
        <v>32</v>
      </c>
      <c r="L146" s="75" t="s">
        <v>67</v>
      </c>
      <c r="M146" s="75" t="s">
        <v>23</v>
      </c>
      <c r="N146" s="75" t="s">
        <v>33</v>
      </c>
      <c r="O146" s="75" t="s">
        <v>68</v>
      </c>
      <c r="P146" s="75" t="s">
        <v>34</v>
      </c>
      <c r="Q146" s="75" t="s">
        <v>71</v>
      </c>
      <c r="R146" s="75" t="s">
        <v>36</v>
      </c>
      <c r="S146" s="75" t="s">
        <v>37</v>
      </c>
      <c r="T146" s="75" t="s">
        <v>72</v>
      </c>
      <c r="U146" s="75" t="s">
        <v>39</v>
      </c>
      <c r="V146" s="75" t="s">
        <v>40</v>
      </c>
      <c r="X146" s="79" t="s">
        <v>78</v>
      </c>
      <c r="Y146" s="64" t="s">
        <v>77</v>
      </c>
    </row>
    <row r="147" spans="1:25" ht="15.75" thickBot="1" x14ac:dyDescent="0.3">
      <c r="A147" s="67">
        <v>43449</v>
      </c>
      <c r="B147" s="68">
        <v>10880</v>
      </c>
      <c r="C147" s="69">
        <v>16000</v>
      </c>
      <c r="D147" s="69">
        <v>3692</v>
      </c>
      <c r="E147" s="69">
        <v>0</v>
      </c>
      <c r="F147" s="69">
        <v>1000</v>
      </c>
      <c r="G147" s="70">
        <v>1000</v>
      </c>
      <c r="H147" s="70">
        <v>2374</v>
      </c>
      <c r="I147" s="70">
        <v>22708</v>
      </c>
      <c r="J147" s="70">
        <v>441</v>
      </c>
      <c r="K147" s="70">
        <v>14484</v>
      </c>
      <c r="L147" s="70">
        <v>500</v>
      </c>
      <c r="M147" s="70">
        <v>1000</v>
      </c>
      <c r="N147" s="70">
        <v>500</v>
      </c>
      <c r="O147" s="70">
        <v>0</v>
      </c>
      <c r="P147" s="70">
        <v>4543</v>
      </c>
      <c r="Q147" s="70">
        <v>0</v>
      </c>
      <c r="R147" s="70">
        <v>2361</v>
      </c>
      <c r="S147" s="70">
        <v>23321</v>
      </c>
      <c r="T147" s="70">
        <v>4344</v>
      </c>
      <c r="U147" s="70">
        <v>20291</v>
      </c>
      <c r="V147" s="70">
        <v>6133</v>
      </c>
      <c r="X147" s="80" t="s">
        <v>72</v>
      </c>
      <c r="Y147" s="81">
        <v>41844</v>
      </c>
    </row>
    <row r="148" spans="1:25" x14ac:dyDescent="0.25">
      <c r="A148" s="34">
        <v>43464</v>
      </c>
      <c r="B148" s="56">
        <v>25453</v>
      </c>
      <c r="C148" s="76"/>
      <c r="D148" s="49">
        <v>0</v>
      </c>
      <c r="E148" s="49">
        <v>0</v>
      </c>
      <c r="F148" s="49">
        <v>0</v>
      </c>
      <c r="G148" s="50">
        <v>1000</v>
      </c>
      <c r="H148" s="50">
        <v>0</v>
      </c>
      <c r="I148" s="50">
        <v>3000</v>
      </c>
      <c r="J148" s="50">
        <v>0</v>
      </c>
      <c r="K148" s="50">
        <v>3000</v>
      </c>
      <c r="L148" s="50">
        <v>1000</v>
      </c>
      <c r="M148" s="50">
        <v>1000</v>
      </c>
      <c r="N148" s="50">
        <v>500</v>
      </c>
      <c r="O148" s="50">
        <v>0</v>
      </c>
      <c r="P148" s="50">
        <v>0</v>
      </c>
      <c r="Q148" s="50">
        <v>0</v>
      </c>
      <c r="R148" s="50">
        <v>0</v>
      </c>
      <c r="S148" s="50">
        <v>3000</v>
      </c>
      <c r="T148" s="50">
        <v>0</v>
      </c>
      <c r="U148" s="50">
        <v>3000</v>
      </c>
      <c r="V148" s="50">
        <v>2000</v>
      </c>
      <c r="X148" s="82"/>
      <c r="Y148" s="83"/>
    </row>
    <row r="149" spans="1:25" x14ac:dyDescent="0.25">
      <c r="A149" s="34">
        <v>43115</v>
      </c>
      <c r="B149" s="56">
        <v>12987</v>
      </c>
      <c r="C149" s="76"/>
      <c r="D149" s="49">
        <v>0</v>
      </c>
      <c r="E149" s="49">
        <v>0</v>
      </c>
      <c r="F149" s="49">
        <v>1000</v>
      </c>
      <c r="G149" s="50">
        <v>1000</v>
      </c>
      <c r="H149" s="50">
        <v>0</v>
      </c>
      <c r="I149" s="50">
        <v>3000</v>
      </c>
      <c r="J149" s="50">
        <v>0</v>
      </c>
      <c r="K149" s="50">
        <v>3000</v>
      </c>
      <c r="L149" s="50">
        <v>1000</v>
      </c>
      <c r="M149" s="50">
        <v>1000</v>
      </c>
      <c r="N149" s="50">
        <v>500</v>
      </c>
      <c r="O149" s="50">
        <v>0</v>
      </c>
      <c r="P149" s="50">
        <v>0</v>
      </c>
      <c r="Q149" s="50">
        <v>0</v>
      </c>
      <c r="R149" s="50">
        <v>0</v>
      </c>
      <c r="S149" s="50">
        <v>3000</v>
      </c>
      <c r="T149" s="50">
        <v>0</v>
      </c>
      <c r="U149" s="50">
        <v>3000</v>
      </c>
      <c r="V149" s="50">
        <v>2000</v>
      </c>
      <c r="Y149" s="78"/>
    </row>
    <row r="150" spans="1:25" x14ac:dyDescent="0.25">
      <c r="A150" s="34">
        <v>43130</v>
      </c>
      <c r="B150" s="56">
        <v>18194</v>
      </c>
      <c r="C150" s="76"/>
      <c r="D150" s="49">
        <v>0</v>
      </c>
      <c r="E150" s="49">
        <v>0</v>
      </c>
      <c r="F150" s="49">
        <v>1000</v>
      </c>
      <c r="G150" s="50">
        <v>1000</v>
      </c>
      <c r="H150" s="50">
        <v>0</v>
      </c>
      <c r="I150" s="50">
        <v>0</v>
      </c>
      <c r="J150" s="50">
        <v>0</v>
      </c>
      <c r="K150" s="50">
        <v>3000</v>
      </c>
      <c r="L150" s="50">
        <v>1000</v>
      </c>
      <c r="M150" s="50">
        <v>1000</v>
      </c>
      <c r="N150" s="50">
        <v>500</v>
      </c>
      <c r="O150" s="50">
        <v>0</v>
      </c>
      <c r="P150" s="50">
        <v>0</v>
      </c>
      <c r="Q150" s="50">
        <v>0</v>
      </c>
      <c r="R150" s="50">
        <v>0</v>
      </c>
      <c r="S150" s="50">
        <v>3000</v>
      </c>
      <c r="T150" s="50">
        <v>2500</v>
      </c>
      <c r="U150" s="50">
        <v>3000</v>
      </c>
      <c r="V150" s="50">
        <v>2000</v>
      </c>
      <c r="Y150" s="78"/>
    </row>
    <row r="151" spans="1:25" x14ac:dyDescent="0.25">
      <c r="A151" s="34">
        <v>43146</v>
      </c>
      <c r="B151" s="56">
        <v>42690</v>
      </c>
      <c r="C151" s="76"/>
      <c r="D151" s="49">
        <v>0</v>
      </c>
      <c r="E151" s="49">
        <v>0</v>
      </c>
      <c r="F151" s="49">
        <v>2500</v>
      </c>
      <c r="G151" s="50">
        <v>1000</v>
      </c>
      <c r="H151" s="50">
        <v>1000</v>
      </c>
      <c r="I151" s="50">
        <v>3000</v>
      </c>
      <c r="J151" s="50">
        <v>1000</v>
      </c>
      <c r="K151" s="50">
        <v>3000</v>
      </c>
      <c r="L151" s="50">
        <v>3000</v>
      </c>
      <c r="M151" s="50">
        <v>1000</v>
      </c>
      <c r="N151" s="50">
        <v>500</v>
      </c>
      <c r="O151" s="50">
        <v>0</v>
      </c>
      <c r="P151" s="50">
        <v>0</v>
      </c>
      <c r="Q151" s="50">
        <v>0</v>
      </c>
      <c r="R151" s="50">
        <v>0</v>
      </c>
      <c r="S151" s="50">
        <v>3000</v>
      </c>
      <c r="T151" s="50">
        <v>3000</v>
      </c>
      <c r="U151" s="50">
        <v>3000</v>
      </c>
      <c r="V151" s="50">
        <v>2000</v>
      </c>
      <c r="Y151" s="78"/>
    </row>
    <row r="152" spans="1:25" x14ac:dyDescent="0.25">
      <c r="A152" s="34">
        <v>43159</v>
      </c>
      <c r="B152" s="56">
        <v>22651</v>
      </c>
      <c r="C152" s="76"/>
      <c r="D152" s="49">
        <v>0</v>
      </c>
      <c r="E152" s="49">
        <v>2000</v>
      </c>
      <c r="F152" s="49">
        <v>0</v>
      </c>
      <c r="G152" s="50">
        <v>1000</v>
      </c>
      <c r="H152" s="50">
        <v>1000</v>
      </c>
      <c r="I152" s="50">
        <v>3000</v>
      </c>
      <c r="J152" s="50">
        <v>0</v>
      </c>
      <c r="K152" s="50">
        <v>3000</v>
      </c>
      <c r="L152" s="50">
        <v>3000</v>
      </c>
      <c r="M152" s="50">
        <v>1000</v>
      </c>
      <c r="N152" s="50">
        <v>500</v>
      </c>
      <c r="O152" s="50">
        <v>0</v>
      </c>
      <c r="P152" s="50">
        <v>0</v>
      </c>
      <c r="Q152" s="50">
        <v>0</v>
      </c>
      <c r="R152" s="50">
        <v>0</v>
      </c>
      <c r="S152" s="50">
        <v>3000</v>
      </c>
      <c r="T152" s="50">
        <v>3000</v>
      </c>
      <c r="U152" s="50">
        <v>3000</v>
      </c>
      <c r="V152" s="50">
        <v>2000</v>
      </c>
      <c r="Y152" s="78"/>
    </row>
    <row r="153" spans="1:25" x14ac:dyDescent="0.25">
      <c r="A153" s="34">
        <v>43174</v>
      </c>
      <c r="B153" s="56">
        <v>47786</v>
      </c>
      <c r="C153" s="76"/>
      <c r="D153" s="49">
        <v>0</v>
      </c>
      <c r="E153" s="49">
        <v>1000</v>
      </c>
      <c r="F153" s="49">
        <v>0</v>
      </c>
      <c r="G153" s="50">
        <v>1000</v>
      </c>
      <c r="H153" s="50">
        <v>1000</v>
      </c>
      <c r="I153" s="50">
        <v>3000</v>
      </c>
      <c r="J153" s="50">
        <v>0</v>
      </c>
      <c r="K153" s="50">
        <v>3000</v>
      </c>
      <c r="L153" s="50">
        <v>1000</v>
      </c>
      <c r="M153" s="50">
        <v>1000</v>
      </c>
      <c r="N153" s="50">
        <v>500</v>
      </c>
      <c r="O153" s="50">
        <v>0</v>
      </c>
      <c r="P153" s="50">
        <v>1000</v>
      </c>
      <c r="Q153" s="50">
        <v>0</v>
      </c>
      <c r="R153" s="50">
        <v>0</v>
      </c>
      <c r="S153" s="50">
        <v>3000</v>
      </c>
      <c r="T153" s="50">
        <v>3000</v>
      </c>
      <c r="U153" s="50">
        <v>3000</v>
      </c>
      <c r="V153" s="50">
        <v>2000</v>
      </c>
      <c r="Y153" s="78"/>
    </row>
    <row r="154" spans="1:25" x14ac:dyDescent="0.25">
      <c r="A154" s="34">
        <v>43189</v>
      </c>
      <c r="B154" s="56">
        <v>26306</v>
      </c>
      <c r="C154" s="76"/>
      <c r="D154" s="49">
        <v>0</v>
      </c>
      <c r="E154" s="49">
        <v>1000</v>
      </c>
      <c r="F154" s="49">
        <v>0</v>
      </c>
      <c r="G154" s="50">
        <v>1000</v>
      </c>
      <c r="H154" s="50">
        <v>0</v>
      </c>
      <c r="I154" s="50">
        <v>3000</v>
      </c>
      <c r="J154" s="50">
        <v>0</v>
      </c>
      <c r="K154" s="50">
        <v>3000</v>
      </c>
      <c r="L154" s="50">
        <v>1000</v>
      </c>
      <c r="M154" s="50">
        <v>1000</v>
      </c>
      <c r="N154" s="50">
        <v>500</v>
      </c>
      <c r="O154" s="50">
        <v>0</v>
      </c>
      <c r="P154" s="50">
        <v>0</v>
      </c>
      <c r="Q154" s="50">
        <v>0</v>
      </c>
      <c r="R154" s="50">
        <v>0</v>
      </c>
      <c r="S154" s="50">
        <v>3000</v>
      </c>
      <c r="T154" s="50">
        <v>3000</v>
      </c>
      <c r="U154" s="50">
        <v>3000</v>
      </c>
      <c r="V154" s="50">
        <v>2000</v>
      </c>
      <c r="Y154" s="78"/>
    </row>
    <row r="155" spans="1:25" x14ac:dyDescent="0.25">
      <c r="A155" s="34">
        <v>43205</v>
      </c>
      <c r="B155" s="56">
        <v>42315</v>
      </c>
      <c r="C155" s="76"/>
      <c r="D155" s="49">
        <v>0</v>
      </c>
      <c r="E155" s="49">
        <v>2000</v>
      </c>
      <c r="F155" s="49">
        <v>0</v>
      </c>
      <c r="G155" s="50">
        <v>1000</v>
      </c>
      <c r="H155" s="50">
        <v>1000</v>
      </c>
      <c r="I155" s="50">
        <v>3000</v>
      </c>
      <c r="J155" s="50">
        <v>0</v>
      </c>
      <c r="K155" s="50">
        <v>3000</v>
      </c>
      <c r="L155" s="50">
        <v>2000</v>
      </c>
      <c r="M155" s="50">
        <v>1000</v>
      </c>
      <c r="N155" s="50">
        <v>500</v>
      </c>
      <c r="O155" s="50">
        <v>0</v>
      </c>
      <c r="P155" s="50">
        <v>0</v>
      </c>
      <c r="Q155" s="50">
        <v>0</v>
      </c>
      <c r="R155" s="50">
        <v>0</v>
      </c>
      <c r="S155" s="50">
        <v>3000</v>
      </c>
      <c r="T155" s="50">
        <v>3000</v>
      </c>
      <c r="U155" s="50">
        <v>3000</v>
      </c>
      <c r="V155" s="50">
        <v>2000</v>
      </c>
      <c r="Y155" s="78"/>
    </row>
    <row r="156" spans="1:25" x14ac:dyDescent="0.25">
      <c r="A156" s="34">
        <v>43220</v>
      </c>
      <c r="B156" s="56">
        <v>18041</v>
      </c>
      <c r="C156" s="76"/>
      <c r="D156" s="49">
        <v>0</v>
      </c>
      <c r="E156" s="49">
        <v>2000</v>
      </c>
      <c r="F156" s="49">
        <v>1000</v>
      </c>
      <c r="G156" s="50">
        <v>1000</v>
      </c>
      <c r="H156" s="50">
        <v>0</v>
      </c>
      <c r="I156" s="50">
        <v>3000</v>
      </c>
      <c r="J156" s="50">
        <v>0</v>
      </c>
      <c r="K156" s="50">
        <v>3000</v>
      </c>
      <c r="L156" s="50">
        <v>1000</v>
      </c>
      <c r="M156" s="50">
        <v>1000</v>
      </c>
      <c r="N156" s="50">
        <v>500</v>
      </c>
      <c r="O156" s="50">
        <v>0</v>
      </c>
      <c r="P156" s="50">
        <v>0</v>
      </c>
      <c r="Q156" s="50">
        <v>0</v>
      </c>
      <c r="R156" s="50">
        <v>0</v>
      </c>
      <c r="S156" s="50">
        <v>3000</v>
      </c>
      <c r="T156" s="50">
        <v>3000</v>
      </c>
      <c r="U156" s="50">
        <v>3000</v>
      </c>
      <c r="V156" s="50">
        <v>2000</v>
      </c>
      <c r="Y156" s="78"/>
    </row>
    <row r="157" spans="1:25" x14ac:dyDescent="0.25">
      <c r="A157" s="34">
        <v>43235</v>
      </c>
      <c r="B157" s="56">
        <v>34565</v>
      </c>
      <c r="C157" s="76"/>
      <c r="D157" s="49">
        <v>0</v>
      </c>
      <c r="E157" s="49">
        <v>0</v>
      </c>
      <c r="F157" s="49">
        <v>0</v>
      </c>
      <c r="G157" s="50">
        <v>1000</v>
      </c>
      <c r="H157" s="50">
        <v>0</v>
      </c>
      <c r="I157" s="50">
        <v>0</v>
      </c>
      <c r="J157" s="50">
        <v>0</v>
      </c>
      <c r="K157" s="50">
        <v>3000</v>
      </c>
      <c r="L157" s="50">
        <v>2000</v>
      </c>
      <c r="M157" s="50">
        <v>1000</v>
      </c>
      <c r="N157" s="50">
        <v>500</v>
      </c>
      <c r="O157" s="50">
        <v>0</v>
      </c>
      <c r="P157" s="50">
        <v>500</v>
      </c>
      <c r="Q157" s="50">
        <v>0</v>
      </c>
      <c r="R157" s="50">
        <v>0</v>
      </c>
      <c r="S157" s="50">
        <v>3000</v>
      </c>
      <c r="T157" s="50">
        <v>3000</v>
      </c>
      <c r="U157" s="50">
        <v>3000</v>
      </c>
      <c r="V157" s="50">
        <v>2000</v>
      </c>
      <c r="Y157" s="78"/>
    </row>
    <row r="158" spans="1:25" ht="15.75" thickBot="1" x14ac:dyDescent="0.3">
      <c r="A158" s="34">
        <v>43250</v>
      </c>
      <c r="B158" s="84">
        <v>42074</v>
      </c>
      <c r="C158" s="59"/>
      <c r="D158" s="65">
        <v>0</v>
      </c>
      <c r="E158" s="65">
        <v>2000</v>
      </c>
      <c r="F158" s="65">
        <v>3000</v>
      </c>
      <c r="G158" s="66">
        <v>1000</v>
      </c>
      <c r="H158" s="66">
        <v>0</v>
      </c>
      <c r="I158" s="66">
        <v>3000</v>
      </c>
      <c r="J158" s="66">
        <v>0</v>
      </c>
      <c r="K158" s="66">
        <v>3000</v>
      </c>
      <c r="L158" s="66">
        <v>3000</v>
      </c>
      <c r="M158" s="66">
        <v>1000</v>
      </c>
      <c r="N158" s="66">
        <v>500</v>
      </c>
      <c r="O158" s="66">
        <v>0</v>
      </c>
      <c r="P158" s="66">
        <v>0</v>
      </c>
      <c r="Q158" s="66">
        <v>0</v>
      </c>
      <c r="R158" s="66">
        <v>0</v>
      </c>
      <c r="S158" s="66">
        <v>3000</v>
      </c>
      <c r="T158" s="66">
        <v>0</v>
      </c>
      <c r="U158" s="66">
        <v>3000</v>
      </c>
      <c r="V158" s="66">
        <v>2000</v>
      </c>
      <c r="Y158" s="78"/>
    </row>
    <row r="159" spans="1:25" ht="15.75" thickBot="1" x14ac:dyDescent="0.3">
      <c r="A159" s="54" t="s">
        <v>7</v>
      </c>
      <c r="B159" s="55">
        <f>SUM(B147:B158)</f>
        <v>343942</v>
      </c>
      <c r="C159" s="55">
        <f>SUM(C147:C158) +C143</f>
        <v>300000</v>
      </c>
      <c r="D159" s="55">
        <f>SUM(D147:D158) +D143</f>
        <v>15595</v>
      </c>
      <c r="E159" s="55">
        <f>SUM(E147:E158) +E143</f>
        <v>42232</v>
      </c>
      <c r="F159" s="55">
        <f t="shared" ref="F159:P159" si="7">SUM(F147:F158) + F143</f>
        <v>53241</v>
      </c>
      <c r="G159" s="58">
        <f t="shared" si="7"/>
        <v>94733</v>
      </c>
      <c r="H159" s="58">
        <f t="shared" si="7"/>
        <v>65667</v>
      </c>
      <c r="I159" s="58">
        <f t="shared" si="7"/>
        <v>125118</v>
      </c>
      <c r="J159" s="58">
        <f t="shared" si="7"/>
        <v>3441</v>
      </c>
      <c r="K159" s="58">
        <f t="shared" si="7"/>
        <v>107685</v>
      </c>
      <c r="L159" s="58">
        <f t="shared" si="7"/>
        <v>85050</v>
      </c>
      <c r="M159" s="58">
        <f t="shared" si="7"/>
        <v>44065</v>
      </c>
      <c r="N159" s="58">
        <f t="shared" si="7"/>
        <v>44000</v>
      </c>
      <c r="O159" s="58">
        <f t="shared" si="7"/>
        <v>15000</v>
      </c>
      <c r="P159" s="58">
        <f t="shared" si="7"/>
        <v>20828</v>
      </c>
      <c r="Q159" s="58">
        <f>SUM(Q147:Q158)</f>
        <v>0</v>
      </c>
      <c r="R159" s="58">
        <f>SUM(R147:R158) + R143</f>
        <v>11452</v>
      </c>
      <c r="S159" s="58">
        <f>SUM(S147:S158) + S143</f>
        <v>140331</v>
      </c>
      <c r="T159" s="58">
        <f>SUM(T147:T158) + T143 -Y147</f>
        <v>0</v>
      </c>
      <c r="U159" s="58">
        <f>SUM(U147:U158) + U143</f>
        <v>127220</v>
      </c>
      <c r="V159" s="58">
        <f>SUM(V147:V158) + V143</f>
        <v>53451</v>
      </c>
    </row>
    <row r="160" spans="1:25" ht="15.75" thickBot="1" x14ac:dyDescent="0.3"/>
    <row r="161" spans="1:27" ht="15.75" thickBot="1" x14ac:dyDescent="0.3">
      <c r="A161" s="35" t="s">
        <v>76</v>
      </c>
    </row>
    <row r="162" spans="1:27" ht="15.75" thickBot="1" x14ac:dyDescent="0.3">
      <c r="A162" s="71" t="s">
        <v>6</v>
      </c>
      <c r="B162" s="72" t="s">
        <v>60</v>
      </c>
      <c r="C162" s="73" t="s">
        <v>24</v>
      </c>
      <c r="D162" s="74" t="s">
        <v>25</v>
      </c>
      <c r="E162" s="74" t="s">
        <v>26</v>
      </c>
      <c r="F162" s="74" t="s">
        <v>27</v>
      </c>
      <c r="G162" s="75" t="s">
        <v>28</v>
      </c>
      <c r="H162" s="75" t="s">
        <v>29</v>
      </c>
      <c r="I162" s="75" t="s">
        <v>30</v>
      </c>
      <c r="J162" s="75" t="s">
        <v>31</v>
      </c>
      <c r="K162" s="75" t="s">
        <v>32</v>
      </c>
      <c r="L162" s="75" t="s">
        <v>67</v>
      </c>
      <c r="M162" s="75" t="s">
        <v>23</v>
      </c>
      <c r="N162" s="75" t="s">
        <v>33</v>
      </c>
      <c r="O162" s="75" t="s">
        <v>68</v>
      </c>
      <c r="P162" s="75" t="s">
        <v>34</v>
      </c>
      <c r="Q162" s="75" t="s">
        <v>35</v>
      </c>
      <c r="R162" s="75" t="s">
        <v>36</v>
      </c>
      <c r="S162" s="75" t="s">
        <v>37</v>
      </c>
      <c r="T162" s="75" t="s">
        <v>38</v>
      </c>
      <c r="U162" s="75" t="s">
        <v>39</v>
      </c>
      <c r="V162" s="75" t="s">
        <v>40</v>
      </c>
      <c r="W162" s="75" t="s">
        <v>8</v>
      </c>
      <c r="X162" s="75" t="s">
        <v>0</v>
      </c>
      <c r="Y162" s="75" t="s">
        <v>41</v>
      </c>
      <c r="Z162" s="75" t="s">
        <v>42</v>
      </c>
      <c r="AA162" s="75" t="s">
        <v>43</v>
      </c>
    </row>
    <row r="163" spans="1:27" x14ac:dyDescent="0.25">
      <c r="A163" s="67">
        <v>43266</v>
      </c>
      <c r="B163" s="68">
        <v>29445</v>
      </c>
      <c r="C163" s="85"/>
      <c r="D163" s="69">
        <v>3715</v>
      </c>
      <c r="E163" s="69">
        <v>11008</v>
      </c>
      <c r="F163" s="69">
        <v>15504</v>
      </c>
      <c r="G163" s="70">
        <v>1000</v>
      </c>
      <c r="H163" s="70">
        <v>0</v>
      </c>
      <c r="I163" s="70">
        <v>32108</v>
      </c>
      <c r="J163" s="70">
        <v>393</v>
      </c>
      <c r="K163" s="70">
        <v>26620</v>
      </c>
      <c r="L163" s="70">
        <v>3000</v>
      </c>
      <c r="M163" s="70">
        <v>1000</v>
      </c>
      <c r="N163" s="70">
        <v>500</v>
      </c>
      <c r="O163" s="70">
        <v>3593</v>
      </c>
      <c r="P163" s="70">
        <v>4844</v>
      </c>
      <c r="Q163" s="70">
        <v>5000</v>
      </c>
      <c r="R163" s="70">
        <v>2618</v>
      </c>
      <c r="S163" s="70">
        <v>35298</v>
      </c>
      <c r="T163" s="70">
        <v>5000</v>
      </c>
      <c r="U163" s="70">
        <v>29807</v>
      </c>
      <c r="V163" s="70">
        <v>12713</v>
      </c>
      <c r="W163" s="70">
        <v>5000</v>
      </c>
      <c r="X163" s="70">
        <v>3000</v>
      </c>
      <c r="Y163" s="70">
        <v>5000</v>
      </c>
      <c r="Z163" s="70">
        <v>5000</v>
      </c>
      <c r="AA163" s="70">
        <v>5000</v>
      </c>
    </row>
    <row r="164" spans="1:27" x14ac:dyDescent="0.25">
      <c r="A164" s="34">
        <v>43281</v>
      </c>
      <c r="B164" s="56">
        <v>30458</v>
      </c>
      <c r="C164" s="76"/>
      <c r="D164" s="49">
        <v>0</v>
      </c>
      <c r="E164" s="49">
        <v>3000</v>
      </c>
      <c r="F164" s="49">
        <v>3000</v>
      </c>
      <c r="G164" s="50">
        <v>2000</v>
      </c>
      <c r="H164" s="50">
        <v>0</v>
      </c>
      <c r="I164" s="50">
        <v>3000</v>
      </c>
      <c r="J164" s="50">
        <v>0</v>
      </c>
      <c r="K164" s="50">
        <v>3000</v>
      </c>
      <c r="L164" s="50">
        <v>3000</v>
      </c>
      <c r="M164" s="50">
        <v>500</v>
      </c>
      <c r="N164" s="50">
        <v>500</v>
      </c>
      <c r="O164" s="50">
        <v>0</v>
      </c>
      <c r="P164" s="50">
        <v>500</v>
      </c>
      <c r="Q164" s="50">
        <v>1000</v>
      </c>
      <c r="R164" s="50">
        <v>0</v>
      </c>
      <c r="S164" s="50">
        <v>3000</v>
      </c>
      <c r="T164" s="50">
        <v>0</v>
      </c>
      <c r="U164" s="50">
        <v>0</v>
      </c>
      <c r="V164" s="50">
        <v>2000</v>
      </c>
      <c r="W164" s="50">
        <v>2000</v>
      </c>
      <c r="X164" s="50">
        <v>2000</v>
      </c>
      <c r="Y164" s="50">
        <v>2000</v>
      </c>
      <c r="Z164" s="50">
        <v>3000</v>
      </c>
      <c r="AA164" s="50">
        <v>3000</v>
      </c>
    </row>
    <row r="165" spans="1:27" x14ac:dyDescent="0.25">
      <c r="A165" s="34">
        <v>43296</v>
      </c>
      <c r="B165" s="56">
        <v>29349</v>
      </c>
      <c r="C165" s="76"/>
      <c r="D165" s="49">
        <v>0</v>
      </c>
      <c r="E165" s="49">
        <v>3000</v>
      </c>
      <c r="F165" s="49">
        <v>3000</v>
      </c>
      <c r="G165" s="50">
        <v>2000</v>
      </c>
      <c r="H165" s="50">
        <v>0</v>
      </c>
      <c r="I165" s="50">
        <v>3000</v>
      </c>
      <c r="J165" s="50">
        <v>0</v>
      </c>
      <c r="K165" s="50">
        <v>3000</v>
      </c>
      <c r="L165" s="50">
        <v>3000</v>
      </c>
      <c r="M165" s="50">
        <v>500</v>
      </c>
      <c r="N165" s="50">
        <v>500</v>
      </c>
      <c r="O165" s="50">
        <v>0</v>
      </c>
      <c r="P165" s="50">
        <v>500</v>
      </c>
      <c r="Q165" s="50">
        <v>0</v>
      </c>
      <c r="R165" s="50">
        <v>0</v>
      </c>
      <c r="S165" s="50">
        <v>3000</v>
      </c>
      <c r="T165" s="50">
        <v>0</v>
      </c>
      <c r="U165" s="50">
        <v>1000</v>
      </c>
      <c r="V165" s="50">
        <v>2000</v>
      </c>
      <c r="W165" s="50">
        <v>2000</v>
      </c>
      <c r="X165" s="50">
        <v>1500</v>
      </c>
      <c r="Y165" s="50">
        <v>2000</v>
      </c>
      <c r="Z165" s="50">
        <v>3000</v>
      </c>
      <c r="AA165" s="50">
        <v>3000</v>
      </c>
    </row>
    <row r="166" spans="1:27" x14ac:dyDescent="0.25">
      <c r="A166" s="34">
        <v>43311</v>
      </c>
      <c r="B166" s="56">
        <v>24268</v>
      </c>
      <c r="C166" s="76"/>
      <c r="D166" s="49">
        <v>0</v>
      </c>
      <c r="E166" s="49">
        <v>-17000</v>
      </c>
      <c r="F166" s="49">
        <v>3000</v>
      </c>
      <c r="G166" s="50">
        <v>2000</v>
      </c>
      <c r="H166" s="50">
        <v>0</v>
      </c>
      <c r="I166" s="50">
        <v>3000</v>
      </c>
      <c r="J166" s="50">
        <v>0</v>
      </c>
      <c r="K166" s="50">
        <v>3000</v>
      </c>
      <c r="L166" s="50">
        <v>3000</v>
      </c>
      <c r="M166" s="50">
        <v>500</v>
      </c>
      <c r="N166" s="50">
        <v>500</v>
      </c>
      <c r="O166" s="50">
        <v>0</v>
      </c>
      <c r="P166" s="50">
        <v>0</v>
      </c>
      <c r="Q166" s="50">
        <v>0</v>
      </c>
      <c r="R166" s="50">
        <v>0</v>
      </c>
      <c r="S166" s="50">
        <v>3000</v>
      </c>
      <c r="T166" s="50">
        <v>3000</v>
      </c>
      <c r="U166" s="50">
        <v>3000</v>
      </c>
      <c r="V166" s="50">
        <v>2000</v>
      </c>
      <c r="W166" s="50">
        <v>2000</v>
      </c>
      <c r="X166" s="50">
        <v>1500</v>
      </c>
      <c r="Y166" s="50">
        <v>3000</v>
      </c>
      <c r="Z166" s="50">
        <v>3000</v>
      </c>
      <c r="AA166" s="50">
        <v>3000</v>
      </c>
    </row>
    <row r="167" spans="1:27" x14ac:dyDescent="0.25">
      <c r="A167" s="34">
        <v>43327</v>
      </c>
      <c r="B167" s="56">
        <v>23934</v>
      </c>
      <c r="C167" s="76"/>
      <c r="D167" s="49">
        <v>0</v>
      </c>
      <c r="E167" s="49">
        <v>0</v>
      </c>
      <c r="F167" s="49">
        <v>3000</v>
      </c>
      <c r="G167" s="50">
        <v>2000</v>
      </c>
      <c r="H167" s="50">
        <v>0</v>
      </c>
      <c r="I167" s="50">
        <v>3000</v>
      </c>
      <c r="J167" s="50">
        <v>500</v>
      </c>
      <c r="K167" s="50">
        <v>3000</v>
      </c>
      <c r="L167" s="50">
        <v>2000</v>
      </c>
      <c r="M167" s="50">
        <v>500</v>
      </c>
      <c r="N167" s="50">
        <v>500</v>
      </c>
      <c r="O167" s="50">
        <v>0</v>
      </c>
      <c r="P167" s="50">
        <v>0</v>
      </c>
      <c r="Q167" s="50">
        <v>0</v>
      </c>
      <c r="R167" s="50">
        <v>0</v>
      </c>
      <c r="S167" s="50">
        <v>3000</v>
      </c>
      <c r="T167" s="50">
        <v>0</v>
      </c>
      <c r="U167" s="50">
        <v>2000</v>
      </c>
      <c r="V167" s="50">
        <v>2000</v>
      </c>
      <c r="W167" s="50">
        <v>2000</v>
      </c>
      <c r="X167" s="50">
        <v>1000</v>
      </c>
      <c r="Y167" s="50">
        <v>3000</v>
      </c>
      <c r="Z167" s="50">
        <v>3000</v>
      </c>
      <c r="AA167" s="50">
        <v>3000</v>
      </c>
    </row>
    <row r="168" spans="1:27" x14ac:dyDescent="0.25">
      <c r="A168" s="34">
        <v>43342</v>
      </c>
      <c r="B168" s="56">
        <v>40910</v>
      </c>
      <c r="C168" s="76"/>
      <c r="D168" s="49">
        <v>0</v>
      </c>
      <c r="E168" s="49">
        <v>3000</v>
      </c>
      <c r="F168" s="49">
        <v>3000</v>
      </c>
      <c r="G168" s="50">
        <v>1000</v>
      </c>
      <c r="H168" s="50">
        <v>0</v>
      </c>
      <c r="I168" s="50">
        <v>3000</v>
      </c>
      <c r="J168" s="50">
        <v>0</v>
      </c>
      <c r="K168" s="50">
        <v>3000</v>
      </c>
      <c r="L168" s="87">
        <v>-99050</v>
      </c>
      <c r="M168" s="50">
        <v>500</v>
      </c>
      <c r="N168" s="50">
        <v>500</v>
      </c>
      <c r="O168" s="50">
        <v>0</v>
      </c>
      <c r="P168" s="50">
        <v>0</v>
      </c>
      <c r="Q168" s="50">
        <v>0</v>
      </c>
      <c r="R168" s="50">
        <v>0</v>
      </c>
      <c r="S168" s="50">
        <v>3000</v>
      </c>
      <c r="T168" s="50">
        <v>0</v>
      </c>
      <c r="U168" s="50">
        <v>1000</v>
      </c>
      <c r="V168" s="50">
        <v>2000</v>
      </c>
      <c r="W168" s="50">
        <v>2000</v>
      </c>
      <c r="X168" s="50">
        <v>2000</v>
      </c>
      <c r="Y168" s="50">
        <v>3000</v>
      </c>
      <c r="Z168" s="50">
        <v>3000</v>
      </c>
      <c r="AA168" s="50">
        <v>3000</v>
      </c>
    </row>
    <row r="169" spans="1:27" x14ac:dyDescent="0.25">
      <c r="A169" s="34">
        <v>43358</v>
      </c>
      <c r="B169" s="56">
        <v>37670</v>
      </c>
      <c r="C169" s="76"/>
      <c r="D169" s="49">
        <v>0</v>
      </c>
      <c r="E169" s="49">
        <v>3000</v>
      </c>
      <c r="F169" s="49">
        <v>3000</v>
      </c>
      <c r="G169" s="50">
        <v>2000</v>
      </c>
      <c r="H169" s="50">
        <v>0</v>
      </c>
      <c r="I169" s="50">
        <v>3000</v>
      </c>
      <c r="J169" s="50">
        <v>500</v>
      </c>
      <c r="K169" s="50">
        <v>3000</v>
      </c>
      <c r="L169" s="86"/>
      <c r="M169" s="50">
        <v>500</v>
      </c>
      <c r="N169" s="50">
        <v>500</v>
      </c>
      <c r="O169" s="50">
        <v>0</v>
      </c>
      <c r="P169" s="50">
        <v>0</v>
      </c>
      <c r="Q169" s="50">
        <v>0</v>
      </c>
      <c r="R169" s="50">
        <v>0</v>
      </c>
      <c r="S169" s="50">
        <v>3000</v>
      </c>
      <c r="T169" s="50">
        <v>0</v>
      </c>
      <c r="U169" s="50">
        <v>2000</v>
      </c>
      <c r="V169" s="50">
        <v>2000</v>
      </c>
      <c r="W169" s="50">
        <v>2000</v>
      </c>
      <c r="X169" s="50">
        <v>2000</v>
      </c>
      <c r="Y169" s="50">
        <v>3000</v>
      </c>
      <c r="Z169" s="50">
        <v>3000</v>
      </c>
      <c r="AA169" s="50">
        <v>3000</v>
      </c>
    </row>
    <row r="170" spans="1:27" x14ac:dyDescent="0.25">
      <c r="A170" s="34">
        <v>43373</v>
      </c>
      <c r="B170" s="56">
        <v>72629</v>
      </c>
      <c r="C170" s="76"/>
      <c r="D170" s="49">
        <v>0</v>
      </c>
      <c r="E170" s="49">
        <v>3000</v>
      </c>
      <c r="F170" s="49">
        <v>3000</v>
      </c>
      <c r="G170" s="50">
        <v>1000</v>
      </c>
      <c r="H170" s="50">
        <v>0</v>
      </c>
      <c r="I170" s="50">
        <v>3000</v>
      </c>
      <c r="J170" s="50">
        <v>0</v>
      </c>
      <c r="K170" s="50">
        <v>3000</v>
      </c>
      <c r="L170" s="86"/>
      <c r="M170" s="50">
        <v>500</v>
      </c>
      <c r="N170" s="50">
        <v>500</v>
      </c>
      <c r="O170" s="50">
        <v>0</v>
      </c>
      <c r="P170" s="50">
        <v>500</v>
      </c>
      <c r="Q170" s="50">
        <v>0</v>
      </c>
      <c r="R170" s="50">
        <v>0</v>
      </c>
      <c r="S170" s="50">
        <v>3000</v>
      </c>
      <c r="T170" s="50">
        <v>500</v>
      </c>
      <c r="U170" s="50">
        <v>3000</v>
      </c>
      <c r="V170" s="50">
        <v>2000</v>
      </c>
      <c r="W170" s="50">
        <v>2000</v>
      </c>
      <c r="X170" s="50">
        <v>2000</v>
      </c>
      <c r="Y170" s="50">
        <v>3000</v>
      </c>
      <c r="Z170" s="50">
        <v>3000</v>
      </c>
      <c r="AA170" s="50">
        <v>3000</v>
      </c>
    </row>
    <row r="171" spans="1:27" x14ac:dyDescent="0.25">
      <c r="A171" s="34">
        <v>43388</v>
      </c>
      <c r="B171" s="56">
        <v>35463</v>
      </c>
      <c r="C171" s="76"/>
      <c r="D171" s="49">
        <v>0</v>
      </c>
      <c r="E171" s="49">
        <v>1000</v>
      </c>
      <c r="F171" s="49">
        <v>3000</v>
      </c>
      <c r="G171" s="50">
        <v>1000</v>
      </c>
      <c r="H171" s="50">
        <v>500</v>
      </c>
      <c r="I171" s="50">
        <v>3000</v>
      </c>
      <c r="J171" s="50">
        <v>0</v>
      </c>
      <c r="K171" s="50">
        <v>3000</v>
      </c>
      <c r="L171" s="86"/>
      <c r="M171" s="50">
        <v>500</v>
      </c>
      <c r="N171" s="50">
        <v>500</v>
      </c>
      <c r="O171" s="87">
        <v>-5000</v>
      </c>
      <c r="P171" s="50">
        <v>0</v>
      </c>
      <c r="Q171" s="50">
        <v>0</v>
      </c>
      <c r="R171" s="50">
        <v>0</v>
      </c>
      <c r="S171" s="50">
        <v>3000</v>
      </c>
      <c r="T171" s="50">
        <v>0</v>
      </c>
      <c r="U171" s="50">
        <v>3000</v>
      </c>
      <c r="V171" s="50">
        <v>2000</v>
      </c>
      <c r="W171" s="50">
        <v>2000</v>
      </c>
      <c r="X171" s="50">
        <v>2000</v>
      </c>
      <c r="Y171" s="50">
        <v>0</v>
      </c>
      <c r="Z171" s="50">
        <v>3000</v>
      </c>
      <c r="AA171" s="50">
        <v>3000</v>
      </c>
    </row>
    <row r="172" spans="1:27" x14ac:dyDescent="0.25">
      <c r="A172" s="34">
        <v>43403</v>
      </c>
      <c r="B172" s="56">
        <v>49403</v>
      </c>
      <c r="C172" s="76"/>
      <c r="D172" s="49">
        <v>500</v>
      </c>
      <c r="E172" s="49">
        <v>1000</v>
      </c>
      <c r="F172" s="49">
        <v>2000</v>
      </c>
      <c r="G172" s="50">
        <v>1000</v>
      </c>
      <c r="H172" s="50">
        <v>500</v>
      </c>
      <c r="I172" s="50">
        <v>3000</v>
      </c>
      <c r="J172" s="50">
        <v>0</v>
      </c>
      <c r="K172" s="50">
        <v>3000</v>
      </c>
      <c r="L172" s="86"/>
      <c r="M172" s="50">
        <v>500</v>
      </c>
      <c r="N172" s="50">
        <v>500</v>
      </c>
      <c r="O172" s="86">
        <v>0</v>
      </c>
      <c r="P172" s="50">
        <v>0</v>
      </c>
      <c r="Q172" s="50">
        <v>0</v>
      </c>
      <c r="R172" s="50">
        <v>0</v>
      </c>
      <c r="S172" s="50">
        <v>3000</v>
      </c>
      <c r="T172" s="50">
        <v>1000</v>
      </c>
      <c r="U172" s="50">
        <v>3000</v>
      </c>
      <c r="V172" s="50">
        <v>2000</v>
      </c>
      <c r="W172" s="50">
        <v>2000</v>
      </c>
      <c r="X172" s="50">
        <v>2000</v>
      </c>
      <c r="Y172" s="50">
        <v>0</v>
      </c>
      <c r="Z172" s="50">
        <v>3000</v>
      </c>
      <c r="AA172" s="50">
        <v>3000</v>
      </c>
    </row>
    <row r="173" spans="1:27" x14ac:dyDescent="0.25">
      <c r="A173" s="34">
        <v>43419</v>
      </c>
      <c r="B173" s="56">
        <v>79666</v>
      </c>
      <c r="C173" s="76"/>
      <c r="D173" s="49">
        <v>500</v>
      </c>
      <c r="E173" s="49">
        <v>2000</v>
      </c>
      <c r="F173" s="49">
        <v>3000</v>
      </c>
      <c r="G173" s="50">
        <v>1000</v>
      </c>
      <c r="H173" s="50">
        <v>500</v>
      </c>
      <c r="I173" s="50">
        <v>3000</v>
      </c>
      <c r="J173" s="50">
        <v>0</v>
      </c>
      <c r="K173" s="50">
        <v>3000</v>
      </c>
      <c r="L173" s="86"/>
      <c r="M173" s="50">
        <v>0</v>
      </c>
      <c r="N173" s="50">
        <v>500</v>
      </c>
      <c r="O173" s="86"/>
      <c r="P173" s="50">
        <v>0</v>
      </c>
      <c r="Q173" s="50">
        <v>0</v>
      </c>
      <c r="R173" s="50">
        <v>0</v>
      </c>
      <c r="S173" s="50">
        <v>3000</v>
      </c>
      <c r="T173" s="50">
        <v>500</v>
      </c>
      <c r="U173" s="50">
        <v>3000</v>
      </c>
      <c r="V173" s="50">
        <v>2000</v>
      </c>
      <c r="W173" s="50">
        <v>2000</v>
      </c>
      <c r="X173" s="50">
        <v>2000</v>
      </c>
      <c r="Y173" s="50">
        <v>3000</v>
      </c>
      <c r="Z173" s="50">
        <v>3000</v>
      </c>
      <c r="AA173" s="50">
        <v>3000</v>
      </c>
    </row>
    <row r="174" spans="1:27" ht="15.75" thickBot="1" x14ac:dyDescent="0.3">
      <c r="A174" s="34">
        <v>43434</v>
      </c>
      <c r="B174" s="84">
        <v>54797</v>
      </c>
      <c r="C174" s="59"/>
      <c r="D174" s="65">
        <v>0</v>
      </c>
      <c r="E174" s="65">
        <v>2000</v>
      </c>
      <c r="F174" s="65">
        <v>3000</v>
      </c>
      <c r="G174" s="66">
        <v>1000</v>
      </c>
      <c r="H174" s="66">
        <v>500</v>
      </c>
      <c r="I174" s="66">
        <v>3000</v>
      </c>
      <c r="J174" s="66">
        <v>0</v>
      </c>
      <c r="K174" s="66">
        <v>3000</v>
      </c>
      <c r="L174" s="60"/>
      <c r="M174" s="66">
        <v>0</v>
      </c>
      <c r="N174" s="66">
        <v>500</v>
      </c>
      <c r="O174" s="89">
        <v>-13593</v>
      </c>
      <c r="P174" s="66">
        <v>0</v>
      </c>
      <c r="Q174" s="66">
        <v>0</v>
      </c>
      <c r="R174" s="66">
        <v>0</v>
      </c>
      <c r="S174" s="66">
        <v>3000</v>
      </c>
      <c r="T174" s="66">
        <v>500</v>
      </c>
      <c r="U174" s="66">
        <v>3000</v>
      </c>
      <c r="V174" s="66">
        <v>2000</v>
      </c>
      <c r="W174" s="66">
        <v>2000</v>
      </c>
      <c r="X174" s="66">
        <v>2000</v>
      </c>
      <c r="Y174" s="66">
        <v>3000</v>
      </c>
      <c r="Z174" s="66">
        <v>3000</v>
      </c>
      <c r="AA174" s="66">
        <v>3000</v>
      </c>
    </row>
    <row r="175" spans="1:27" ht="15.75" thickBot="1" x14ac:dyDescent="0.3">
      <c r="A175" s="54" t="s">
        <v>7</v>
      </c>
      <c r="B175" s="55">
        <f>SUM(B163:B174)</f>
        <v>507992</v>
      </c>
      <c r="C175" s="55">
        <f>SUM(C163:C174) +C159</f>
        <v>300000</v>
      </c>
      <c r="D175" s="55">
        <f>SUM(D163:D174) +D159</f>
        <v>20310</v>
      </c>
      <c r="E175" s="55">
        <f>SUM(E163:E174) +E159</f>
        <v>57240</v>
      </c>
      <c r="F175" s="55">
        <f t="shared" ref="F175:AA175" si="8">SUM(F163:F174) + F159</f>
        <v>100745</v>
      </c>
      <c r="G175" s="58">
        <f t="shared" si="8"/>
        <v>111733</v>
      </c>
      <c r="H175" s="58">
        <f t="shared" si="8"/>
        <v>67667</v>
      </c>
      <c r="I175" s="58">
        <f t="shared" si="8"/>
        <v>190226</v>
      </c>
      <c r="J175" s="58">
        <f t="shared" si="8"/>
        <v>4834</v>
      </c>
      <c r="K175" s="58">
        <f t="shared" si="8"/>
        <v>167305</v>
      </c>
      <c r="L175" s="58">
        <f t="shared" si="8"/>
        <v>0</v>
      </c>
      <c r="M175" s="58">
        <f t="shared" si="8"/>
        <v>49565</v>
      </c>
      <c r="N175" s="58">
        <f t="shared" si="8"/>
        <v>50000</v>
      </c>
      <c r="O175" s="58">
        <f t="shared" si="8"/>
        <v>0</v>
      </c>
      <c r="P175" s="58">
        <f t="shared" si="8"/>
        <v>27172</v>
      </c>
      <c r="Q175" s="58">
        <f t="shared" si="8"/>
        <v>6000</v>
      </c>
      <c r="R175" s="58">
        <f t="shared" si="8"/>
        <v>14070</v>
      </c>
      <c r="S175" s="58">
        <f t="shared" si="8"/>
        <v>208629</v>
      </c>
      <c r="T175" s="58">
        <f t="shared" si="8"/>
        <v>10500</v>
      </c>
      <c r="U175" s="58">
        <f t="shared" si="8"/>
        <v>181027</v>
      </c>
      <c r="V175" s="58">
        <f t="shared" si="8"/>
        <v>88164</v>
      </c>
      <c r="W175" s="58">
        <f t="shared" si="8"/>
        <v>27000</v>
      </c>
      <c r="X175" s="58">
        <f t="shared" si="8"/>
        <v>23000</v>
      </c>
      <c r="Y175" s="58">
        <f t="shared" si="8"/>
        <v>30000</v>
      </c>
      <c r="Z175" s="58">
        <f t="shared" si="8"/>
        <v>38000</v>
      </c>
      <c r="AA175" s="58">
        <f t="shared" si="8"/>
        <v>38000</v>
      </c>
    </row>
    <row r="176" spans="1:27" ht="15.75" thickBot="1" x14ac:dyDescent="0.3"/>
    <row r="177" spans="1:27" ht="15.75" thickBot="1" x14ac:dyDescent="0.3">
      <c r="A177" s="35" t="s">
        <v>79</v>
      </c>
    </row>
    <row r="178" spans="1:27" ht="15.75" thickBot="1" x14ac:dyDescent="0.3">
      <c r="A178" s="71" t="s">
        <v>6</v>
      </c>
      <c r="B178" s="72" t="s">
        <v>60</v>
      </c>
      <c r="C178" s="73" t="s">
        <v>24</v>
      </c>
      <c r="D178" s="74" t="s">
        <v>25</v>
      </c>
      <c r="E178" s="74" t="s">
        <v>26</v>
      </c>
      <c r="F178" s="74" t="s">
        <v>27</v>
      </c>
      <c r="G178" s="75" t="s">
        <v>28</v>
      </c>
      <c r="H178" s="75" t="s">
        <v>29</v>
      </c>
      <c r="I178" s="75" t="s">
        <v>30</v>
      </c>
      <c r="J178" s="75" t="s">
        <v>31</v>
      </c>
      <c r="K178" s="75" t="s">
        <v>32</v>
      </c>
      <c r="L178" s="75" t="s">
        <v>61</v>
      </c>
      <c r="M178" s="75" t="s">
        <v>23</v>
      </c>
      <c r="N178" s="75" t="s">
        <v>33</v>
      </c>
      <c r="O178" s="75" t="s">
        <v>61</v>
      </c>
      <c r="P178" s="75" t="s">
        <v>34</v>
      </c>
      <c r="Q178" s="75" t="s">
        <v>35</v>
      </c>
      <c r="R178" s="75" t="s">
        <v>36</v>
      </c>
      <c r="S178" s="75" t="s">
        <v>37</v>
      </c>
      <c r="T178" s="75" t="s">
        <v>38</v>
      </c>
      <c r="U178" s="75" t="s">
        <v>39</v>
      </c>
      <c r="V178" s="75" t="s">
        <v>40</v>
      </c>
      <c r="W178" s="75" t="s">
        <v>8</v>
      </c>
      <c r="X178" s="75" t="s">
        <v>0</v>
      </c>
      <c r="Y178" s="75" t="s">
        <v>41</v>
      </c>
      <c r="Z178" s="75" t="s">
        <v>42</v>
      </c>
      <c r="AA178" s="75" t="s">
        <v>43</v>
      </c>
    </row>
    <row r="179" spans="1:27" x14ac:dyDescent="0.25">
      <c r="A179" s="67">
        <v>43814</v>
      </c>
      <c r="B179" s="68">
        <v>48724</v>
      </c>
      <c r="C179" s="85"/>
      <c r="D179" s="69">
        <v>0</v>
      </c>
      <c r="E179" s="69">
        <v>1000</v>
      </c>
      <c r="F179" s="69">
        <v>27182</v>
      </c>
      <c r="G179" s="70">
        <v>1000</v>
      </c>
      <c r="H179" s="70">
        <v>500</v>
      </c>
      <c r="I179" s="70">
        <v>52913</v>
      </c>
      <c r="J179" s="70">
        <v>995</v>
      </c>
      <c r="K179" s="70">
        <v>47033</v>
      </c>
      <c r="L179" s="77"/>
      <c r="M179" s="70">
        <v>0</v>
      </c>
      <c r="N179" s="70">
        <v>500</v>
      </c>
      <c r="O179" s="77"/>
      <c r="P179" s="70">
        <v>5690</v>
      </c>
      <c r="Q179" s="70">
        <v>887</v>
      </c>
      <c r="R179" s="70">
        <v>2881</v>
      </c>
      <c r="S179" s="70">
        <v>59463</v>
      </c>
      <c r="T179" s="70">
        <v>468</v>
      </c>
      <c r="U179" s="70">
        <v>51849</v>
      </c>
      <c r="V179" s="70">
        <v>25876</v>
      </c>
      <c r="W179" s="70">
        <v>3934</v>
      </c>
      <c r="X179" s="70">
        <v>3911</v>
      </c>
      <c r="Y179" s="70">
        <v>2536</v>
      </c>
      <c r="Z179" s="70">
        <v>7590</v>
      </c>
      <c r="AA179" s="70">
        <v>8590</v>
      </c>
    </row>
    <row r="180" spans="1:27" x14ac:dyDescent="0.25">
      <c r="A180" s="34">
        <v>43829</v>
      </c>
      <c r="B180" s="56">
        <v>36684</v>
      </c>
      <c r="C180" s="76"/>
      <c r="D180" s="49">
        <v>0</v>
      </c>
      <c r="E180" s="49">
        <v>0</v>
      </c>
      <c r="F180" s="49">
        <v>3000</v>
      </c>
      <c r="G180" s="50">
        <v>1000</v>
      </c>
      <c r="H180" s="50">
        <v>500</v>
      </c>
      <c r="I180" s="50">
        <v>3000</v>
      </c>
      <c r="J180" s="50">
        <v>0</v>
      </c>
      <c r="K180" s="50">
        <v>3000</v>
      </c>
      <c r="L180" s="86"/>
      <c r="M180" s="50">
        <v>0</v>
      </c>
      <c r="N180" s="50">
        <v>500</v>
      </c>
      <c r="O180" s="86"/>
      <c r="P180" s="50">
        <v>0</v>
      </c>
      <c r="Q180" s="50">
        <v>0</v>
      </c>
      <c r="R180" s="50">
        <v>0</v>
      </c>
      <c r="S180" s="50">
        <v>3000</v>
      </c>
      <c r="T180" s="50">
        <v>0</v>
      </c>
      <c r="U180" s="50">
        <v>3000</v>
      </c>
      <c r="V180" s="50">
        <v>3000</v>
      </c>
      <c r="W180" s="50">
        <v>2000</v>
      </c>
      <c r="X180" s="50">
        <v>1000</v>
      </c>
      <c r="Y180" s="50">
        <v>0</v>
      </c>
      <c r="Z180" s="50">
        <v>3000</v>
      </c>
      <c r="AA180" s="50">
        <v>3000</v>
      </c>
    </row>
    <row r="181" spans="1:27" x14ac:dyDescent="0.25">
      <c r="A181" s="34">
        <v>43480</v>
      </c>
      <c r="B181" s="56">
        <v>68495</v>
      </c>
      <c r="C181" s="76"/>
      <c r="D181" s="49">
        <v>0</v>
      </c>
      <c r="E181" s="49">
        <v>1000</v>
      </c>
      <c r="F181" s="49">
        <v>3000</v>
      </c>
      <c r="G181" s="50">
        <v>3000</v>
      </c>
      <c r="H181" s="50">
        <v>500</v>
      </c>
      <c r="I181" s="50">
        <v>3000</v>
      </c>
      <c r="J181" s="50">
        <v>0</v>
      </c>
      <c r="K181" s="50">
        <v>3000</v>
      </c>
      <c r="L181" s="86"/>
      <c r="M181" s="50">
        <v>500</v>
      </c>
      <c r="N181" s="50">
        <v>500</v>
      </c>
      <c r="O181" s="86"/>
      <c r="P181" s="50">
        <v>0</v>
      </c>
      <c r="Q181" s="50">
        <v>0</v>
      </c>
      <c r="R181" s="50">
        <v>0</v>
      </c>
      <c r="S181" s="50">
        <v>3000</v>
      </c>
      <c r="T181" s="50">
        <v>0</v>
      </c>
      <c r="U181" s="50">
        <v>3000</v>
      </c>
      <c r="V181" s="50">
        <v>3000</v>
      </c>
      <c r="W181" s="50">
        <v>2000</v>
      </c>
      <c r="X181" s="50">
        <v>0</v>
      </c>
      <c r="Y181" s="50">
        <v>0</v>
      </c>
      <c r="Z181" s="50">
        <v>3000</v>
      </c>
      <c r="AA181" s="50">
        <v>3000</v>
      </c>
    </row>
    <row r="182" spans="1:27" x14ac:dyDescent="0.25">
      <c r="A182" s="34">
        <v>43495</v>
      </c>
      <c r="B182" s="56">
        <v>54177</v>
      </c>
      <c r="C182" s="76"/>
      <c r="D182" s="49">
        <v>300</v>
      </c>
      <c r="E182" s="49">
        <v>1000</v>
      </c>
      <c r="F182" s="49">
        <v>3000</v>
      </c>
      <c r="G182" s="50">
        <v>3000</v>
      </c>
      <c r="H182" s="50">
        <v>500</v>
      </c>
      <c r="I182" s="50">
        <v>3000</v>
      </c>
      <c r="J182" s="50">
        <v>0</v>
      </c>
      <c r="K182" s="50">
        <v>3000</v>
      </c>
      <c r="L182" s="86"/>
      <c r="M182" s="50">
        <v>0</v>
      </c>
      <c r="N182" s="50">
        <v>500</v>
      </c>
      <c r="O182" s="86"/>
      <c r="P182" s="50">
        <v>0</v>
      </c>
      <c r="Q182" s="50">
        <v>1000</v>
      </c>
      <c r="R182" s="50">
        <v>0</v>
      </c>
      <c r="S182" s="50">
        <v>3000</v>
      </c>
      <c r="T182" s="50">
        <v>0</v>
      </c>
      <c r="U182" s="50">
        <v>3000</v>
      </c>
      <c r="V182" s="50">
        <v>3000</v>
      </c>
      <c r="W182" s="50">
        <v>2000</v>
      </c>
      <c r="X182" s="50">
        <v>2000</v>
      </c>
      <c r="Y182" s="50">
        <v>0</v>
      </c>
      <c r="Z182" s="50">
        <v>3000</v>
      </c>
      <c r="AA182" s="50">
        <v>3000</v>
      </c>
    </row>
    <row r="183" spans="1:27" x14ac:dyDescent="0.25">
      <c r="A183" s="34">
        <v>43511</v>
      </c>
      <c r="B183" s="56">
        <v>65901</v>
      </c>
      <c r="C183" s="76"/>
      <c r="D183" s="49">
        <v>300</v>
      </c>
      <c r="E183" s="49">
        <v>0</v>
      </c>
      <c r="F183" s="49">
        <v>1000</v>
      </c>
      <c r="G183" s="50">
        <v>3000</v>
      </c>
      <c r="H183" s="50">
        <v>500</v>
      </c>
      <c r="I183" s="50">
        <v>3000</v>
      </c>
      <c r="J183" s="50">
        <v>0</v>
      </c>
      <c r="K183" s="50">
        <v>3000</v>
      </c>
      <c r="L183" s="86"/>
      <c r="M183" s="50">
        <v>0</v>
      </c>
      <c r="N183" s="50">
        <v>500</v>
      </c>
      <c r="O183" s="86"/>
      <c r="P183" s="50">
        <v>0</v>
      </c>
      <c r="Q183" s="50">
        <v>1000</v>
      </c>
      <c r="R183" s="50">
        <v>0</v>
      </c>
      <c r="S183" s="50">
        <v>3000</v>
      </c>
      <c r="T183" s="50">
        <v>0</v>
      </c>
      <c r="U183" s="50">
        <v>3000</v>
      </c>
      <c r="V183" s="50">
        <v>3000</v>
      </c>
      <c r="W183" s="50">
        <v>2000</v>
      </c>
      <c r="X183" s="50">
        <v>2000</v>
      </c>
      <c r="Y183" s="50">
        <v>0</v>
      </c>
      <c r="Z183" s="50">
        <v>3000</v>
      </c>
      <c r="AA183" s="50">
        <v>3000</v>
      </c>
    </row>
    <row r="184" spans="1:27" x14ac:dyDescent="0.25">
      <c r="A184" s="34">
        <v>43524</v>
      </c>
      <c r="B184" s="56">
        <v>44277</v>
      </c>
      <c r="C184" s="76"/>
      <c r="D184" s="49">
        <v>300</v>
      </c>
      <c r="E184" s="49">
        <v>1500</v>
      </c>
      <c r="F184" s="49">
        <v>1000</v>
      </c>
      <c r="G184" s="50">
        <v>3000</v>
      </c>
      <c r="H184" s="50">
        <v>500</v>
      </c>
      <c r="I184" s="50">
        <v>3000</v>
      </c>
      <c r="J184" s="50">
        <v>0</v>
      </c>
      <c r="K184" s="50">
        <v>3000</v>
      </c>
      <c r="L184" s="86"/>
      <c r="M184" s="50">
        <v>500</v>
      </c>
      <c r="N184" s="50">
        <v>500</v>
      </c>
      <c r="O184" s="86"/>
      <c r="P184" s="50">
        <v>0</v>
      </c>
      <c r="Q184" s="50">
        <v>500</v>
      </c>
      <c r="R184" s="50">
        <v>0</v>
      </c>
      <c r="S184" s="50">
        <v>3000</v>
      </c>
      <c r="T184" s="50">
        <v>410</v>
      </c>
      <c r="U184" s="50">
        <v>3000</v>
      </c>
      <c r="V184" s="50">
        <v>3000</v>
      </c>
      <c r="W184" s="50">
        <v>2000</v>
      </c>
      <c r="X184" s="50">
        <v>0</v>
      </c>
      <c r="Y184" s="50">
        <v>0</v>
      </c>
      <c r="Z184" s="50">
        <v>3000</v>
      </c>
      <c r="AA184" s="50">
        <v>3000</v>
      </c>
    </row>
    <row r="185" spans="1:27" x14ac:dyDescent="0.25">
      <c r="A185" s="34">
        <v>43539</v>
      </c>
      <c r="B185" s="56">
        <v>45765</v>
      </c>
      <c r="C185" s="76"/>
      <c r="D185" s="49">
        <v>0</v>
      </c>
      <c r="E185" s="49">
        <v>0</v>
      </c>
      <c r="F185" s="49">
        <v>1000</v>
      </c>
      <c r="G185" s="50">
        <v>3000</v>
      </c>
      <c r="H185" s="50">
        <v>0</v>
      </c>
      <c r="I185" s="50">
        <v>3000</v>
      </c>
      <c r="J185" s="50">
        <v>0</v>
      </c>
      <c r="K185" s="50">
        <v>3000</v>
      </c>
      <c r="L185" s="86"/>
      <c r="M185" s="50">
        <v>500</v>
      </c>
      <c r="N185" s="50">
        <v>500</v>
      </c>
      <c r="O185" s="86"/>
      <c r="P185" s="50">
        <v>0</v>
      </c>
      <c r="Q185" s="50">
        <v>1000</v>
      </c>
      <c r="R185" s="50">
        <v>0</v>
      </c>
      <c r="S185" s="50">
        <v>3000</v>
      </c>
      <c r="T185" s="50">
        <v>1000</v>
      </c>
      <c r="U185" s="50">
        <v>3000</v>
      </c>
      <c r="V185" s="50">
        <v>3000</v>
      </c>
      <c r="W185" s="50">
        <v>2000</v>
      </c>
      <c r="X185" s="50">
        <v>0</v>
      </c>
      <c r="Y185" s="50">
        <v>2000</v>
      </c>
      <c r="Z185" s="50">
        <v>3000</v>
      </c>
      <c r="AA185" s="50">
        <v>3000</v>
      </c>
    </row>
    <row r="186" spans="1:27" x14ac:dyDescent="0.25">
      <c r="A186" s="34">
        <v>43554</v>
      </c>
      <c r="B186" s="56">
        <v>78335</v>
      </c>
      <c r="C186" s="76"/>
      <c r="D186" s="49">
        <v>0</v>
      </c>
      <c r="E186" s="49">
        <v>0</v>
      </c>
      <c r="F186" s="49">
        <v>2000</v>
      </c>
      <c r="G186" s="50">
        <v>3000</v>
      </c>
      <c r="H186" s="50">
        <v>0</v>
      </c>
      <c r="I186" s="50">
        <v>3000</v>
      </c>
      <c r="J186" s="50">
        <v>0</v>
      </c>
      <c r="K186" s="50">
        <v>3000</v>
      </c>
      <c r="L186" s="86"/>
      <c r="M186" s="50">
        <v>500</v>
      </c>
      <c r="N186" s="50">
        <v>500</v>
      </c>
      <c r="O186" s="86"/>
      <c r="P186" s="50">
        <v>0</v>
      </c>
      <c r="Q186" s="50">
        <v>0</v>
      </c>
      <c r="R186" s="50">
        <v>0</v>
      </c>
      <c r="S186" s="50">
        <v>3000</v>
      </c>
      <c r="T186" s="50">
        <v>0</v>
      </c>
      <c r="U186" s="50">
        <v>0</v>
      </c>
      <c r="V186" s="50">
        <v>3000</v>
      </c>
      <c r="W186" s="50">
        <v>2000</v>
      </c>
      <c r="X186" s="50">
        <v>0</v>
      </c>
      <c r="Y186" s="50">
        <v>0</v>
      </c>
      <c r="Z186" s="50">
        <v>3000</v>
      </c>
      <c r="AA186" s="50">
        <v>3000</v>
      </c>
    </row>
    <row r="187" spans="1:27" x14ac:dyDescent="0.25">
      <c r="A187" s="34">
        <v>43570</v>
      </c>
      <c r="B187" s="56">
        <v>38284</v>
      </c>
      <c r="C187" s="76"/>
      <c r="D187" s="49">
        <v>0</v>
      </c>
      <c r="E187" s="49">
        <v>0</v>
      </c>
      <c r="F187" s="49">
        <v>1000</v>
      </c>
      <c r="G187" s="50">
        <v>3000</v>
      </c>
      <c r="H187" s="50">
        <v>0</v>
      </c>
      <c r="I187" s="50">
        <v>3000</v>
      </c>
      <c r="J187" s="50">
        <v>0</v>
      </c>
      <c r="K187" s="50">
        <v>3000</v>
      </c>
      <c r="L187" s="86"/>
      <c r="M187" s="50">
        <v>500</v>
      </c>
      <c r="N187" s="50">
        <v>1000</v>
      </c>
      <c r="O187" s="86"/>
      <c r="P187" s="50">
        <v>0</v>
      </c>
      <c r="Q187" s="50">
        <v>1000</v>
      </c>
      <c r="R187" s="50">
        <v>0</v>
      </c>
      <c r="S187" s="50">
        <v>3000</v>
      </c>
      <c r="T187" s="50">
        <v>0</v>
      </c>
      <c r="U187" s="50">
        <v>3000</v>
      </c>
      <c r="V187" s="50">
        <v>3000</v>
      </c>
      <c r="W187" s="50">
        <v>2000</v>
      </c>
      <c r="X187" s="50">
        <v>0</v>
      </c>
      <c r="Y187" s="50">
        <v>3000</v>
      </c>
      <c r="Z187" s="50">
        <v>3000</v>
      </c>
      <c r="AA187" s="50">
        <v>3000</v>
      </c>
    </row>
    <row r="188" spans="1:27" x14ac:dyDescent="0.25">
      <c r="A188" s="34">
        <v>43585</v>
      </c>
      <c r="B188" s="56">
        <v>38325</v>
      </c>
      <c r="C188" s="76"/>
      <c r="D188" s="49">
        <v>0</v>
      </c>
      <c r="E188" s="49">
        <v>0</v>
      </c>
      <c r="F188" s="49">
        <v>1000</v>
      </c>
      <c r="G188" s="50">
        <v>3000</v>
      </c>
      <c r="H188" s="50">
        <v>0</v>
      </c>
      <c r="I188" s="50">
        <v>3000</v>
      </c>
      <c r="J188" s="50">
        <v>0</v>
      </c>
      <c r="K188" s="50">
        <v>3000</v>
      </c>
      <c r="L188" s="86"/>
      <c r="M188" s="50">
        <v>500</v>
      </c>
      <c r="N188" s="50">
        <v>1000</v>
      </c>
      <c r="O188" s="86"/>
      <c r="P188" s="50">
        <v>0</v>
      </c>
      <c r="Q188" s="50">
        <v>1000</v>
      </c>
      <c r="R188" s="50">
        <v>0</v>
      </c>
      <c r="S188" s="50">
        <v>3000</v>
      </c>
      <c r="T188" s="50">
        <v>0</v>
      </c>
      <c r="U188" s="50">
        <v>3000</v>
      </c>
      <c r="V188" s="50">
        <v>3000</v>
      </c>
      <c r="W188" s="50">
        <v>2000</v>
      </c>
      <c r="X188" s="50">
        <v>0</v>
      </c>
      <c r="Y188" s="50">
        <v>0</v>
      </c>
      <c r="Z188" s="50">
        <v>3000</v>
      </c>
      <c r="AA188" s="50">
        <v>3000</v>
      </c>
    </row>
    <row r="189" spans="1:27" x14ac:dyDescent="0.25">
      <c r="A189" s="34">
        <v>43600</v>
      </c>
      <c r="B189" s="56">
        <v>44383</v>
      </c>
      <c r="C189" s="76"/>
      <c r="D189" s="49">
        <v>0</v>
      </c>
      <c r="E189" s="49">
        <v>0</v>
      </c>
      <c r="F189" s="49">
        <v>1000</v>
      </c>
      <c r="G189" s="50">
        <v>3000</v>
      </c>
      <c r="H189" s="50">
        <v>0</v>
      </c>
      <c r="I189" s="50">
        <v>3000</v>
      </c>
      <c r="J189" s="50">
        <v>0</v>
      </c>
      <c r="K189" s="50">
        <v>3000</v>
      </c>
      <c r="L189" s="86"/>
      <c r="M189" s="50">
        <v>0</v>
      </c>
      <c r="N189" s="50">
        <v>1000</v>
      </c>
      <c r="O189" s="86"/>
      <c r="P189" s="50">
        <v>0</v>
      </c>
      <c r="Q189" s="50">
        <v>1000</v>
      </c>
      <c r="R189" s="50">
        <v>0</v>
      </c>
      <c r="S189" s="50">
        <v>0</v>
      </c>
      <c r="T189" s="50">
        <v>0</v>
      </c>
      <c r="U189" s="50">
        <v>2000</v>
      </c>
      <c r="V189" s="50">
        <v>3000</v>
      </c>
      <c r="W189" s="50">
        <v>2000</v>
      </c>
      <c r="X189" s="50">
        <v>0</v>
      </c>
      <c r="Y189" s="50">
        <v>1000</v>
      </c>
      <c r="Z189" s="50">
        <v>3000</v>
      </c>
      <c r="AA189" s="50">
        <v>3000</v>
      </c>
    </row>
    <row r="190" spans="1:27" ht="15.75" thickBot="1" x14ac:dyDescent="0.3">
      <c r="A190" s="34">
        <v>43615</v>
      </c>
      <c r="B190" s="84">
        <v>50439</v>
      </c>
      <c r="C190" s="59"/>
      <c r="D190" s="65">
        <v>0</v>
      </c>
      <c r="E190" s="65">
        <v>1000</v>
      </c>
      <c r="F190" s="65">
        <v>1000</v>
      </c>
      <c r="G190" s="66">
        <v>3000</v>
      </c>
      <c r="H190" s="89">
        <v>-70667</v>
      </c>
      <c r="I190" s="66">
        <v>0</v>
      </c>
      <c r="J190" s="66">
        <v>-5829</v>
      </c>
      <c r="K190" s="66">
        <v>3000</v>
      </c>
      <c r="L190" s="60"/>
      <c r="M190" s="66">
        <v>500</v>
      </c>
      <c r="N190" s="66">
        <v>1000</v>
      </c>
      <c r="O190" s="60"/>
      <c r="P190" s="66">
        <v>0</v>
      </c>
      <c r="Q190" s="66">
        <v>1000</v>
      </c>
      <c r="R190" s="66">
        <v>0</v>
      </c>
      <c r="S190" s="66">
        <v>0</v>
      </c>
      <c r="T190" s="66">
        <v>0</v>
      </c>
      <c r="U190" s="66">
        <v>0</v>
      </c>
      <c r="V190" s="66">
        <v>3000</v>
      </c>
      <c r="W190" s="66">
        <v>0</v>
      </c>
      <c r="X190" s="66">
        <v>2000</v>
      </c>
      <c r="Y190" s="66">
        <v>0</v>
      </c>
      <c r="Z190" s="66">
        <v>3000</v>
      </c>
      <c r="AA190" s="66">
        <v>3000</v>
      </c>
    </row>
    <row r="191" spans="1:27" ht="15.75" thickBot="1" x14ac:dyDescent="0.3">
      <c r="A191" s="54" t="s">
        <v>7</v>
      </c>
      <c r="B191" s="55">
        <f>SUM(B179:B190)</f>
        <v>613789</v>
      </c>
      <c r="C191" s="55">
        <f>SUM(C179:C190) +C175</f>
        <v>300000</v>
      </c>
      <c r="D191" s="55">
        <f>SUM(D179:D190) +D175</f>
        <v>21210</v>
      </c>
      <c r="E191" s="55">
        <f>SUM(E179:E190) +E175</f>
        <v>62740</v>
      </c>
      <c r="F191" s="55">
        <f t="shared" ref="F191:AA191" si="9">SUM(F179:F190) + F175</f>
        <v>145927</v>
      </c>
      <c r="G191" s="58">
        <f t="shared" si="9"/>
        <v>143733</v>
      </c>
      <c r="H191" s="58">
        <f t="shared" si="9"/>
        <v>0</v>
      </c>
      <c r="I191" s="58">
        <f t="shared" si="9"/>
        <v>273139</v>
      </c>
      <c r="J191" s="58">
        <f t="shared" si="9"/>
        <v>0</v>
      </c>
      <c r="K191" s="58">
        <f t="shared" si="9"/>
        <v>247338</v>
      </c>
      <c r="L191" s="58">
        <f t="shared" si="9"/>
        <v>0</v>
      </c>
      <c r="M191" s="58">
        <f t="shared" si="9"/>
        <v>53065</v>
      </c>
      <c r="N191" s="58">
        <f t="shared" si="9"/>
        <v>58000</v>
      </c>
      <c r="O191" s="58">
        <f t="shared" si="9"/>
        <v>0</v>
      </c>
      <c r="P191" s="58">
        <f t="shared" si="9"/>
        <v>32862</v>
      </c>
      <c r="Q191" s="58">
        <f t="shared" si="9"/>
        <v>14387</v>
      </c>
      <c r="R191" s="58">
        <f t="shared" si="9"/>
        <v>16951</v>
      </c>
      <c r="S191" s="58">
        <f t="shared" si="9"/>
        <v>295092</v>
      </c>
      <c r="T191" s="58">
        <f t="shared" si="9"/>
        <v>12378</v>
      </c>
      <c r="U191" s="58">
        <f t="shared" si="9"/>
        <v>258876</v>
      </c>
      <c r="V191" s="58">
        <f t="shared" si="9"/>
        <v>147040</v>
      </c>
      <c r="W191" s="58">
        <f t="shared" si="9"/>
        <v>50934</v>
      </c>
      <c r="X191" s="58">
        <f t="shared" si="9"/>
        <v>33911</v>
      </c>
      <c r="Y191" s="58">
        <f t="shared" si="9"/>
        <v>38536</v>
      </c>
      <c r="Z191" s="58">
        <f t="shared" si="9"/>
        <v>78590</v>
      </c>
      <c r="AA191" s="58">
        <f t="shared" si="9"/>
        <v>79590</v>
      </c>
    </row>
    <row r="192" spans="1:27" ht="15.75" thickBot="1" x14ac:dyDescent="0.3"/>
    <row r="193" spans="1:25" ht="15.75" thickBot="1" x14ac:dyDescent="0.3">
      <c r="A193" s="35" t="s">
        <v>80</v>
      </c>
    </row>
    <row r="194" spans="1:25" ht="15.75" thickBot="1" x14ac:dyDescent="0.3">
      <c r="A194" s="71" t="s">
        <v>6</v>
      </c>
      <c r="B194" s="72" t="s">
        <v>60</v>
      </c>
      <c r="C194" s="73" t="s">
        <v>24</v>
      </c>
      <c r="D194" s="74" t="s">
        <v>25</v>
      </c>
      <c r="E194" s="74" t="s">
        <v>26</v>
      </c>
      <c r="F194" s="74" t="s">
        <v>27</v>
      </c>
      <c r="G194" s="75" t="s">
        <v>28</v>
      </c>
      <c r="H194" s="75" t="s">
        <v>30</v>
      </c>
      <c r="I194" s="75" t="s">
        <v>32</v>
      </c>
      <c r="J194" s="75" t="s">
        <v>23</v>
      </c>
      <c r="K194" s="75" t="s">
        <v>33</v>
      </c>
      <c r="L194" s="75" t="s">
        <v>34</v>
      </c>
      <c r="M194" s="75" t="s">
        <v>35</v>
      </c>
      <c r="N194" s="75" t="s">
        <v>36</v>
      </c>
      <c r="O194" s="75" t="s">
        <v>37</v>
      </c>
      <c r="P194" s="75" t="s">
        <v>38</v>
      </c>
      <c r="Q194" s="75" t="s">
        <v>39</v>
      </c>
      <c r="R194" s="75" t="s">
        <v>40</v>
      </c>
      <c r="S194" s="75" t="s">
        <v>8</v>
      </c>
      <c r="T194" s="75" t="s">
        <v>0</v>
      </c>
      <c r="U194" s="75" t="s">
        <v>41</v>
      </c>
      <c r="V194" s="75" t="s">
        <v>42</v>
      </c>
      <c r="W194" s="75" t="s">
        <v>43</v>
      </c>
      <c r="X194" s="75" t="s">
        <v>47</v>
      </c>
      <c r="Y194" s="75" t="s">
        <v>81</v>
      </c>
    </row>
    <row r="195" spans="1:25" x14ac:dyDescent="0.25">
      <c r="A195" s="67">
        <v>43631</v>
      </c>
      <c r="B195" s="68">
        <v>51131</v>
      </c>
      <c r="C195" s="85"/>
      <c r="D195" s="69">
        <v>0</v>
      </c>
      <c r="E195" s="69">
        <v>1000</v>
      </c>
      <c r="F195" s="69">
        <v>21000</v>
      </c>
      <c r="G195" s="70">
        <v>3000</v>
      </c>
      <c r="H195" s="70">
        <v>26861</v>
      </c>
      <c r="I195" s="70">
        <v>52662</v>
      </c>
      <c r="J195" s="70">
        <v>500</v>
      </c>
      <c r="K195" s="70">
        <v>11000</v>
      </c>
      <c r="L195" s="94">
        <v>0</v>
      </c>
      <c r="M195" s="70">
        <v>2919</v>
      </c>
      <c r="N195" s="70">
        <v>0</v>
      </c>
      <c r="O195" s="94">
        <v>4908</v>
      </c>
      <c r="P195" s="70">
        <v>2611</v>
      </c>
      <c r="Q195" s="70">
        <v>41124</v>
      </c>
      <c r="R195" s="70">
        <v>18000</v>
      </c>
      <c r="S195" s="70">
        <v>13235</v>
      </c>
      <c r="T195" s="70">
        <v>7543</v>
      </c>
      <c r="U195" s="70">
        <v>8662</v>
      </c>
      <c r="V195" s="70">
        <v>18367</v>
      </c>
      <c r="W195" s="70">
        <v>18618</v>
      </c>
      <c r="X195" s="70">
        <v>0</v>
      </c>
      <c r="Y195" s="91">
        <v>43631</v>
      </c>
    </row>
    <row r="196" spans="1:25" x14ac:dyDescent="0.25">
      <c r="A196" s="34">
        <v>43646</v>
      </c>
      <c r="B196" s="56">
        <v>31582</v>
      </c>
      <c r="C196" s="76"/>
      <c r="D196" s="49">
        <v>0</v>
      </c>
      <c r="E196" s="49">
        <v>500</v>
      </c>
      <c r="F196" s="49">
        <v>3000</v>
      </c>
      <c r="G196" s="50">
        <v>3000</v>
      </c>
      <c r="H196" s="86"/>
      <c r="I196" s="86"/>
      <c r="J196" s="50">
        <v>0</v>
      </c>
      <c r="K196" s="50">
        <v>1000</v>
      </c>
      <c r="L196" s="95">
        <v>0</v>
      </c>
      <c r="M196" s="50">
        <v>1000</v>
      </c>
      <c r="N196" s="50">
        <v>0</v>
      </c>
      <c r="O196" s="86"/>
      <c r="P196" s="50">
        <v>500</v>
      </c>
      <c r="Q196" s="86"/>
      <c r="R196" s="50">
        <v>3000</v>
      </c>
      <c r="S196" s="50">
        <v>3000</v>
      </c>
      <c r="T196" s="50">
        <v>0</v>
      </c>
      <c r="U196" s="50">
        <v>0</v>
      </c>
      <c r="V196" s="50">
        <v>3000</v>
      </c>
      <c r="W196" s="50">
        <v>3000</v>
      </c>
      <c r="X196" s="50">
        <v>0</v>
      </c>
      <c r="Y196" s="92">
        <v>43646</v>
      </c>
    </row>
    <row r="197" spans="1:25" x14ac:dyDescent="0.25">
      <c r="A197" s="34">
        <v>43661</v>
      </c>
      <c r="B197" s="56">
        <v>42510</v>
      </c>
      <c r="C197" s="76"/>
      <c r="D197" s="49">
        <v>0</v>
      </c>
      <c r="E197" s="49">
        <v>0</v>
      </c>
      <c r="F197" s="49">
        <v>2000</v>
      </c>
      <c r="G197" s="50">
        <v>3000</v>
      </c>
      <c r="H197" s="86"/>
      <c r="I197" s="86"/>
      <c r="J197" s="50">
        <v>500</v>
      </c>
      <c r="K197" s="50">
        <v>1000</v>
      </c>
      <c r="L197" s="95">
        <v>500</v>
      </c>
      <c r="M197" s="50">
        <v>1000</v>
      </c>
      <c r="N197" s="50">
        <v>0</v>
      </c>
      <c r="O197" s="86"/>
      <c r="P197" s="50">
        <v>0</v>
      </c>
      <c r="Q197" s="86"/>
      <c r="R197" s="50">
        <v>3000</v>
      </c>
      <c r="S197" s="50">
        <v>3000</v>
      </c>
      <c r="T197" s="50">
        <v>0</v>
      </c>
      <c r="U197" s="50">
        <v>500</v>
      </c>
      <c r="V197" s="50">
        <v>3000</v>
      </c>
      <c r="W197" s="50">
        <v>3000</v>
      </c>
      <c r="X197" s="50">
        <v>5000</v>
      </c>
      <c r="Y197" s="92">
        <v>43661</v>
      </c>
    </row>
    <row r="198" spans="1:25" x14ac:dyDescent="0.25">
      <c r="A198" s="34">
        <v>43676</v>
      </c>
      <c r="B198" s="56">
        <v>41880</v>
      </c>
      <c r="C198" s="76"/>
      <c r="D198" s="49">
        <v>0</v>
      </c>
      <c r="E198" s="49">
        <v>1500</v>
      </c>
      <c r="F198" s="49">
        <v>1000</v>
      </c>
      <c r="G198" s="50">
        <v>3000</v>
      </c>
      <c r="H198" s="86"/>
      <c r="I198" s="86"/>
      <c r="J198" s="50">
        <v>0</v>
      </c>
      <c r="K198" s="50">
        <v>1000</v>
      </c>
      <c r="L198" s="95">
        <v>500</v>
      </c>
      <c r="M198" s="50">
        <v>0</v>
      </c>
      <c r="N198" s="50">
        <v>0</v>
      </c>
      <c r="O198" s="86"/>
      <c r="P198" s="50">
        <v>0</v>
      </c>
      <c r="Q198" s="86"/>
      <c r="R198" s="50">
        <v>3000</v>
      </c>
      <c r="S198" s="50">
        <v>3000</v>
      </c>
      <c r="T198" s="50">
        <v>0</v>
      </c>
      <c r="U198" s="50">
        <v>500</v>
      </c>
      <c r="V198" s="50">
        <v>3000</v>
      </c>
      <c r="W198" s="50">
        <v>3000</v>
      </c>
      <c r="X198" s="50">
        <v>500</v>
      </c>
      <c r="Y198" s="92">
        <v>43676</v>
      </c>
    </row>
    <row r="199" spans="1:25" x14ac:dyDescent="0.25">
      <c r="A199" s="34">
        <v>43692</v>
      </c>
      <c r="B199" s="56">
        <v>72881</v>
      </c>
      <c r="C199" s="76"/>
      <c r="D199" s="49">
        <v>0</v>
      </c>
      <c r="E199" s="49">
        <v>1000</v>
      </c>
      <c r="F199" s="49">
        <v>1000</v>
      </c>
      <c r="G199" s="50">
        <v>3000</v>
      </c>
      <c r="H199" s="86"/>
      <c r="I199" s="86"/>
      <c r="J199" s="50">
        <v>500</v>
      </c>
      <c r="K199" s="50">
        <v>1000</v>
      </c>
      <c r="L199" s="95">
        <v>500</v>
      </c>
      <c r="M199" s="50">
        <v>0</v>
      </c>
      <c r="N199" s="50">
        <v>3000</v>
      </c>
      <c r="O199" s="86"/>
      <c r="P199" s="50">
        <v>500</v>
      </c>
      <c r="Q199" s="86"/>
      <c r="R199" s="50">
        <v>3000</v>
      </c>
      <c r="S199" s="50">
        <v>3000</v>
      </c>
      <c r="T199" s="50">
        <v>0</v>
      </c>
      <c r="U199" s="50">
        <v>500</v>
      </c>
      <c r="V199" s="50">
        <v>3000</v>
      </c>
      <c r="W199" s="50">
        <v>3000</v>
      </c>
      <c r="X199" s="50">
        <v>500</v>
      </c>
      <c r="Y199" s="92">
        <v>43692</v>
      </c>
    </row>
    <row r="200" spans="1:25" x14ac:dyDescent="0.25">
      <c r="A200" s="34">
        <v>43707</v>
      </c>
      <c r="B200" s="56">
        <v>60478</v>
      </c>
      <c r="C200" s="76"/>
      <c r="D200" s="49">
        <v>0</v>
      </c>
      <c r="E200" s="49">
        <v>1000</v>
      </c>
      <c r="F200" s="49">
        <v>1000</v>
      </c>
      <c r="G200" s="50">
        <v>3000</v>
      </c>
      <c r="H200" s="86"/>
      <c r="I200" s="86"/>
      <c r="J200" s="50">
        <v>0</v>
      </c>
      <c r="K200" s="50">
        <v>1000</v>
      </c>
      <c r="L200" s="95">
        <v>0</v>
      </c>
      <c r="M200" s="50">
        <v>1000</v>
      </c>
      <c r="N200" s="50">
        <v>3000</v>
      </c>
      <c r="O200" s="86"/>
      <c r="P200" s="50">
        <v>0</v>
      </c>
      <c r="Q200" s="86"/>
      <c r="R200" s="50">
        <v>3000</v>
      </c>
      <c r="S200" s="50">
        <v>3000</v>
      </c>
      <c r="T200" s="50">
        <v>0</v>
      </c>
      <c r="U200" s="50">
        <v>500</v>
      </c>
      <c r="V200" s="50">
        <v>3000</v>
      </c>
      <c r="W200" s="50">
        <v>3000</v>
      </c>
      <c r="X200" s="50">
        <v>500</v>
      </c>
      <c r="Y200" s="92">
        <v>43707</v>
      </c>
    </row>
    <row r="201" spans="1:25" x14ac:dyDescent="0.25">
      <c r="A201" s="34">
        <v>43723</v>
      </c>
      <c r="B201" s="56">
        <v>41179</v>
      </c>
      <c r="C201" s="76"/>
      <c r="D201" s="49">
        <v>0</v>
      </c>
      <c r="E201" s="49">
        <v>0</v>
      </c>
      <c r="F201" s="49">
        <v>1000</v>
      </c>
      <c r="G201" s="50">
        <v>3000</v>
      </c>
      <c r="H201" s="86"/>
      <c r="I201" s="86"/>
      <c r="J201" s="50">
        <v>500</v>
      </c>
      <c r="K201" s="50">
        <v>1000</v>
      </c>
      <c r="L201" s="95">
        <v>0</v>
      </c>
      <c r="M201" s="50">
        <v>0</v>
      </c>
      <c r="N201" s="50">
        <v>3000</v>
      </c>
      <c r="O201" s="86"/>
      <c r="P201" s="50">
        <v>0</v>
      </c>
      <c r="Q201" s="86"/>
      <c r="R201" s="50">
        <v>3000</v>
      </c>
      <c r="S201" s="50">
        <v>3000</v>
      </c>
      <c r="T201" s="50">
        <v>0</v>
      </c>
      <c r="U201" s="50">
        <v>0</v>
      </c>
      <c r="V201" s="50">
        <v>3000</v>
      </c>
      <c r="W201" s="50">
        <v>3000</v>
      </c>
      <c r="X201" s="50">
        <v>500</v>
      </c>
      <c r="Y201" s="92">
        <v>43723</v>
      </c>
    </row>
    <row r="202" spans="1:25" x14ac:dyDescent="0.25">
      <c r="A202" s="34">
        <v>43738</v>
      </c>
      <c r="B202" s="56">
        <v>31353</v>
      </c>
      <c r="C202" s="76"/>
      <c r="D202" s="49">
        <v>0</v>
      </c>
      <c r="E202" s="49">
        <v>0</v>
      </c>
      <c r="F202" s="49">
        <v>1000</v>
      </c>
      <c r="G202" s="50">
        <v>3000</v>
      </c>
      <c r="H202" s="86"/>
      <c r="I202" s="86"/>
      <c r="J202" s="50">
        <v>0</v>
      </c>
      <c r="K202" s="50">
        <v>1000</v>
      </c>
      <c r="L202" s="95">
        <v>500</v>
      </c>
      <c r="M202" s="50">
        <v>1000</v>
      </c>
      <c r="N202" s="50">
        <v>3000</v>
      </c>
      <c r="O202" s="86"/>
      <c r="P202" s="50">
        <v>0</v>
      </c>
      <c r="Q202" s="86"/>
      <c r="R202" s="50">
        <v>3000</v>
      </c>
      <c r="S202" s="50">
        <v>3000</v>
      </c>
      <c r="T202" s="50">
        <v>0</v>
      </c>
      <c r="U202" s="50">
        <v>0</v>
      </c>
      <c r="V202" s="50">
        <v>3000</v>
      </c>
      <c r="W202" s="50">
        <v>3000</v>
      </c>
      <c r="X202" s="50">
        <v>1500</v>
      </c>
      <c r="Y202" s="92">
        <v>43738</v>
      </c>
    </row>
    <row r="203" spans="1:25" x14ac:dyDescent="0.25">
      <c r="A203" s="34">
        <v>43753</v>
      </c>
      <c r="B203" s="56">
        <v>42751</v>
      </c>
      <c r="C203" s="76"/>
      <c r="D203" s="49">
        <v>0</v>
      </c>
      <c r="E203" s="49">
        <v>500</v>
      </c>
      <c r="F203" s="49">
        <v>1000</v>
      </c>
      <c r="G203" s="50">
        <v>3000</v>
      </c>
      <c r="H203" s="86"/>
      <c r="I203" s="86"/>
      <c r="J203" s="50">
        <v>500</v>
      </c>
      <c r="K203" s="50">
        <v>1000</v>
      </c>
      <c r="L203" s="95">
        <v>0</v>
      </c>
      <c r="M203" s="50">
        <v>2000</v>
      </c>
      <c r="N203" s="50">
        <v>3000</v>
      </c>
      <c r="O203" s="86"/>
      <c r="P203" s="50">
        <v>0</v>
      </c>
      <c r="Q203" s="86"/>
      <c r="R203" s="50">
        <v>3000</v>
      </c>
      <c r="S203" s="50">
        <v>1000</v>
      </c>
      <c r="T203" s="50">
        <v>0</v>
      </c>
      <c r="U203" s="50">
        <v>0</v>
      </c>
      <c r="V203" s="50">
        <v>3000</v>
      </c>
      <c r="W203" s="50">
        <v>3000</v>
      </c>
      <c r="X203" s="50">
        <v>500</v>
      </c>
      <c r="Y203" s="92">
        <v>43753</v>
      </c>
    </row>
    <row r="204" spans="1:25" x14ac:dyDescent="0.25">
      <c r="A204" s="34">
        <v>43768</v>
      </c>
      <c r="B204" s="56">
        <v>42594</v>
      </c>
      <c r="C204" s="76"/>
      <c r="D204" s="49">
        <v>0</v>
      </c>
      <c r="E204" s="49">
        <v>500</v>
      </c>
      <c r="F204" s="49">
        <v>1000</v>
      </c>
      <c r="G204" s="50">
        <v>3000</v>
      </c>
      <c r="H204" s="86"/>
      <c r="I204" s="86"/>
      <c r="J204" s="50">
        <v>0</v>
      </c>
      <c r="K204" s="50">
        <v>1000</v>
      </c>
      <c r="L204" s="95">
        <v>500</v>
      </c>
      <c r="M204" s="50">
        <v>1000</v>
      </c>
      <c r="N204" s="50">
        <v>3000</v>
      </c>
      <c r="O204" s="86"/>
      <c r="P204" s="50">
        <v>0</v>
      </c>
      <c r="Q204" s="86"/>
      <c r="R204" s="50">
        <v>3000</v>
      </c>
      <c r="S204" s="50">
        <v>2000</v>
      </c>
      <c r="T204" s="50">
        <v>0</v>
      </c>
      <c r="U204" s="50">
        <v>0</v>
      </c>
      <c r="V204" s="50">
        <v>3000</v>
      </c>
      <c r="W204" s="50">
        <v>500</v>
      </c>
      <c r="X204" s="50">
        <v>500</v>
      </c>
      <c r="Y204" s="92">
        <v>43768</v>
      </c>
    </row>
    <row r="205" spans="1:25" x14ac:dyDescent="0.25">
      <c r="A205" s="34">
        <v>43784</v>
      </c>
      <c r="B205" s="56">
        <v>78012</v>
      </c>
      <c r="C205" s="76"/>
      <c r="D205" s="49">
        <v>0</v>
      </c>
      <c r="E205" s="49">
        <v>500</v>
      </c>
      <c r="F205" s="49">
        <v>2000</v>
      </c>
      <c r="G205" s="50">
        <v>3000</v>
      </c>
      <c r="H205" s="86"/>
      <c r="I205" s="86"/>
      <c r="J205" s="50">
        <v>500</v>
      </c>
      <c r="K205" s="50">
        <v>1000</v>
      </c>
      <c r="L205" s="95">
        <v>0</v>
      </c>
      <c r="M205" s="50">
        <v>1000</v>
      </c>
      <c r="N205" s="50">
        <v>3000</v>
      </c>
      <c r="O205" s="86"/>
      <c r="P205" s="50">
        <v>0</v>
      </c>
      <c r="Q205" s="86"/>
      <c r="R205" s="50">
        <v>3000</v>
      </c>
      <c r="S205" s="50">
        <v>1000</v>
      </c>
      <c r="T205" s="50">
        <v>0</v>
      </c>
      <c r="U205" s="50">
        <v>0</v>
      </c>
      <c r="V205" s="50">
        <v>3000</v>
      </c>
      <c r="W205" s="50">
        <v>500</v>
      </c>
      <c r="X205" s="50">
        <v>1000</v>
      </c>
      <c r="Y205" s="92">
        <v>43784</v>
      </c>
    </row>
    <row r="206" spans="1:25" ht="15.75" thickBot="1" x14ac:dyDescent="0.3">
      <c r="A206" s="34">
        <v>43799</v>
      </c>
      <c r="B206" s="84">
        <v>46407</v>
      </c>
      <c r="C206" s="59"/>
      <c r="D206" s="65">
        <v>0</v>
      </c>
      <c r="E206" s="65">
        <v>1000</v>
      </c>
      <c r="F206" s="65">
        <v>1000</v>
      </c>
      <c r="G206" s="66">
        <v>3000</v>
      </c>
      <c r="H206" s="60"/>
      <c r="I206" s="60"/>
      <c r="J206" s="66">
        <v>500</v>
      </c>
      <c r="K206" s="66">
        <v>1000</v>
      </c>
      <c r="L206" s="66">
        <v>500</v>
      </c>
      <c r="M206" s="66">
        <v>1000</v>
      </c>
      <c r="N206" s="66">
        <v>2000</v>
      </c>
      <c r="O206" s="60"/>
      <c r="P206" s="66">
        <v>0</v>
      </c>
      <c r="Q206" s="60"/>
      <c r="R206" s="66">
        <v>3000</v>
      </c>
      <c r="S206" s="66">
        <v>3000</v>
      </c>
      <c r="T206" s="66">
        <v>0</v>
      </c>
      <c r="U206" s="66">
        <v>0</v>
      </c>
      <c r="V206" s="66">
        <v>3000</v>
      </c>
      <c r="W206" s="66">
        <v>500</v>
      </c>
      <c r="X206" s="66">
        <v>0</v>
      </c>
      <c r="Y206" s="93">
        <v>43799</v>
      </c>
    </row>
    <row r="207" spans="1:25" ht="15.75" thickBot="1" x14ac:dyDescent="0.3">
      <c r="A207" s="54" t="s">
        <v>7</v>
      </c>
      <c r="B207" s="55">
        <f>SUM(B195:B206)</f>
        <v>582758</v>
      </c>
      <c r="C207" s="55">
        <f>SUM(C195:C206) +C191</f>
        <v>300000</v>
      </c>
      <c r="D207" s="55">
        <f>SUM(D195:D206)</f>
        <v>0</v>
      </c>
      <c r="E207" s="55">
        <f>SUM(E195:E206) +E192</f>
        <v>7500</v>
      </c>
      <c r="F207" s="55">
        <f>SUM(F195:F206) + F192</f>
        <v>36000</v>
      </c>
      <c r="G207" s="58">
        <f>SUM(G195:G206) + G192</f>
        <v>36000</v>
      </c>
      <c r="H207" s="58">
        <f t="shared" ref="H207" si="10">SUM(H195:H206) + H191</f>
        <v>26861</v>
      </c>
      <c r="I207" s="58">
        <f>SUM(I195:I206) + I192</f>
        <v>52662</v>
      </c>
      <c r="J207" s="58">
        <f t="shared" ref="J207" si="11">SUM(J195:J206) + J191</f>
        <v>3500</v>
      </c>
      <c r="K207" s="58">
        <f>SUM(K195:K206) + K192</f>
        <v>22000</v>
      </c>
      <c r="L207" s="58">
        <f t="shared" ref="L207" si="12">SUM(L195:L206) + L191</f>
        <v>3000</v>
      </c>
      <c r="M207" s="58">
        <f t="shared" ref="M207:X207" si="13">SUM(M195:M206) + M192</f>
        <v>11919</v>
      </c>
      <c r="N207" s="58">
        <f t="shared" si="13"/>
        <v>23000</v>
      </c>
      <c r="O207" s="58">
        <f t="shared" si="13"/>
        <v>4908</v>
      </c>
      <c r="P207" s="58">
        <f t="shared" si="13"/>
        <v>3611</v>
      </c>
      <c r="Q207" s="58">
        <f t="shared" si="13"/>
        <v>41124</v>
      </c>
      <c r="R207" s="58">
        <f t="shared" si="13"/>
        <v>51000</v>
      </c>
      <c r="S207" s="58">
        <f t="shared" si="13"/>
        <v>41235</v>
      </c>
      <c r="T207" s="58">
        <f t="shared" si="13"/>
        <v>7543</v>
      </c>
      <c r="U207" s="58">
        <f t="shared" si="13"/>
        <v>10662</v>
      </c>
      <c r="V207" s="58">
        <f t="shared" si="13"/>
        <v>51367</v>
      </c>
      <c r="W207" s="58">
        <f t="shared" si="13"/>
        <v>44118</v>
      </c>
      <c r="X207" s="58">
        <f t="shared" si="13"/>
        <v>10500</v>
      </c>
      <c r="Y207" s="90" t="s">
        <v>82</v>
      </c>
    </row>
    <row r="208" spans="1:25" ht="15.75" thickBot="1" x14ac:dyDescent="0.3"/>
    <row r="209" spans="1:26" ht="15.75" thickBot="1" x14ac:dyDescent="0.3">
      <c r="A209" s="35" t="s">
        <v>83</v>
      </c>
    </row>
    <row r="210" spans="1:26" ht="15.75" thickBot="1" x14ac:dyDescent="0.3">
      <c r="A210" s="71" t="s">
        <v>6</v>
      </c>
      <c r="B210" s="72" t="s">
        <v>60</v>
      </c>
      <c r="C210" s="73" t="s">
        <v>24</v>
      </c>
      <c r="D210" s="74" t="s">
        <v>25</v>
      </c>
      <c r="E210" s="74" t="s">
        <v>26</v>
      </c>
      <c r="F210" s="74" t="s">
        <v>27</v>
      </c>
      <c r="G210" s="75" t="s">
        <v>84</v>
      </c>
      <c r="H210" s="75" t="s">
        <v>30</v>
      </c>
      <c r="I210" s="75" t="s">
        <v>32</v>
      </c>
      <c r="J210" s="75" t="s">
        <v>23</v>
      </c>
      <c r="K210" s="75" t="s">
        <v>33</v>
      </c>
      <c r="L210" s="75" t="s">
        <v>34</v>
      </c>
      <c r="M210" s="75" t="s">
        <v>35</v>
      </c>
      <c r="N210" s="75" t="s">
        <v>36</v>
      </c>
      <c r="O210" s="75" t="s">
        <v>37</v>
      </c>
      <c r="P210" s="75" t="s">
        <v>38</v>
      </c>
      <c r="Q210" s="75" t="s">
        <v>39</v>
      </c>
      <c r="R210" s="75" t="s">
        <v>40</v>
      </c>
      <c r="S210" s="75" t="s">
        <v>8</v>
      </c>
      <c r="T210" s="75" t="s">
        <v>0</v>
      </c>
      <c r="U210" s="75" t="s">
        <v>41</v>
      </c>
      <c r="V210" s="75" t="s">
        <v>42</v>
      </c>
      <c r="W210" s="75" t="s">
        <v>43</v>
      </c>
      <c r="X210" s="75" t="s">
        <v>47</v>
      </c>
      <c r="Y210" s="75" t="s">
        <v>85</v>
      </c>
      <c r="Z210" s="75" t="s">
        <v>81</v>
      </c>
    </row>
    <row r="211" spans="1:26" x14ac:dyDescent="0.25">
      <c r="A211" s="67">
        <v>44180</v>
      </c>
      <c r="B211" s="68">
        <v>58080</v>
      </c>
      <c r="C211" s="85"/>
      <c r="D211" s="69">
        <v>0</v>
      </c>
      <c r="E211" s="69">
        <v>500</v>
      </c>
      <c r="F211" s="69">
        <v>1000</v>
      </c>
      <c r="G211" s="70">
        <v>3000</v>
      </c>
      <c r="H211" s="70"/>
      <c r="I211" s="70"/>
      <c r="J211" s="70">
        <v>500</v>
      </c>
      <c r="K211" s="70">
        <v>1000</v>
      </c>
      <c r="L211" s="94">
        <v>0</v>
      </c>
      <c r="M211" s="70">
        <v>4124</v>
      </c>
      <c r="N211" s="70">
        <v>3918</v>
      </c>
      <c r="O211" s="77"/>
      <c r="P211" s="70">
        <v>2091</v>
      </c>
      <c r="Q211" s="77"/>
      <c r="R211" s="70">
        <v>23000</v>
      </c>
      <c r="S211" s="70">
        <v>3000</v>
      </c>
      <c r="T211" s="70">
        <v>0</v>
      </c>
      <c r="U211" s="70">
        <v>0</v>
      </c>
      <c r="V211" s="70">
        <v>3000</v>
      </c>
      <c r="W211" s="70">
        <v>500</v>
      </c>
      <c r="X211" s="70">
        <v>500</v>
      </c>
      <c r="Y211" s="77"/>
      <c r="Z211" s="91">
        <v>41988</v>
      </c>
    </row>
    <row r="212" spans="1:26" x14ac:dyDescent="0.25">
      <c r="A212" s="34">
        <v>44195</v>
      </c>
      <c r="B212" s="56">
        <v>44914</v>
      </c>
      <c r="C212" s="76"/>
      <c r="D212" s="49">
        <v>0</v>
      </c>
      <c r="E212" s="49">
        <v>500</v>
      </c>
      <c r="F212" s="49">
        <v>1000</v>
      </c>
      <c r="G212" s="50">
        <v>3000</v>
      </c>
      <c r="H212" s="86"/>
      <c r="I212" s="86"/>
      <c r="J212" s="50">
        <v>0</v>
      </c>
      <c r="K212" s="50">
        <v>1000</v>
      </c>
      <c r="L212" s="95">
        <v>500</v>
      </c>
      <c r="M212" s="50">
        <v>1000</v>
      </c>
      <c r="N212" s="50">
        <v>1000</v>
      </c>
      <c r="O212" s="86"/>
      <c r="P212" s="50">
        <v>0</v>
      </c>
      <c r="Q212" s="86"/>
      <c r="R212" s="50">
        <v>3000</v>
      </c>
      <c r="S212" s="50">
        <v>3000</v>
      </c>
      <c r="T212" s="50">
        <v>0</v>
      </c>
      <c r="U212" s="50">
        <v>3000</v>
      </c>
      <c r="V212" s="50">
        <v>3000</v>
      </c>
      <c r="W212" s="50">
        <v>500</v>
      </c>
      <c r="X212" s="50">
        <v>0</v>
      </c>
      <c r="Y212" s="86"/>
      <c r="Z212" s="92">
        <v>42003</v>
      </c>
    </row>
    <row r="213" spans="1:26" x14ac:dyDescent="0.25">
      <c r="A213" s="34">
        <v>43845</v>
      </c>
      <c r="B213" s="56">
        <v>72718</v>
      </c>
      <c r="C213" s="76"/>
      <c r="D213" s="49">
        <v>500</v>
      </c>
      <c r="E213" s="49">
        <v>500</v>
      </c>
      <c r="F213" s="49">
        <v>500</v>
      </c>
      <c r="G213" s="50">
        <v>3000</v>
      </c>
      <c r="H213" s="86"/>
      <c r="I213" s="86"/>
      <c r="J213" s="50">
        <v>500</v>
      </c>
      <c r="K213" s="50">
        <v>1000</v>
      </c>
      <c r="L213" s="95">
        <v>500</v>
      </c>
      <c r="M213" s="50">
        <v>0</v>
      </c>
      <c r="N213" s="50">
        <v>0</v>
      </c>
      <c r="O213" s="86"/>
      <c r="P213" s="50">
        <v>0</v>
      </c>
      <c r="Q213" s="86"/>
      <c r="R213" s="50">
        <v>3000</v>
      </c>
      <c r="S213" s="50">
        <v>3000</v>
      </c>
      <c r="T213" s="50">
        <v>0</v>
      </c>
      <c r="U213" s="50">
        <v>0</v>
      </c>
      <c r="V213" s="50">
        <v>3000</v>
      </c>
      <c r="W213" s="50">
        <v>500</v>
      </c>
      <c r="X213" s="50">
        <v>1000</v>
      </c>
      <c r="Y213" s="86"/>
      <c r="Z213" s="92">
        <v>41654</v>
      </c>
    </row>
    <row r="214" spans="1:26" x14ac:dyDescent="0.25">
      <c r="A214" s="34">
        <v>43860</v>
      </c>
      <c r="B214" s="56">
        <v>82105</v>
      </c>
      <c r="C214" s="76"/>
      <c r="D214" s="49">
        <v>0</v>
      </c>
      <c r="E214" s="49">
        <v>500</v>
      </c>
      <c r="F214" s="49">
        <v>1000</v>
      </c>
      <c r="G214" s="50">
        <v>3000</v>
      </c>
      <c r="H214" s="86"/>
      <c r="I214" s="86"/>
      <c r="J214" s="50">
        <v>500</v>
      </c>
      <c r="K214" s="50">
        <v>1000</v>
      </c>
      <c r="L214" s="95">
        <v>0</v>
      </c>
      <c r="M214" s="50">
        <v>0</v>
      </c>
      <c r="N214" s="50">
        <v>0</v>
      </c>
      <c r="O214" s="86"/>
      <c r="P214" s="50">
        <v>0</v>
      </c>
      <c r="Q214" s="86"/>
      <c r="R214" s="50">
        <v>3000</v>
      </c>
      <c r="S214" s="50">
        <v>3000</v>
      </c>
      <c r="T214" s="50">
        <v>0</v>
      </c>
      <c r="U214" s="50">
        <v>3000</v>
      </c>
      <c r="V214" s="50">
        <v>3000</v>
      </c>
      <c r="W214" s="50">
        <v>500</v>
      </c>
      <c r="X214" s="50">
        <v>500</v>
      </c>
      <c r="Y214" s="50">
        <v>5000</v>
      </c>
      <c r="Z214" s="92">
        <v>41304</v>
      </c>
    </row>
    <row r="215" spans="1:26" x14ac:dyDescent="0.25">
      <c r="A215" s="34">
        <v>43876</v>
      </c>
      <c r="B215" s="56">
        <v>65537</v>
      </c>
      <c r="C215" s="76"/>
      <c r="D215" s="49">
        <v>115</v>
      </c>
      <c r="E215" s="49">
        <v>500</v>
      </c>
      <c r="F215" s="49">
        <v>1000</v>
      </c>
      <c r="G215" s="50">
        <v>3000</v>
      </c>
      <c r="H215" s="86"/>
      <c r="I215" s="86"/>
      <c r="J215" s="50">
        <v>500</v>
      </c>
      <c r="K215" s="50">
        <v>1000</v>
      </c>
      <c r="L215" s="95">
        <v>500</v>
      </c>
      <c r="M215" s="50">
        <v>1000</v>
      </c>
      <c r="N215" s="50">
        <v>0</v>
      </c>
      <c r="O215" s="86"/>
      <c r="P215" s="50">
        <v>300</v>
      </c>
      <c r="Q215" s="86"/>
      <c r="R215" s="50">
        <v>3000</v>
      </c>
      <c r="S215" s="50">
        <v>3000</v>
      </c>
      <c r="T215" s="50">
        <v>500</v>
      </c>
      <c r="U215" s="50">
        <v>0</v>
      </c>
      <c r="V215" s="50">
        <v>3000</v>
      </c>
      <c r="W215" s="50">
        <v>500</v>
      </c>
      <c r="X215" s="50">
        <v>500</v>
      </c>
      <c r="Y215" s="50">
        <v>2000</v>
      </c>
      <c r="Z215" s="92">
        <v>41320</v>
      </c>
    </row>
    <row r="216" spans="1:26" x14ac:dyDescent="0.25">
      <c r="A216" s="34">
        <v>43889</v>
      </c>
      <c r="B216" s="56">
        <v>72109</v>
      </c>
      <c r="C216" s="76"/>
      <c r="D216" s="49">
        <v>0</v>
      </c>
      <c r="E216" s="49">
        <v>500</v>
      </c>
      <c r="F216" s="49">
        <v>1000</v>
      </c>
      <c r="G216" s="50">
        <v>3000</v>
      </c>
      <c r="H216" s="86"/>
      <c r="I216" s="86"/>
      <c r="J216" s="50">
        <v>500</v>
      </c>
      <c r="K216" s="50">
        <v>1000</v>
      </c>
      <c r="L216" s="95">
        <v>500</v>
      </c>
      <c r="M216" s="50">
        <v>1000</v>
      </c>
      <c r="N216" s="50">
        <v>0</v>
      </c>
      <c r="O216" s="86"/>
      <c r="P216" s="50">
        <v>0</v>
      </c>
      <c r="Q216" s="86"/>
      <c r="R216" s="50">
        <v>0</v>
      </c>
      <c r="S216" s="50">
        <v>3000</v>
      </c>
      <c r="T216" s="50">
        <v>500</v>
      </c>
      <c r="U216" s="50">
        <v>0</v>
      </c>
      <c r="V216" s="50">
        <v>3000</v>
      </c>
      <c r="W216" s="50">
        <v>0</v>
      </c>
      <c r="X216" s="50">
        <v>1000</v>
      </c>
      <c r="Y216" s="50">
        <v>2000</v>
      </c>
      <c r="Z216" s="92">
        <v>41333</v>
      </c>
    </row>
    <row r="217" spans="1:26" x14ac:dyDescent="0.25">
      <c r="A217" s="34">
        <v>43905</v>
      </c>
      <c r="B217" s="56">
        <v>49508</v>
      </c>
      <c r="C217" s="76"/>
      <c r="D217" s="49">
        <v>0</v>
      </c>
      <c r="E217" s="49">
        <v>500</v>
      </c>
      <c r="F217" s="49">
        <v>500</v>
      </c>
      <c r="G217" s="50">
        <v>3000</v>
      </c>
      <c r="H217" s="86"/>
      <c r="I217" s="86"/>
      <c r="J217" s="50">
        <v>500</v>
      </c>
      <c r="K217" s="50">
        <v>1000</v>
      </c>
      <c r="L217" s="95">
        <v>0</v>
      </c>
      <c r="M217" s="50">
        <v>1000</v>
      </c>
      <c r="N217" s="50">
        <v>0</v>
      </c>
      <c r="O217" s="86"/>
      <c r="P217" s="50">
        <v>0</v>
      </c>
      <c r="Q217" s="86"/>
      <c r="R217" s="50">
        <v>0</v>
      </c>
      <c r="S217" s="50">
        <v>3000</v>
      </c>
      <c r="T217" s="50">
        <v>500</v>
      </c>
      <c r="U217" s="50">
        <v>0</v>
      </c>
      <c r="V217" s="50">
        <v>3000</v>
      </c>
      <c r="W217" s="50">
        <v>500</v>
      </c>
      <c r="X217" s="50">
        <v>1000</v>
      </c>
      <c r="Y217" s="50">
        <v>2000</v>
      </c>
      <c r="Z217" s="92">
        <v>41348</v>
      </c>
    </row>
    <row r="218" spans="1:26" x14ac:dyDescent="0.25">
      <c r="A218" s="34">
        <v>43920</v>
      </c>
      <c r="B218" s="56">
        <v>6164</v>
      </c>
      <c r="C218" s="76"/>
      <c r="D218" s="49">
        <v>0</v>
      </c>
      <c r="E218" s="49">
        <v>0</v>
      </c>
      <c r="F218" s="49">
        <v>1000</v>
      </c>
      <c r="G218" s="50">
        <v>3000</v>
      </c>
      <c r="H218" s="86"/>
      <c r="I218" s="86"/>
      <c r="J218" s="50">
        <v>1000</v>
      </c>
      <c r="K218" s="50">
        <v>1000</v>
      </c>
      <c r="L218" s="95">
        <v>1000</v>
      </c>
      <c r="M218" s="50">
        <v>0</v>
      </c>
      <c r="N218" s="50">
        <v>0</v>
      </c>
      <c r="O218" s="86"/>
      <c r="P218" s="50">
        <v>0</v>
      </c>
      <c r="Q218" s="86"/>
      <c r="R218" s="50">
        <v>0</v>
      </c>
      <c r="S218" s="50">
        <v>3000</v>
      </c>
      <c r="T218" s="50">
        <v>0</v>
      </c>
      <c r="U218" s="50">
        <v>0</v>
      </c>
      <c r="V218" s="50">
        <v>3000</v>
      </c>
      <c r="W218" s="50">
        <v>0</v>
      </c>
      <c r="X218" s="50">
        <v>1000</v>
      </c>
      <c r="Y218" s="50">
        <v>2000</v>
      </c>
      <c r="Z218" s="92">
        <v>41363</v>
      </c>
    </row>
    <row r="219" spans="1:26" x14ac:dyDescent="0.25">
      <c r="A219" s="34">
        <v>43936</v>
      </c>
      <c r="B219" s="56">
        <v>4514</v>
      </c>
      <c r="C219" s="76"/>
      <c r="D219" s="49">
        <v>0</v>
      </c>
      <c r="E219" s="49">
        <v>0</v>
      </c>
      <c r="F219" s="49">
        <v>0</v>
      </c>
      <c r="G219" s="50">
        <v>3000</v>
      </c>
      <c r="H219" s="86"/>
      <c r="I219" s="86"/>
      <c r="J219" s="50">
        <v>0</v>
      </c>
      <c r="K219" s="50">
        <v>1000</v>
      </c>
      <c r="L219" s="95">
        <v>0</v>
      </c>
      <c r="M219" s="50">
        <v>0</v>
      </c>
      <c r="N219" s="50">
        <v>0</v>
      </c>
      <c r="O219" s="86"/>
      <c r="P219" s="50">
        <v>0</v>
      </c>
      <c r="Q219" s="86"/>
      <c r="R219" s="50">
        <v>0</v>
      </c>
      <c r="S219" s="50">
        <v>0</v>
      </c>
      <c r="T219" s="50">
        <v>0</v>
      </c>
      <c r="U219" s="50">
        <v>0</v>
      </c>
      <c r="V219" s="50">
        <v>3000</v>
      </c>
      <c r="W219" s="50">
        <v>0</v>
      </c>
      <c r="X219" s="50">
        <v>3000</v>
      </c>
      <c r="Y219" s="50">
        <v>0</v>
      </c>
      <c r="Z219" s="92">
        <v>41379</v>
      </c>
    </row>
    <row r="220" spans="1:26" x14ac:dyDescent="0.25">
      <c r="A220" s="34">
        <v>43951</v>
      </c>
      <c r="B220" s="56">
        <v>16702</v>
      </c>
      <c r="C220" s="76"/>
      <c r="D220" s="49">
        <v>0</v>
      </c>
      <c r="E220" s="49">
        <v>2000</v>
      </c>
      <c r="F220" s="49">
        <v>0</v>
      </c>
      <c r="G220" s="50">
        <v>3000</v>
      </c>
      <c r="H220" s="86"/>
      <c r="I220" s="86"/>
      <c r="J220" s="50">
        <v>0</v>
      </c>
      <c r="K220" s="50">
        <v>1000</v>
      </c>
      <c r="L220" s="95">
        <v>1000</v>
      </c>
      <c r="M220" s="50">
        <v>0</v>
      </c>
      <c r="N220" s="50">
        <v>0</v>
      </c>
      <c r="O220" s="86"/>
      <c r="P220" s="50">
        <v>0</v>
      </c>
      <c r="Q220" s="86"/>
      <c r="R220" s="50">
        <v>0</v>
      </c>
      <c r="S220" s="50">
        <v>0</v>
      </c>
      <c r="T220" s="50">
        <v>0</v>
      </c>
      <c r="U220" s="50">
        <v>0</v>
      </c>
      <c r="V220" s="50">
        <v>3000</v>
      </c>
      <c r="W220" s="50">
        <v>0</v>
      </c>
      <c r="X220" s="50">
        <v>3000</v>
      </c>
      <c r="Y220" s="50">
        <v>2000</v>
      </c>
      <c r="Z220" s="92">
        <v>41394</v>
      </c>
    </row>
    <row r="221" spans="1:26" x14ac:dyDescent="0.25">
      <c r="A221" s="34">
        <v>43966</v>
      </c>
      <c r="B221" s="56">
        <v>5114</v>
      </c>
      <c r="C221" s="76"/>
      <c r="D221" s="49">
        <v>0</v>
      </c>
      <c r="E221" s="49">
        <v>0</v>
      </c>
      <c r="F221" s="49">
        <v>0</v>
      </c>
      <c r="G221" s="50">
        <v>3000</v>
      </c>
      <c r="H221" s="86"/>
      <c r="I221" s="86"/>
      <c r="J221" s="50">
        <v>0</v>
      </c>
      <c r="K221" s="50">
        <v>1000</v>
      </c>
      <c r="L221" s="95">
        <v>0</v>
      </c>
      <c r="M221" s="50">
        <v>0</v>
      </c>
      <c r="N221" s="50">
        <v>0</v>
      </c>
      <c r="O221" s="86"/>
      <c r="P221" s="50">
        <v>0</v>
      </c>
      <c r="Q221" s="86"/>
      <c r="R221" s="50">
        <v>0</v>
      </c>
      <c r="S221" s="50">
        <v>0</v>
      </c>
      <c r="T221" s="50">
        <v>0</v>
      </c>
      <c r="U221" s="50">
        <v>0</v>
      </c>
      <c r="V221" s="50">
        <v>3000</v>
      </c>
      <c r="W221" s="50">
        <v>0</v>
      </c>
      <c r="X221" s="50">
        <v>3000</v>
      </c>
      <c r="Y221" s="50">
        <v>0</v>
      </c>
      <c r="Z221" s="92">
        <v>41409</v>
      </c>
    </row>
    <row r="222" spans="1:26" ht="15.75" thickBot="1" x14ac:dyDescent="0.3">
      <c r="A222" s="34">
        <v>43981</v>
      </c>
      <c r="B222" s="84">
        <v>27366</v>
      </c>
      <c r="C222" s="59"/>
      <c r="D222" s="65">
        <v>0</v>
      </c>
      <c r="E222" s="65">
        <v>1000</v>
      </c>
      <c r="F222" s="65">
        <v>1000</v>
      </c>
      <c r="G222" s="66">
        <v>3000</v>
      </c>
      <c r="H222" s="60"/>
      <c r="I222" s="60"/>
      <c r="J222" s="66">
        <v>0</v>
      </c>
      <c r="K222" s="66">
        <v>1000</v>
      </c>
      <c r="L222" s="66">
        <v>0</v>
      </c>
      <c r="M222" s="66">
        <v>0</v>
      </c>
      <c r="N222" s="66">
        <v>0</v>
      </c>
      <c r="O222" s="60"/>
      <c r="P222" s="66">
        <v>0</v>
      </c>
      <c r="Q222" s="60"/>
      <c r="R222" s="66">
        <v>0</v>
      </c>
      <c r="S222" s="66">
        <v>3000</v>
      </c>
      <c r="T222" s="66">
        <v>2000</v>
      </c>
      <c r="U222" s="66">
        <v>400</v>
      </c>
      <c r="V222" s="66">
        <v>3000</v>
      </c>
      <c r="W222" s="66">
        <v>0</v>
      </c>
      <c r="X222" s="66">
        <v>3000</v>
      </c>
      <c r="Y222" s="66">
        <v>2000</v>
      </c>
      <c r="Z222" s="93">
        <v>41424</v>
      </c>
    </row>
    <row r="223" spans="1:26" ht="15.75" thickBot="1" x14ac:dyDescent="0.3">
      <c r="A223" s="54" t="s">
        <v>7</v>
      </c>
      <c r="B223" s="55">
        <f>SUM(B211:B222)</f>
        <v>504831</v>
      </c>
      <c r="C223" s="55">
        <f>SUM(C211:C222) +C208</f>
        <v>0</v>
      </c>
      <c r="D223" s="55">
        <f>SUM(D211:D222)</f>
        <v>615</v>
      </c>
      <c r="E223" s="55">
        <f>SUM(E211:E222) +E207</f>
        <v>14000</v>
      </c>
      <c r="F223" s="55">
        <f>SUM(F211:F222) + F207</f>
        <v>44000</v>
      </c>
      <c r="G223" s="58">
        <f>SUM(G211:G222) + G207</f>
        <v>72000</v>
      </c>
      <c r="H223" s="58">
        <f t="shared" ref="H223" si="14">SUM(H211:H222) + H207</f>
        <v>26861</v>
      </c>
      <c r="I223" s="58">
        <f>SUM(I211:I222) + I207</f>
        <v>52662</v>
      </c>
      <c r="J223" s="58">
        <f t="shared" ref="J223" si="15">SUM(J211:J222) + J207</f>
        <v>7500</v>
      </c>
      <c r="K223" s="58">
        <f>SUM(K211:K222) + K207</f>
        <v>34000</v>
      </c>
      <c r="L223" s="58">
        <f t="shared" ref="L223" si="16">SUM(L211:L222) + L207</f>
        <v>7000</v>
      </c>
      <c r="M223" s="58">
        <f>SUM(M211:M222) + M207</f>
        <v>20043</v>
      </c>
      <c r="N223" s="58">
        <f>SUM(N211:N222) + N207</f>
        <v>27918</v>
      </c>
      <c r="O223" s="58">
        <f>SUM(O211:O222) + O207</f>
        <v>4908</v>
      </c>
      <c r="P223" s="88">
        <f>SUM(P211:P222) + P207 -18380</f>
        <v>-12378</v>
      </c>
      <c r="Q223" s="58">
        <f t="shared" ref="Q223:X223" si="17">SUM(Q211:Q222) + Q207</f>
        <v>41124</v>
      </c>
      <c r="R223" s="58">
        <f t="shared" si="17"/>
        <v>86000</v>
      </c>
      <c r="S223" s="58">
        <f t="shared" si="17"/>
        <v>68235</v>
      </c>
      <c r="T223" s="58">
        <f t="shared" si="17"/>
        <v>11043</v>
      </c>
      <c r="U223" s="58">
        <f t="shared" si="17"/>
        <v>17062</v>
      </c>
      <c r="V223" s="58">
        <f t="shared" si="17"/>
        <v>87367</v>
      </c>
      <c r="W223" s="58">
        <f t="shared" si="17"/>
        <v>47118</v>
      </c>
      <c r="X223" s="58">
        <f t="shared" si="17"/>
        <v>28000</v>
      </c>
      <c r="Y223" s="58">
        <f>SUM(Y211:Y222) + Y208</f>
        <v>17000</v>
      </c>
      <c r="Z223" s="90" t="s">
        <v>82</v>
      </c>
    </row>
    <row r="224" spans="1:26" ht="15.75" thickBot="1" x14ac:dyDescent="0.3"/>
    <row r="225" spans="1:26" ht="15.75" thickBot="1" x14ac:dyDescent="0.3">
      <c r="A225" s="35" t="s">
        <v>86</v>
      </c>
    </row>
    <row r="226" spans="1:26" ht="15.75" thickBot="1" x14ac:dyDescent="0.3">
      <c r="A226" s="71" t="s">
        <v>6</v>
      </c>
      <c r="B226" s="72" t="s">
        <v>60</v>
      </c>
      <c r="C226" s="73" t="s">
        <v>24</v>
      </c>
      <c r="D226" s="74" t="s">
        <v>25</v>
      </c>
      <c r="E226" s="74" t="s">
        <v>26</v>
      </c>
      <c r="F226" s="74" t="s">
        <v>27</v>
      </c>
      <c r="G226" s="75" t="s">
        <v>84</v>
      </c>
      <c r="H226" s="75" t="s">
        <v>30</v>
      </c>
      <c r="I226" s="75" t="s">
        <v>32</v>
      </c>
      <c r="J226" s="75" t="s">
        <v>23</v>
      </c>
      <c r="K226" s="75" t="s">
        <v>33</v>
      </c>
      <c r="L226" s="75" t="s">
        <v>34</v>
      </c>
      <c r="M226" s="75" t="s">
        <v>35</v>
      </c>
      <c r="N226" s="75" t="s">
        <v>36</v>
      </c>
      <c r="O226" s="75" t="s">
        <v>37</v>
      </c>
      <c r="P226" s="97" t="s">
        <v>61</v>
      </c>
      <c r="Q226" s="75" t="s">
        <v>39</v>
      </c>
      <c r="R226" s="75" t="s">
        <v>40</v>
      </c>
      <c r="S226" s="75" t="s">
        <v>8</v>
      </c>
      <c r="T226" s="75" t="s">
        <v>0</v>
      </c>
      <c r="U226" s="97" t="s">
        <v>41</v>
      </c>
      <c r="V226" s="75" t="s">
        <v>42</v>
      </c>
      <c r="W226" s="75" t="s">
        <v>43</v>
      </c>
      <c r="X226" s="75" t="s">
        <v>47</v>
      </c>
      <c r="Y226" s="75" t="s">
        <v>85</v>
      </c>
      <c r="Z226" s="75" t="s">
        <v>81</v>
      </c>
    </row>
    <row r="227" spans="1:26" x14ac:dyDescent="0.25">
      <c r="A227" s="67">
        <v>43997</v>
      </c>
      <c r="B227" s="68">
        <v>75958</v>
      </c>
      <c r="C227" s="85"/>
      <c r="D227" s="69">
        <v>2894</v>
      </c>
      <c r="E227" s="69">
        <v>2540</v>
      </c>
      <c r="F227" s="69">
        <v>1000</v>
      </c>
      <c r="G227" s="70">
        <v>3000</v>
      </c>
      <c r="H227" s="77"/>
      <c r="I227" s="77"/>
      <c r="J227" s="70">
        <v>500</v>
      </c>
      <c r="K227" s="70">
        <v>1000</v>
      </c>
      <c r="L227" s="94">
        <v>500</v>
      </c>
      <c r="M227" s="70">
        <v>2000</v>
      </c>
      <c r="N227" s="70">
        <v>6920</v>
      </c>
      <c r="O227" s="77"/>
      <c r="P227" s="77"/>
      <c r="Q227" s="77"/>
      <c r="R227" s="96">
        <v>-193040</v>
      </c>
      <c r="S227" s="70">
        <v>3000</v>
      </c>
      <c r="T227" s="70">
        <v>6513</v>
      </c>
      <c r="U227" s="70">
        <v>0</v>
      </c>
      <c r="V227" s="70">
        <v>3000</v>
      </c>
      <c r="W227" s="70">
        <v>0</v>
      </c>
      <c r="X227" s="70">
        <v>2147</v>
      </c>
      <c r="Y227" s="94">
        <v>2000</v>
      </c>
      <c r="Z227" s="91">
        <v>43997</v>
      </c>
    </row>
    <row r="228" spans="1:26" x14ac:dyDescent="0.25">
      <c r="A228" s="34">
        <v>44012</v>
      </c>
      <c r="B228" s="56">
        <v>54565</v>
      </c>
      <c r="C228" s="76"/>
      <c r="D228" s="49">
        <v>0</v>
      </c>
      <c r="E228" s="49">
        <v>1000</v>
      </c>
      <c r="F228" s="49">
        <v>1000</v>
      </c>
      <c r="G228" s="50">
        <v>3000</v>
      </c>
      <c r="H228" s="86"/>
      <c r="I228" s="86"/>
      <c r="J228" s="50">
        <v>500</v>
      </c>
      <c r="K228" s="50">
        <v>1000</v>
      </c>
      <c r="L228" s="95">
        <v>500</v>
      </c>
      <c r="M228" s="50">
        <v>1000</v>
      </c>
      <c r="N228" s="50">
        <v>0</v>
      </c>
      <c r="O228" s="86"/>
      <c r="P228" s="86"/>
      <c r="Q228" s="86"/>
      <c r="R228" s="50">
        <v>0</v>
      </c>
      <c r="S228" s="50">
        <v>3000</v>
      </c>
      <c r="T228" s="50">
        <v>500</v>
      </c>
      <c r="U228" s="50">
        <v>0</v>
      </c>
      <c r="V228" s="50">
        <v>3000</v>
      </c>
      <c r="W228" s="50">
        <v>0</v>
      </c>
      <c r="X228" s="50">
        <v>1000</v>
      </c>
      <c r="Y228" s="95">
        <v>2000</v>
      </c>
      <c r="Z228" s="92">
        <v>44012</v>
      </c>
    </row>
    <row r="229" spans="1:26" x14ac:dyDescent="0.25">
      <c r="A229" s="34">
        <v>44027</v>
      </c>
      <c r="B229" s="56">
        <v>47271</v>
      </c>
      <c r="C229" s="76"/>
      <c r="D229" s="49">
        <v>0</v>
      </c>
      <c r="E229" s="49">
        <v>1000</v>
      </c>
      <c r="F229" s="49">
        <v>500</v>
      </c>
      <c r="G229" s="50">
        <v>3000</v>
      </c>
      <c r="H229" s="86"/>
      <c r="I229" s="86"/>
      <c r="J229" s="50">
        <v>500</v>
      </c>
      <c r="K229" s="50">
        <v>1000</v>
      </c>
      <c r="L229" s="95">
        <v>0</v>
      </c>
      <c r="M229" s="50">
        <v>1000</v>
      </c>
      <c r="N229" s="50">
        <v>0</v>
      </c>
      <c r="O229" s="86"/>
      <c r="P229" s="86"/>
      <c r="Q229" s="86"/>
      <c r="R229" s="50">
        <v>0</v>
      </c>
      <c r="S229" s="50">
        <v>3000</v>
      </c>
      <c r="T229" s="50">
        <v>500</v>
      </c>
      <c r="U229" s="50">
        <v>500</v>
      </c>
      <c r="V229" s="50">
        <v>3000</v>
      </c>
      <c r="W229" s="50">
        <v>0</v>
      </c>
      <c r="X229" s="50">
        <v>1000</v>
      </c>
      <c r="Y229" s="95">
        <v>1000</v>
      </c>
      <c r="Z229" s="92">
        <v>44027</v>
      </c>
    </row>
    <row r="230" spans="1:26" x14ac:dyDescent="0.25">
      <c r="A230" s="34">
        <v>44042</v>
      </c>
      <c r="B230" s="56">
        <v>40484</v>
      </c>
      <c r="C230" s="76"/>
      <c r="D230" s="49">
        <v>0</v>
      </c>
      <c r="E230" s="49">
        <v>1000</v>
      </c>
      <c r="F230" s="49">
        <v>500</v>
      </c>
      <c r="G230" s="50">
        <v>3000</v>
      </c>
      <c r="H230" s="86"/>
      <c r="I230" s="86"/>
      <c r="J230" s="50">
        <v>500</v>
      </c>
      <c r="K230" s="50">
        <v>1000</v>
      </c>
      <c r="L230" s="95">
        <v>500</v>
      </c>
      <c r="M230" s="50">
        <v>1000</v>
      </c>
      <c r="N230" s="50">
        <v>0</v>
      </c>
      <c r="O230" s="86"/>
      <c r="P230" s="86"/>
      <c r="Q230" s="86"/>
      <c r="R230" s="50">
        <v>0</v>
      </c>
      <c r="S230" s="50">
        <v>3000</v>
      </c>
      <c r="T230" s="50">
        <v>500</v>
      </c>
      <c r="U230" s="50">
        <v>0</v>
      </c>
      <c r="V230" s="50">
        <v>3000</v>
      </c>
      <c r="W230" s="50">
        <v>0</v>
      </c>
      <c r="X230" s="50">
        <v>500</v>
      </c>
      <c r="Y230" s="50">
        <v>2000</v>
      </c>
      <c r="Z230" s="92">
        <v>44042</v>
      </c>
    </row>
    <row r="231" spans="1:26" x14ac:dyDescent="0.25">
      <c r="A231" s="34">
        <v>44058</v>
      </c>
      <c r="B231" s="56">
        <v>42435</v>
      </c>
      <c r="C231" s="76"/>
      <c r="D231" s="49">
        <v>0</v>
      </c>
      <c r="E231" s="49">
        <v>3000</v>
      </c>
      <c r="F231" s="49">
        <v>500</v>
      </c>
      <c r="G231" s="50">
        <v>3000</v>
      </c>
      <c r="H231" s="86"/>
      <c r="I231" s="86"/>
      <c r="J231" s="50">
        <v>500</v>
      </c>
      <c r="K231" s="50">
        <v>1000</v>
      </c>
      <c r="L231" s="95">
        <v>500</v>
      </c>
      <c r="M231" s="50">
        <v>1000</v>
      </c>
      <c r="N231" s="50">
        <v>0</v>
      </c>
      <c r="O231" s="86"/>
      <c r="P231" s="86"/>
      <c r="Q231" s="86"/>
      <c r="R231" s="50">
        <v>0</v>
      </c>
      <c r="S231" s="50">
        <v>3000</v>
      </c>
      <c r="T231" s="50">
        <v>500</v>
      </c>
      <c r="U231" s="50">
        <v>0</v>
      </c>
      <c r="V231" s="50">
        <v>3000</v>
      </c>
      <c r="W231" s="50">
        <v>0</v>
      </c>
      <c r="X231" s="50">
        <v>500</v>
      </c>
      <c r="Y231" s="50">
        <v>2000</v>
      </c>
      <c r="Z231" s="92">
        <v>44058</v>
      </c>
    </row>
    <row r="232" spans="1:26" x14ac:dyDescent="0.25">
      <c r="A232" s="34">
        <v>44073</v>
      </c>
      <c r="B232" s="56">
        <v>43348</v>
      </c>
      <c r="C232" s="76"/>
      <c r="D232" s="49">
        <v>0</v>
      </c>
      <c r="E232" s="49">
        <v>3000</v>
      </c>
      <c r="F232" s="49">
        <v>500</v>
      </c>
      <c r="G232" s="50">
        <v>3000</v>
      </c>
      <c r="H232" s="86"/>
      <c r="I232" s="86"/>
      <c r="J232" s="50">
        <v>500</v>
      </c>
      <c r="K232" s="50">
        <v>1000</v>
      </c>
      <c r="L232" s="95">
        <v>0</v>
      </c>
      <c r="M232" s="50">
        <v>1000</v>
      </c>
      <c r="N232" s="50">
        <v>0</v>
      </c>
      <c r="O232" s="86"/>
      <c r="P232" s="86"/>
      <c r="Q232" s="86"/>
      <c r="R232" s="50">
        <v>0</v>
      </c>
      <c r="S232" s="50">
        <v>3000</v>
      </c>
      <c r="T232" s="50">
        <v>500</v>
      </c>
      <c r="U232" s="50">
        <v>-56098</v>
      </c>
      <c r="V232" s="50">
        <v>3000</v>
      </c>
      <c r="W232" s="50">
        <v>0</v>
      </c>
      <c r="X232" s="50">
        <v>0</v>
      </c>
      <c r="Y232" s="50">
        <v>2000</v>
      </c>
      <c r="Z232" s="92">
        <v>44073</v>
      </c>
    </row>
    <row r="233" spans="1:26" x14ac:dyDescent="0.25">
      <c r="A233" s="34">
        <v>44089</v>
      </c>
      <c r="B233" s="56">
        <v>52689</v>
      </c>
      <c r="C233" s="76"/>
      <c r="D233" s="49">
        <v>0</v>
      </c>
      <c r="E233" s="49">
        <v>3000</v>
      </c>
      <c r="F233" s="49">
        <v>500</v>
      </c>
      <c r="G233" s="50">
        <v>3000</v>
      </c>
      <c r="H233" s="86"/>
      <c r="I233" s="86"/>
      <c r="J233" s="50">
        <v>500</v>
      </c>
      <c r="K233" s="50">
        <v>1000</v>
      </c>
      <c r="L233" s="95">
        <v>500</v>
      </c>
      <c r="M233" s="50">
        <v>1000</v>
      </c>
      <c r="N233" s="50">
        <v>0</v>
      </c>
      <c r="O233" s="86"/>
      <c r="P233" s="86"/>
      <c r="Q233" s="86"/>
      <c r="R233" s="50">
        <v>0</v>
      </c>
      <c r="S233" s="50">
        <v>3000</v>
      </c>
      <c r="T233" s="50">
        <v>500</v>
      </c>
      <c r="U233" s="86"/>
      <c r="V233" s="50">
        <v>3000</v>
      </c>
      <c r="W233" s="50">
        <v>0</v>
      </c>
      <c r="X233" s="50">
        <v>1500</v>
      </c>
      <c r="Y233" s="50">
        <v>2000</v>
      </c>
      <c r="Z233" s="92">
        <v>44089</v>
      </c>
    </row>
    <row r="234" spans="1:26" x14ac:dyDescent="0.25">
      <c r="A234" s="34">
        <v>44104</v>
      </c>
      <c r="B234" s="56">
        <v>50639</v>
      </c>
      <c r="C234" s="76"/>
      <c r="D234" s="49">
        <v>0</v>
      </c>
      <c r="E234" s="49">
        <v>3000</v>
      </c>
      <c r="F234" s="49">
        <v>500</v>
      </c>
      <c r="G234" s="50">
        <v>3000</v>
      </c>
      <c r="H234" s="86"/>
      <c r="I234" s="86"/>
      <c r="J234" s="50">
        <v>500</v>
      </c>
      <c r="K234" s="50">
        <v>1000</v>
      </c>
      <c r="L234" s="95">
        <v>500</v>
      </c>
      <c r="M234" s="50">
        <v>1000</v>
      </c>
      <c r="N234" s="50">
        <v>0</v>
      </c>
      <c r="O234" s="86"/>
      <c r="P234" s="86"/>
      <c r="Q234" s="86"/>
      <c r="R234" s="50">
        <v>0</v>
      </c>
      <c r="S234" s="50">
        <v>1000</v>
      </c>
      <c r="T234" s="50">
        <v>500</v>
      </c>
      <c r="U234" s="86"/>
      <c r="V234" s="50">
        <v>3000</v>
      </c>
      <c r="W234" s="50">
        <v>500</v>
      </c>
      <c r="X234" s="50">
        <v>500</v>
      </c>
      <c r="Y234" s="50">
        <v>2000</v>
      </c>
      <c r="Z234" s="92">
        <v>44104</v>
      </c>
    </row>
    <row r="235" spans="1:26" x14ac:dyDescent="0.25">
      <c r="A235" s="34">
        <v>44119</v>
      </c>
      <c r="B235" s="56">
        <v>45363</v>
      </c>
      <c r="C235" s="76"/>
      <c r="D235" s="49">
        <v>0</v>
      </c>
      <c r="E235" s="49">
        <v>0</v>
      </c>
      <c r="F235" s="49">
        <v>500</v>
      </c>
      <c r="G235" s="50">
        <v>3000</v>
      </c>
      <c r="H235" s="86"/>
      <c r="I235" s="86"/>
      <c r="J235" s="50">
        <v>0</v>
      </c>
      <c r="K235" s="50">
        <v>1000</v>
      </c>
      <c r="L235" s="95">
        <v>500</v>
      </c>
      <c r="M235" s="50">
        <v>1000</v>
      </c>
      <c r="N235" s="50">
        <v>0</v>
      </c>
      <c r="O235" s="86"/>
      <c r="P235" s="86"/>
      <c r="Q235" s="86"/>
      <c r="R235" s="50">
        <v>0</v>
      </c>
      <c r="S235" s="50">
        <v>3000</v>
      </c>
      <c r="T235" s="50">
        <v>500</v>
      </c>
      <c r="U235" s="86"/>
      <c r="V235" s="50">
        <v>3000</v>
      </c>
      <c r="W235" s="50">
        <v>0</v>
      </c>
      <c r="X235" s="50">
        <v>0</v>
      </c>
      <c r="Y235" s="50">
        <v>2000</v>
      </c>
      <c r="Z235" s="92">
        <v>44119</v>
      </c>
    </row>
    <row r="236" spans="1:26" x14ac:dyDescent="0.25">
      <c r="A236" s="34">
        <v>44134</v>
      </c>
      <c r="B236" s="56">
        <v>53301</v>
      </c>
      <c r="C236" s="76"/>
      <c r="D236" s="49">
        <v>0</v>
      </c>
      <c r="E236" s="49">
        <v>3000</v>
      </c>
      <c r="F236" s="49">
        <v>500</v>
      </c>
      <c r="G236" s="50">
        <v>3000</v>
      </c>
      <c r="H236" s="86"/>
      <c r="I236" s="86"/>
      <c r="J236" s="50">
        <v>500</v>
      </c>
      <c r="K236" s="50">
        <v>1000</v>
      </c>
      <c r="L236" s="95">
        <v>500</v>
      </c>
      <c r="M236" s="50">
        <v>1000</v>
      </c>
      <c r="N236" s="50">
        <v>0</v>
      </c>
      <c r="O236" s="86"/>
      <c r="P236" s="86"/>
      <c r="Q236" s="86"/>
      <c r="R236" s="50">
        <v>0</v>
      </c>
      <c r="S236" s="50">
        <v>3000</v>
      </c>
      <c r="T236" s="50">
        <v>500</v>
      </c>
      <c r="U236" s="86"/>
      <c r="V236" s="50">
        <v>3000</v>
      </c>
      <c r="W236" s="50">
        <v>0</v>
      </c>
      <c r="X236" s="50">
        <v>700</v>
      </c>
      <c r="Y236" s="50">
        <v>2000</v>
      </c>
      <c r="Z236" s="92">
        <v>44134</v>
      </c>
    </row>
    <row r="237" spans="1:26" x14ac:dyDescent="0.25">
      <c r="A237" s="34">
        <v>44150</v>
      </c>
      <c r="B237" s="56">
        <v>61050</v>
      </c>
      <c r="C237" s="76"/>
      <c r="D237" s="49">
        <v>0</v>
      </c>
      <c r="E237" s="49">
        <v>3000</v>
      </c>
      <c r="F237" s="49">
        <v>500</v>
      </c>
      <c r="G237" s="50">
        <v>3000</v>
      </c>
      <c r="H237" s="86"/>
      <c r="I237" s="86"/>
      <c r="J237" s="50">
        <v>500</v>
      </c>
      <c r="K237" s="50">
        <v>1000</v>
      </c>
      <c r="L237" s="95">
        <v>500</v>
      </c>
      <c r="M237" s="50">
        <v>1000</v>
      </c>
      <c r="N237" s="50">
        <v>0</v>
      </c>
      <c r="O237" s="86"/>
      <c r="P237" s="86"/>
      <c r="Q237" s="86"/>
      <c r="R237" s="50">
        <v>0</v>
      </c>
      <c r="S237" s="50">
        <v>3000</v>
      </c>
      <c r="T237" s="50">
        <v>500</v>
      </c>
      <c r="U237" s="86"/>
      <c r="V237" s="50">
        <v>3000</v>
      </c>
      <c r="W237" s="50">
        <v>0</v>
      </c>
      <c r="X237" s="50">
        <v>1000</v>
      </c>
      <c r="Y237" s="50">
        <v>2000</v>
      </c>
      <c r="Z237" s="92">
        <v>44150</v>
      </c>
    </row>
    <row r="238" spans="1:26" ht="15.75" thickBot="1" x14ac:dyDescent="0.3">
      <c r="A238" s="34">
        <v>44165</v>
      </c>
      <c r="B238" s="84">
        <v>42949</v>
      </c>
      <c r="C238" s="59"/>
      <c r="D238" s="65">
        <v>0</v>
      </c>
      <c r="E238" s="65">
        <v>3000</v>
      </c>
      <c r="F238" s="65">
        <v>500</v>
      </c>
      <c r="G238" s="66">
        <v>3000</v>
      </c>
      <c r="H238" s="60"/>
      <c r="I238" s="60"/>
      <c r="J238" s="66">
        <v>500</v>
      </c>
      <c r="K238" s="66">
        <v>1000</v>
      </c>
      <c r="L238" s="66">
        <v>500</v>
      </c>
      <c r="M238" s="66">
        <v>1000</v>
      </c>
      <c r="N238" s="66">
        <v>0</v>
      </c>
      <c r="O238" s="60"/>
      <c r="P238" s="60"/>
      <c r="Q238" s="60"/>
      <c r="R238" s="66">
        <v>0</v>
      </c>
      <c r="S238" s="66">
        <v>3000</v>
      </c>
      <c r="T238" s="66">
        <v>2000</v>
      </c>
      <c r="U238" s="60"/>
      <c r="V238" s="66">
        <v>3000</v>
      </c>
      <c r="W238" s="66">
        <v>0</v>
      </c>
      <c r="X238" s="66">
        <v>500</v>
      </c>
      <c r="Y238" s="66">
        <v>0</v>
      </c>
      <c r="Z238" s="93">
        <v>44165</v>
      </c>
    </row>
    <row r="239" spans="1:26" ht="15.75" thickBot="1" x14ac:dyDescent="0.3">
      <c r="A239" s="54" t="s">
        <v>7</v>
      </c>
      <c r="B239" s="55">
        <f>SUM(B227:B238)</f>
        <v>610052</v>
      </c>
      <c r="C239" s="55">
        <f>SUM(C227:C238) +C224</f>
        <v>0</v>
      </c>
      <c r="D239" s="55">
        <f>SUM(D227:D238) + D223</f>
        <v>3509</v>
      </c>
      <c r="E239" s="55">
        <f>SUM(E227:E238) +E223</f>
        <v>40540</v>
      </c>
      <c r="F239" s="55">
        <f>SUM(F227:F238) + F223</f>
        <v>51000</v>
      </c>
      <c r="G239" s="58">
        <f>SUM(G227:G238) + G223</f>
        <v>108000</v>
      </c>
      <c r="H239" s="58">
        <f t="shared" ref="H239" si="18">SUM(H227:H238) + H223</f>
        <v>26861</v>
      </c>
      <c r="I239" s="58">
        <f>SUM(I227:I238) + I223</f>
        <v>52662</v>
      </c>
      <c r="J239" s="58">
        <f t="shared" ref="J239" si="19">SUM(J227:J238) + J223</f>
        <v>13000</v>
      </c>
      <c r="K239" s="58">
        <f>SUM(K227:K238) + K223</f>
        <v>46000</v>
      </c>
      <c r="L239" s="58">
        <f t="shared" ref="L239" si="20">SUM(L227:L238) + L223</f>
        <v>12000</v>
      </c>
      <c r="M239" s="58">
        <f t="shared" ref="M239:Y239" si="21">SUM(M227:M238) + M223</f>
        <v>33043</v>
      </c>
      <c r="N239" s="58">
        <f t="shared" si="21"/>
        <v>34838</v>
      </c>
      <c r="O239" s="58">
        <f t="shared" si="21"/>
        <v>4908</v>
      </c>
      <c r="P239" s="58">
        <f t="shared" si="21"/>
        <v>-12378</v>
      </c>
      <c r="Q239" s="58">
        <f t="shared" si="21"/>
        <v>41124</v>
      </c>
      <c r="R239" s="58">
        <f t="shared" si="21"/>
        <v>-107040</v>
      </c>
      <c r="S239" s="58">
        <f t="shared" si="21"/>
        <v>102235</v>
      </c>
      <c r="T239" s="58">
        <f t="shared" si="21"/>
        <v>24556</v>
      </c>
      <c r="U239" s="58">
        <f t="shared" si="21"/>
        <v>-38536</v>
      </c>
      <c r="V239" s="58">
        <f t="shared" si="21"/>
        <v>123367</v>
      </c>
      <c r="W239" s="58">
        <f t="shared" si="21"/>
        <v>47618</v>
      </c>
      <c r="X239" s="58">
        <f t="shared" si="21"/>
        <v>37347</v>
      </c>
      <c r="Y239" s="58">
        <f t="shared" si="21"/>
        <v>38000</v>
      </c>
      <c r="Z239" s="90" t="s">
        <v>82</v>
      </c>
    </row>
    <row r="240" spans="1:26" ht="15.75" thickBot="1" x14ac:dyDescent="0.3"/>
    <row r="241" spans="1:20" ht="15.75" thickBot="1" x14ac:dyDescent="0.3">
      <c r="A241" s="35" t="s">
        <v>87</v>
      </c>
    </row>
    <row r="242" spans="1:20" ht="15.75" thickBot="1" x14ac:dyDescent="0.3">
      <c r="A242" s="71" t="s">
        <v>6</v>
      </c>
      <c r="B242" s="72" t="s">
        <v>60</v>
      </c>
      <c r="C242" s="73" t="s">
        <v>25</v>
      </c>
      <c r="D242" s="74" t="s">
        <v>26</v>
      </c>
      <c r="E242" s="74" t="s">
        <v>27</v>
      </c>
      <c r="F242" s="74" t="s">
        <v>84</v>
      </c>
      <c r="G242" s="75" t="s">
        <v>23</v>
      </c>
      <c r="H242" s="75" t="s">
        <v>33</v>
      </c>
      <c r="I242" s="75" t="s">
        <v>34</v>
      </c>
      <c r="J242" s="75" t="s">
        <v>35</v>
      </c>
      <c r="K242" s="75" t="s">
        <v>36</v>
      </c>
      <c r="L242" s="75" t="s">
        <v>40</v>
      </c>
      <c r="M242" s="75" t="s">
        <v>8</v>
      </c>
      <c r="N242" s="75" t="s">
        <v>0</v>
      </c>
      <c r="O242" s="75" t="s">
        <v>42</v>
      </c>
      <c r="P242" s="75" t="s">
        <v>43</v>
      </c>
      <c r="Q242" s="75" t="s">
        <v>47</v>
      </c>
      <c r="R242" s="75" t="s">
        <v>85</v>
      </c>
      <c r="S242" s="75" t="s">
        <v>88</v>
      </c>
      <c r="T242" s="75" t="s">
        <v>81</v>
      </c>
    </row>
    <row r="243" spans="1:20" x14ac:dyDescent="0.25">
      <c r="A243" s="67">
        <v>44545</v>
      </c>
      <c r="B243" s="68">
        <v>60164</v>
      </c>
      <c r="C243" s="113">
        <v>5507</v>
      </c>
      <c r="D243" s="69">
        <v>3000</v>
      </c>
      <c r="E243" s="69">
        <v>0</v>
      </c>
      <c r="F243" s="69">
        <v>3000</v>
      </c>
      <c r="G243" s="94">
        <v>500</v>
      </c>
      <c r="H243" s="94">
        <v>1000</v>
      </c>
      <c r="I243" s="94">
        <v>500</v>
      </c>
      <c r="J243" s="94">
        <v>1000</v>
      </c>
      <c r="K243" s="70">
        <v>0</v>
      </c>
      <c r="L243" s="94">
        <v>0</v>
      </c>
      <c r="M243" s="70">
        <v>3000</v>
      </c>
      <c r="N243" s="94">
        <v>2000</v>
      </c>
      <c r="O243" s="94">
        <v>21420</v>
      </c>
      <c r="P243" s="94">
        <v>0</v>
      </c>
      <c r="Q243" s="94">
        <v>1000</v>
      </c>
      <c r="R243" s="94">
        <v>2000</v>
      </c>
      <c r="S243" s="70">
        <v>5000</v>
      </c>
      <c r="T243" s="91">
        <v>41988</v>
      </c>
    </row>
    <row r="244" spans="1:20" x14ac:dyDescent="0.25">
      <c r="A244" s="34">
        <v>44560</v>
      </c>
      <c r="B244" s="56">
        <v>45671</v>
      </c>
      <c r="C244" s="112">
        <v>0</v>
      </c>
      <c r="D244" s="49">
        <v>0</v>
      </c>
      <c r="E244" s="49">
        <v>500</v>
      </c>
      <c r="F244" s="49">
        <v>3000</v>
      </c>
      <c r="G244" s="95">
        <v>500</v>
      </c>
      <c r="H244" s="95">
        <v>1000</v>
      </c>
      <c r="I244" s="95">
        <v>0</v>
      </c>
      <c r="J244" s="95">
        <v>1000</v>
      </c>
      <c r="K244" s="50">
        <v>0</v>
      </c>
      <c r="L244" s="95">
        <v>0</v>
      </c>
      <c r="M244" s="50">
        <v>3000</v>
      </c>
      <c r="N244" s="95">
        <v>2000</v>
      </c>
      <c r="O244" s="95">
        <v>3000</v>
      </c>
      <c r="P244" s="95">
        <v>0</v>
      </c>
      <c r="Q244" s="95">
        <v>700</v>
      </c>
      <c r="R244" s="95">
        <v>2000</v>
      </c>
      <c r="S244" s="50">
        <v>3000</v>
      </c>
      <c r="T244" s="92">
        <v>42003</v>
      </c>
    </row>
    <row r="245" spans="1:20" x14ac:dyDescent="0.25">
      <c r="A245" s="34">
        <v>44211</v>
      </c>
      <c r="B245" s="56">
        <v>46967</v>
      </c>
      <c r="C245" s="112">
        <v>0</v>
      </c>
      <c r="D245" s="49">
        <v>0</v>
      </c>
      <c r="E245" s="49">
        <v>500</v>
      </c>
      <c r="F245" s="49">
        <v>3000</v>
      </c>
      <c r="G245" s="95">
        <v>500</v>
      </c>
      <c r="H245" s="95">
        <v>1000</v>
      </c>
      <c r="I245" s="95">
        <v>0</v>
      </c>
      <c r="J245" s="95">
        <v>1000</v>
      </c>
      <c r="K245" s="50">
        <v>0</v>
      </c>
      <c r="L245" s="95">
        <v>0</v>
      </c>
      <c r="M245" s="50">
        <v>3000</v>
      </c>
      <c r="N245" s="95">
        <v>2000</v>
      </c>
      <c r="O245" s="95">
        <v>3000</v>
      </c>
      <c r="P245" s="95">
        <v>0</v>
      </c>
      <c r="Q245" s="95">
        <v>600</v>
      </c>
      <c r="R245" s="95">
        <v>2000</v>
      </c>
      <c r="S245" s="50">
        <v>3000</v>
      </c>
      <c r="T245" s="92">
        <v>41654</v>
      </c>
    </row>
    <row r="246" spans="1:20" x14ac:dyDescent="0.25">
      <c r="A246" s="34">
        <v>44226</v>
      </c>
      <c r="B246" s="56">
        <v>52228</v>
      </c>
      <c r="C246" s="112">
        <v>0</v>
      </c>
      <c r="D246" s="49">
        <v>1000</v>
      </c>
      <c r="E246" s="49">
        <v>500</v>
      </c>
      <c r="F246" s="49">
        <v>3000</v>
      </c>
      <c r="G246" s="95">
        <v>0</v>
      </c>
      <c r="H246" s="95">
        <v>1000</v>
      </c>
      <c r="I246" s="95">
        <v>0</v>
      </c>
      <c r="J246" s="95">
        <v>1000</v>
      </c>
      <c r="K246" s="50">
        <v>0</v>
      </c>
      <c r="L246" s="95">
        <v>0</v>
      </c>
      <c r="M246" s="50">
        <v>1000</v>
      </c>
      <c r="N246" s="95">
        <v>3000</v>
      </c>
      <c r="O246" s="95">
        <v>3000</v>
      </c>
      <c r="P246" s="95">
        <v>0</v>
      </c>
      <c r="Q246" s="95">
        <v>600</v>
      </c>
      <c r="R246" s="95">
        <v>2000</v>
      </c>
      <c r="S246" s="50">
        <v>3000</v>
      </c>
      <c r="T246" s="92">
        <v>41304</v>
      </c>
    </row>
    <row r="247" spans="1:20" x14ac:dyDescent="0.25">
      <c r="A247" s="34">
        <v>44242</v>
      </c>
      <c r="B247" s="56">
        <v>37101</v>
      </c>
      <c r="C247" s="112">
        <v>0</v>
      </c>
      <c r="D247" s="49">
        <v>3000</v>
      </c>
      <c r="E247" s="49">
        <v>500</v>
      </c>
      <c r="F247" s="49">
        <v>3000</v>
      </c>
      <c r="G247" s="95">
        <v>500</v>
      </c>
      <c r="H247" s="95">
        <v>1000</v>
      </c>
      <c r="I247" s="95">
        <v>0</v>
      </c>
      <c r="J247" s="95">
        <v>1000</v>
      </c>
      <c r="K247" s="50">
        <v>0</v>
      </c>
      <c r="L247" s="95">
        <v>1000</v>
      </c>
      <c r="M247" s="50">
        <v>3000</v>
      </c>
      <c r="N247" s="95">
        <v>3000</v>
      </c>
      <c r="O247" s="95">
        <v>3000</v>
      </c>
      <c r="P247" s="95">
        <v>0</v>
      </c>
      <c r="Q247" s="95">
        <v>1000</v>
      </c>
      <c r="R247" s="95">
        <v>2000</v>
      </c>
      <c r="S247" s="50">
        <v>3000</v>
      </c>
      <c r="T247" s="92">
        <v>41320</v>
      </c>
    </row>
    <row r="248" spans="1:20" x14ac:dyDescent="0.25">
      <c r="A248" s="34">
        <v>44255</v>
      </c>
      <c r="B248" s="56">
        <v>64277</v>
      </c>
      <c r="C248" s="112">
        <v>0</v>
      </c>
      <c r="D248" s="49">
        <v>3000</v>
      </c>
      <c r="E248" s="49">
        <v>500</v>
      </c>
      <c r="F248" s="49">
        <v>3000</v>
      </c>
      <c r="G248" s="95">
        <v>500</v>
      </c>
      <c r="H248" s="95">
        <v>1000</v>
      </c>
      <c r="I248" s="95">
        <v>500</v>
      </c>
      <c r="J248" s="95">
        <v>1000</v>
      </c>
      <c r="K248" s="50">
        <v>0</v>
      </c>
      <c r="L248" s="95">
        <v>1000</v>
      </c>
      <c r="M248" s="50">
        <v>3000</v>
      </c>
      <c r="N248" s="95">
        <v>3000</v>
      </c>
      <c r="O248" s="95">
        <v>3000</v>
      </c>
      <c r="P248" s="95">
        <v>0</v>
      </c>
      <c r="Q248" s="95">
        <v>600</v>
      </c>
      <c r="R248" s="95">
        <v>2000</v>
      </c>
      <c r="S248" s="50">
        <v>3000</v>
      </c>
      <c r="T248" s="92">
        <v>41333</v>
      </c>
    </row>
    <row r="249" spans="1:20" x14ac:dyDescent="0.25">
      <c r="A249" s="34">
        <v>44270</v>
      </c>
      <c r="B249" s="56">
        <v>45634</v>
      </c>
      <c r="C249" s="112">
        <v>0</v>
      </c>
      <c r="D249" s="49">
        <v>2200</v>
      </c>
      <c r="E249" s="49">
        <v>500</v>
      </c>
      <c r="F249" s="49">
        <v>3000</v>
      </c>
      <c r="G249" s="95">
        <v>500</v>
      </c>
      <c r="H249" s="95">
        <v>1000</v>
      </c>
      <c r="I249" s="95">
        <v>0</v>
      </c>
      <c r="J249" s="95">
        <v>1000</v>
      </c>
      <c r="K249" s="50">
        <v>0</v>
      </c>
      <c r="L249" s="95">
        <v>0</v>
      </c>
      <c r="M249" s="50">
        <v>1000</v>
      </c>
      <c r="N249" s="95">
        <v>3000</v>
      </c>
      <c r="O249" s="95">
        <v>3000</v>
      </c>
      <c r="P249" s="95">
        <v>0</v>
      </c>
      <c r="Q249" s="95">
        <v>2000</v>
      </c>
      <c r="R249" s="95">
        <v>1000</v>
      </c>
      <c r="S249" s="50">
        <v>3000</v>
      </c>
      <c r="T249" s="92">
        <v>41348</v>
      </c>
    </row>
    <row r="250" spans="1:20" x14ac:dyDescent="0.25">
      <c r="A250" s="34">
        <v>44285</v>
      </c>
      <c r="B250" s="56">
        <v>54431</v>
      </c>
      <c r="C250" s="112">
        <v>0</v>
      </c>
      <c r="D250" s="49">
        <v>3000</v>
      </c>
      <c r="E250" s="49">
        <v>500</v>
      </c>
      <c r="F250" s="49">
        <v>3000</v>
      </c>
      <c r="G250" s="95">
        <v>500</v>
      </c>
      <c r="H250" s="95">
        <v>1000</v>
      </c>
      <c r="I250" s="95">
        <v>0</v>
      </c>
      <c r="J250" s="95">
        <v>1000</v>
      </c>
      <c r="K250" s="50">
        <v>0</v>
      </c>
      <c r="L250" s="95">
        <v>0</v>
      </c>
      <c r="M250" s="50">
        <v>1000</v>
      </c>
      <c r="N250" s="95">
        <v>3000</v>
      </c>
      <c r="O250" s="95">
        <v>3000</v>
      </c>
      <c r="P250" s="95">
        <v>0</v>
      </c>
      <c r="Q250" s="95">
        <v>600</v>
      </c>
      <c r="R250" s="95">
        <v>1000</v>
      </c>
      <c r="S250" s="50">
        <v>3000</v>
      </c>
      <c r="T250" s="92">
        <v>41363</v>
      </c>
    </row>
    <row r="251" spans="1:20" x14ac:dyDescent="0.25">
      <c r="A251" s="34">
        <v>44301</v>
      </c>
      <c r="B251" s="56">
        <v>50926</v>
      </c>
      <c r="C251" s="112">
        <v>0</v>
      </c>
      <c r="D251" s="49">
        <v>3000</v>
      </c>
      <c r="E251" s="49">
        <v>500</v>
      </c>
      <c r="F251" s="49">
        <v>3000</v>
      </c>
      <c r="G251" s="95">
        <v>500</v>
      </c>
      <c r="H251" s="95">
        <v>1000</v>
      </c>
      <c r="I251" s="95">
        <v>500</v>
      </c>
      <c r="J251" s="95">
        <v>1000</v>
      </c>
      <c r="K251" s="50">
        <v>0</v>
      </c>
      <c r="L251" s="95">
        <v>0</v>
      </c>
      <c r="M251" s="50">
        <v>1000</v>
      </c>
      <c r="N251" s="95">
        <v>3000</v>
      </c>
      <c r="O251" s="95">
        <v>3000</v>
      </c>
      <c r="P251" s="95">
        <v>0</v>
      </c>
      <c r="Q251" s="95">
        <v>500</v>
      </c>
      <c r="R251" s="95">
        <v>2000</v>
      </c>
      <c r="S251" s="50">
        <v>3000</v>
      </c>
      <c r="T251" s="92">
        <v>41379</v>
      </c>
    </row>
    <row r="252" spans="1:20" x14ac:dyDescent="0.25">
      <c r="A252" s="34">
        <v>44316</v>
      </c>
      <c r="B252" s="56">
        <v>48260</v>
      </c>
      <c r="C252" s="112">
        <v>0</v>
      </c>
      <c r="D252" s="49">
        <v>0</v>
      </c>
      <c r="E252" s="49">
        <v>500</v>
      </c>
      <c r="F252" s="49">
        <v>3000</v>
      </c>
      <c r="G252" s="95">
        <v>500</v>
      </c>
      <c r="H252" s="95">
        <v>1000</v>
      </c>
      <c r="I252" s="95">
        <v>500</v>
      </c>
      <c r="J252" s="95">
        <v>1000</v>
      </c>
      <c r="K252" s="50">
        <v>0</v>
      </c>
      <c r="L252" s="95">
        <v>0</v>
      </c>
      <c r="M252" s="50">
        <v>2000</v>
      </c>
      <c r="N252" s="95">
        <v>3000</v>
      </c>
      <c r="O252" s="95">
        <v>3000</v>
      </c>
      <c r="P252" s="95">
        <v>0</v>
      </c>
      <c r="Q252" s="95">
        <v>500</v>
      </c>
      <c r="R252" s="95">
        <v>2000</v>
      </c>
      <c r="S252" s="50">
        <v>3000</v>
      </c>
      <c r="T252" s="92">
        <v>41394</v>
      </c>
    </row>
    <row r="253" spans="1:20" x14ac:dyDescent="0.25">
      <c r="A253" s="34">
        <v>44331</v>
      </c>
      <c r="B253" s="56">
        <v>46047</v>
      </c>
      <c r="C253" s="112">
        <v>0</v>
      </c>
      <c r="D253" s="49">
        <v>1000</v>
      </c>
      <c r="E253" s="49">
        <v>500</v>
      </c>
      <c r="F253" s="49">
        <v>3000</v>
      </c>
      <c r="G253" s="95">
        <v>500</v>
      </c>
      <c r="H253" s="95">
        <v>1000</v>
      </c>
      <c r="I253" s="95">
        <v>500</v>
      </c>
      <c r="J253" s="95">
        <v>1000</v>
      </c>
      <c r="K253" s="50">
        <v>0</v>
      </c>
      <c r="L253" s="95">
        <v>0</v>
      </c>
      <c r="M253" s="50">
        <v>2000</v>
      </c>
      <c r="N253" s="95">
        <v>3000</v>
      </c>
      <c r="O253" s="95">
        <v>3000</v>
      </c>
      <c r="P253" s="95">
        <v>0</v>
      </c>
      <c r="Q253" s="95">
        <v>500</v>
      </c>
      <c r="R253" s="95">
        <v>2000</v>
      </c>
      <c r="S253" s="50">
        <v>3000</v>
      </c>
      <c r="T253" s="92">
        <v>41409</v>
      </c>
    </row>
    <row r="254" spans="1:20" ht="15.75" thickBot="1" x14ac:dyDescent="0.3">
      <c r="A254" s="34">
        <v>44346</v>
      </c>
      <c r="B254" s="84">
        <v>53157</v>
      </c>
      <c r="C254" s="65">
        <v>0</v>
      </c>
      <c r="D254" s="65">
        <v>1000</v>
      </c>
      <c r="E254" s="65">
        <v>500</v>
      </c>
      <c r="F254" s="65">
        <v>3000</v>
      </c>
      <c r="G254" s="66">
        <v>500</v>
      </c>
      <c r="H254" s="66">
        <v>1000</v>
      </c>
      <c r="I254" s="66">
        <v>500</v>
      </c>
      <c r="J254" s="66">
        <v>1000</v>
      </c>
      <c r="K254" s="66">
        <v>0</v>
      </c>
      <c r="L254" s="66">
        <v>0</v>
      </c>
      <c r="M254" s="66">
        <v>3000</v>
      </c>
      <c r="N254" s="66">
        <v>3000</v>
      </c>
      <c r="O254" s="66">
        <v>3000</v>
      </c>
      <c r="P254" s="66">
        <v>1000</v>
      </c>
      <c r="Q254" s="66">
        <v>500</v>
      </c>
      <c r="R254" s="66">
        <v>2000</v>
      </c>
      <c r="S254" s="66">
        <v>3000</v>
      </c>
      <c r="T254" s="93">
        <v>41424</v>
      </c>
    </row>
    <row r="255" spans="1:20" ht="15.75" thickBot="1" x14ac:dyDescent="0.3">
      <c r="A255" s="54" t="s">
        <v>7</v>
      </c>
      <c r="B255" s="55">
        <f>SUM(B243:B254)</f>
        <v>604863</v>
      </c>
      <c r="C255" s="55">
        <f>SUM(C243:C254) +D239</f>
        <v>9016</v>
      </c>
      <c r="D255" s="55">
        <f>SUM(D243:D254) + E239</f>
        <v>60740</v>
      </c>
      <c r="E255" s="55">
        <f>SUM(E243:E254) +F239</f>
        <v>56500</v>
      </c>
      <c r="F255" s="55">
        <f>SUM(F243:F254) + G239</f>
        <v>144000</v>
      </c>
      <c r="G255" s="58">
        <f>SUM(G243:G254) + J239</f>
        <v>18500</v>
      </c>
      <c r="H255" s="58">
        <f>SUM(H243:H254) + K239</f>
        <v>58000</v>
      </c>
      <c r="I255" s="58">
        <f>SUM(I243:I254) + L239</f>
        <v>15000</v>
      </c>
      <c r="J255" s="58">
        <f>SUM(J243:J254) + M239</f>
        <v>45043</v>
      </c>
      <c r="K255" s="58">
        <f>SUM(K243:K254) + N239</f>
        <v>34838</v>
      </c>
      <c r="L255" s="58">
        <f>SUM(L243:L254) + R239</f>
        <v>-105040</v>
      </c>
      <c r="M255" s="58">
        <f>SUM(M243:M254) + S239</f>
        <v>128235</v>
      </c>
      <c r="N255" s="58">
        <f>SUM(N243:N254) + T239</f>
        <v>57556</v>
      </c>
      <c r="O255" s="58">
        <f>SUM(O243:O254) + V239</f>
        <v>177787</v>
      </c>
      <c r="P255" s="58">
        <f>SUM(P243:P254) + W239</f>
        <v>48618</v>
      </c>
      <c r="Q255" s="58">
        <f>SUM(Q243:Q254) + X239</f>
        <v>46447</v>
      </c>
      <c r="R255" s="58">
        <f>SUM(R243:R254) + Y239</f>
        <v>60000</v>
      </c>
      <c r="S255" s="58">
        <f>SUM(S243:S254) + V241</f>
        <v>38000</v>
      </c>
      <c r="T255" s="90" t="s">
        <v>82</v>
      </c>
    </row>
    <row r="256" spans="1:20" ht="15.75" thickBot="1" x14ac:dyDescent="0.3"/>
    <row r="257" spans="1:22" ht="15.75" thickBot="1" x14ac:dyDescent="0.3">
      <c r="A257" s="35" t="s">
        <v>89</v>
      </c>
    </row>
    <row r="258" spans="1:22" ht="15.75" thickBot="1" x14ac:dyDescent="0.3">
      <c r="A258" s="71" t="s">
        <v>6</v>
      </c>
      <c r="B258" s="72" t="s">
        <v>60</v>
      </c>
      <c r="C258" s="73" t="s">
        <v>25</v>
      </c>
      <c r="D258" s="74" t="s">
        <v>26</v>
      </c>
      <c r="E258" s="74" t="s">
        <v>27</v>
      </c>
      <c r="F258" s="74" t="s">
        <v>84</v>
      </c>
      <c r="G258" s="75" t="s">
        <v>23</v>
      </c>
      <c r="H258" s="75" t="s">
        <v>33</v>
      </c>
      <c r="I258" s="75" t="s">
        <v>34</v>
      </c>
      <c r="J258" s="75" t="s">
        <v>35</v>
      </c>
      <c r="K258" s="75" t="s">
        <v>36</v>
      </c>
      <c r="L258" s="75" t="s">
        <v>40</v>
      </c>
      <c r="M258" s="75" t="s">
        <v>8</v>
      </c>
      <c r="N258" s="75" t="s">
        <v>0</v>
      </c>
      <c r="O258" s="75" t="s">
        <v>42</v>
      </c>
      <c r="P258" s="75" t="s">
        <v>43</v>
      </c>
      <c r="Q258" s="75" t="s">
        <v>47</v>
      </c>
      <c r="R258" s="75" t="s">
        <v>85</v>
      </c>
      <c r="S258" s="75" t="s">
        <v>88</v>
      </c>
      <c r="T258" s="75" t="s">
        <v>39</v>
      </c>
      <c r="U258" s="75" t="s">
        <v>39</v>
      </c>
      <c r="V258" s="75" t="s">
        <v>81</v>
      </c>
    </row>
    <row r="259" spans="1:22" x14ac:dyDescent="0.25">
      <c r="A259" s="67">
        <v>44362</v>
      </c>
      <c r="B259" s="68">
        <v>33542</v>
      </c>
      <c r="C259" s="113">
        <v>4984</v>
      </c>
      <c r="D259" s="69">
        <v>1500</v>
      </c>
      <c r="E259" s="69">
        <v>500</v>
      </c>
      <c r="F259" s="69">
        <v>3000</v>
      </c>
      <c r="G259" s="94">
        <v>0</v>
      </c>
      <c r="H259" s="94">
        <v>-50000</v>
      </c>
      <c r="I259" s="94">
        <v>500</v>
      </c>
      <c r="J259" s="94">
        <v>9812</v>
      </c>
      <c r="K259" s="94">
        <v>0</v>
      </c>
      <c r="L259" s="94">
        <v>0</v>
      </c>
      <c r="M259" s="94">
        <v>1000</v>
      </c>
      <c r="N259" s="94">
        <v>14919</v>
      </c>
      <c r="O259" s="94">
        <v>42231</v>
      </c>
      <c r="P259" s="94">
        <v>1000</v>
      </c>
      <c r="Q259" s="94">
        <v>0</v>
      </c>
      <c r="R259" s="94">
        <v>1000</v>
      </c>
      <c r="S259" s="70">
        <v>5776</v>
      </c>
      <c r="T259" s="96">
        <v>-50000</v>
      </c>
      <c r="U259" s="77"/>
      <c r="V259" s="91">
        <v>43997</v>
      </c>
    </row>
    <row r="260" spans="1:22" x14ac:dyDescent="0.25">
      <c r="A260" s="34">
        <v>44377</v>
      </c>
      <c r="B260" s="56">
        <v>43609</v>
      </c>
      <c r="C260" s="112">
        <v>0</v>
      </c>
      <c r="D260" s="49">
        <v>1000</v>
      </c>
      <c r="E260" s="49">
        <v>500</v>
      </c>
      <c r="F260" s="49">
        <v>3000</v>
      </c>
      <c r="G260" s="95">
        <v>0</v>
      </c>
      <c r="H260" s="95">
        <v>1000</v>
      </c>
      <c r="I260" s="95">
        <v>0</v>
      </c>
      <c r="J260" s="95">
        <v>1000</v>
      </c>
      <c r="K260" s="95">
        <v>0</v>
      </c>
      <c r="L260" s="95">
        <v>0</v>
      </c>
      <c r="M260" s="95">
        <v>1000</v>
      </c>
      <c r="N260" s="95">
        <v>3000</v>
      </c>
      <c r="O260" s="95">
        <v>1392</v>
      </c>
      <c r="P260" s="95">
        <v>0</v>
      </c>
      <c r="Q260" s="95">
        <v>0</v>
      </c>
      <c r="R260" s="50">
        <v>1000</v>
      </c>
      <c r="S260" s="50">
        <v>3000</v>
      </c>
      <c r="T260" s="50">
        <v>0</v>
      </c>
      <c r="U260" s="86"/>
      <c r="V260" s="92">
        <v>44012</v>
      </c>
    </row>
    <row r="261" spans="1:22" x14ac:dyDescent="0.25">
      <c r="A261" s="34">
        <v>44392</v>
      </c>
      <c r="B261" s="56">
        <v>34765</v>
      </c>
      <c r="C261" s="112">
        <v>0</v>
      </c>
      <c r="D261" s="49">
        <v>1000</v>
      </c>
      <c r="E261" s="49">
        <v>500</v>
      </c>
      <c r="F261" s="49">
        <v>3000</v>
      </c>
      <c r="G261" s="95">
        <v>0</v>
      </c>
      <c r="H261" s="95">
        <v>1000</v>
      </c>
      <c r="I261" s="95">
        <v>0</v>
      </c>
      <c r="J261" s="95">
        <v>1000</v>
      </c>
      <c r="K261" s="95">
        <v>0</v>
      </c>
      <c r="L261" s="95">
        <v>0</v>
      </c>
      <c r="M261" s="95">
        <v>1000</v>
      </c>
      <c r="N261" s="95">
        <v>3000</v>
      </c>
      <c r="O261" s="95">
        <v>0</v>
      </c>
      <c r="P261" s="95">
        <v>0</v>
      </c>
      <c r="Q261" s="95">
        <v>0</v>
      </c>
      <c r="R261" s="50">
        <v>1000</v>
      </c>
      <c r="S261" s="50">
        <v>3000</v>
      </c>
      <c r="T261" s="50">
        <v>3000</v>
      </c>
      <c r="U261" s="86"/>
      <c r="V261" s="92">
        <v>44027</v>
      </c>
    </row>
    <row r="262" spans="1:22" x14ac:dyDescent="0.25">
      <c r="A262" s="34">
        <v>44407</v>
      </c>
      <c r="B262" s="56">
        <v>37634</v>
      </c>
      <c r="C262" s="112">
        <v>0</v>
      </c>
      <c r="D262" s="49">
        <v>1000</v>
      </c>
      <c r="E262" s="49">
        <v>500</v>
      </c>
      <c r="F262" s="49">
        <v>3000</v>
      </c>
      <c r="G262" s="95">
        <v>500</v>
      </c>
      <c r="H262" s="95">
        <v>1000</v>
      </c>
      <c r="I262" s="95">
        <v>500</v>
      </c>
      <c r="J262" s="95">
        <v>1000</v>
      </c>
      <c r="K262" s="95">
        <v>0</v>
      </c>
      <c r="L262" s="95">
        <v>0</v>
      </c>
      <c r="M262" s="95">
        <v>1000</v>
      </c>
      <c r="N262" s="95">
        <v>3000</v>
      </c>
      <c r="O262" s="95">
        <v>0</v>
      </c>
      <c r="P262" s="95">
        <v>0</v>
      </c>
      <c r="Q262" s="95">
        <v>0</v>
      </c>
      <c r="R262" s="50">
        <v>1000</v>
      </c>
      <c r="S262" s="50">
        <v>3000</v>
      </c>
      <c r="T262" s="50">
        <v>3000</v>
      </c>
      <c r="U262" s="86"/>
      <c r="V262" s="92">
        <v>44042</v>
      </c>
    </row>
    <row r="263" spans="1:22" x14ac:dyDescent="0.25">
      <c r="A263" s="34">
        <v>44423</v>
      </c>
      <c r="B263" s="56">
        <v>48576</v>
      </c>
      <c r="C263" s="112">
        <v>0</v>
      </c>
      <c r="D263" s="49">
        <v>1000</v>
      </c>
      <c r="E263" s="49">
        <v>500</v>
      </c>
      <c r="F263" s="49">
        <v>267</v>
      </c>
      <c r="G263" s="95">
        <v>500</v>
      </c>
      <c r="H263" s="95">
        <v>1000</v>
      </c>
      <c r="I263" s="95">
        <v>500</v>
      </c>
      <c r="J263" s="95">
        <v>1000</v>
      </c>
      <c r="K263" s="95">
        <v>0</v>
      </c>
      <c r="L263" s="95">
        <v>0</v>
      </c>
      <c r="M263" s="95">
        <v>3000</v>
      </c>
      <c r="N263" s="95">
        <v>3000</v>
      </c>
      <c r="O263" s="95">
        <v>0</v>
      </c>
      <c r="P263" s="95">
        <v>0</v>
      </c>
      <c r="Q263" s="95">
        <v>0</v>
      </c>
      <c r="R263" s="50">
        <v>1000</v>
      </c>
      <c r="S263" s="50">
        <v>3000</v>
      </c>
      <c r="T263" s="50">
        <v>3000</v>
      </c>
      <c r="U263" s="50">
        <v>5000</v>
      </c>
      <c r="V263" s="92">
        <v>44058</v>
      </c>
    </row>
    <row r="264" spans="1:22" x14ac:dyDescent="0.25">
      <c r="A264" s="34">
        <v>44438</v>
      </c>
      <c r="B264" s="56">
        <v>42839</v>
      </c>
      <c r="C264" s="112">
        <v>0</v>
      </c>
      <c r="D264" s="49">
        <v>1000</v>
      </c>
      <c r="E264" s="49">
        <v>0</v>
      </c>
      <c r="F264" s="49">
        <v>0</v>
      </c>
      <c r="G264" s="95">
        <v>500</v>
      </c>
      <c r="H264" s="95">
        <v>1000</v>
      </c>
      <c r="I264" s="95">
        <v>0</v>
      </c>
      <c r="J264" s="95">
        <v>1000</v>
      </c>
      <c r="K264" s="95">
        <v>0</v>
      </c>
      <c r="L264" s="95">
        <v>-23000</v>
      </c>
      <c r="M264" s="95">
        <v>1000</v>
      </c>
      <c r="N264" s="95">
        <v>3000</v>
      </c>
      <c r="O264" s="95">
        <v>0</v>
      </c>
      <c r="P264" s="95">
        <v>0</v>
      </c>
      <c r="Q264" s="95">
        <v>0</v>
      </c>
      <c r="R264" s="50">
        <v>1000</v>
      </c>
      <c r="S264" s="50">
        <v>3000</v>
      </c>
      <c r="T264" s="50">
        <v>0</v>
      </c>
      <c r="U264" s="50">
        <v>3000</v>
      </c>
      <c r="V264" s="92">
        <v>44073</v>
      </c>
    </row>
    <row r="265" spans="1:22" x14ac:dyDescent="0.25">
      <c r="A265" s="34">
        <v>44454</v>
      </c>
      <c r="B265" s="56">
        <v>43531</v>
      </c>
      <c r="C265" s="112">
        <v>0</v>
      </c>
      <c r="D265" s="49">
        <v>1000</v>
      </c>
      <c r="E265" s="49">
        <v>1000</v>
      </c>
      <c r="F265" s="49">
        <v>0</v>
      </c>
      <c r="G265" s="95">
        <v>500</v>
      </c>
      <c r="H265" s="95">
        <v>1000</v>
      </c>
      <c r="I265" s="95">
        <v>500</v>
      </c>
      <c r="J265" s="95">
        <v>1000</v>
      </c>
      <c r="K265" s="95">
        <v>0</v>
      </c>
      <c r="L265" s="95">
        <v>0</v>
      </c>
      <c r="M265" s="95">
        <v>1000</v>
      </c>
      <c r="N265" s="95">
        <v>1500</v>
      </c>
      <c r="O265" s="95">
        <v>0</v>
      </c>
      <c r="P265" s="95">
        <v>0</v>
      </c>
      <c r="Q265" s="95">
        <v>0</v>
      </c>
      <c r="R265" s="50">
        <v>1000</v>
      </c>
      <c r="S265" s="50">
        <v>3000</v>
      </c>
      <c r="T265" s="50">
        <v>1000</v>
      </c>
      <c r="U265" s="50">
        <v>3000</v>
      </c>
      <c r="V265" s="92">
        <v>44089</v>
      </c>
    </row>
    <row r="266" spans="1:22" x14ac:dyDescent="0.25">
      <c r="A266" s="34">
        <v>44469</v>
      </c>
      <c r="B266" s="56">
        <v>43220</v>
      </c>
      <c r="C266" s="112">
        <v>0</v>
      </c>
      <c r="D266" s="49">
        <v>0</v>
      </c>
      <c r="E266" s="49">
        <v>500</v>
      </c>
      <c r="F266" s="49">
        <v>0</v>
      </c>
      <c r="G266" s="95">
        <v>500</v>
      </c>
      <c r="H266" s="95">
        <v>1000</v>
      </c>
      <c r="I266" s="95">
        <v>0</v>
      </c>
      <c r="J266" s="95">
        <v>1000</v>
      </c>
      <c r="K266" s="95">
        <v>0</v>
      </c>
      <c r="L266" s="95">
        <v>0</v>
      </c>
      <c r="M266" s="95">
        <v>-9500</v>
      </c>
      <c r="N266" s="95">
        <v>1500</v>
      </c>
      <c r="O266" s="87">
        <v>-300000</v>
      </c>
      <c r="P266" s="50">
        <v>0</v>
      </c>
      <c r="Q266" s="87">
        <v>-16000</v>
      </c>
      <c r="R266" s="50">
        <v>1000</v>
      </c>
      <c r="S266" s="50">
        <v>3000</v>
      </c>
      <c r="T266" s="50">
        <v>1000</v>
      </c>
      <c r="U266" s="50">
        <v>3000</v>
      </c>
      <c r="V266" s="92">
        <v>44104</v>
      </c>
    </row>
    <row r="267" spans="1:22" x14ac:dyDescent="0.25">
      <c r="A267" s="34">
        <v>44484</v>
      </c>
      <c r="B267" s="56">
        <v>35038</v>
      </c>
      <c r="C267" s="112">
        <v>0</v>
      </c>
      <c r="D267" s="49">
        <v>1000</v>
      </c>
      <c r="E267" s="49">
        <v>500</v>
      </c>
      <c r="F267" s="49">
        <v>0</v>
      </c>
      <c r="G267" s="95">
        <v>-15000</v>
      </c>
      <c r="H267" s="95">
        <v>1000</v>
      </c>
      <c r="I267" s="95">
        <v>0</v>
      </c>
      <c r="J267" s="95">
        <v>0</v>
      </c>
      <c r="K267" s="95">
        <v>0</v>
      </c>
      <c r="L267" s="95">
        <v>0</v>
      </c>
      <c r="M267" s="95">
        <v>-39500</v>
      </c>
      <c r="N267" s="95">
        <v>1500</v>
      </c>
      <c r="O267" s="95">
        <v>0</v>
      </c>
      <c r="P267" s="95">
        <v>0</v>
      </c>
      <c r="Q267" s="95">
        <v>0</v>
      </c>
      <c r="R267" s="95">
        <v>1000</v>
      </c>
      <c r="S267" s="50">
        <v>3000</v>
      </c>
      <c r="T267" s="50">
        <v>1000</v>
      </c>
      <c r="U267" s="50">
        <v>1000</v>
      </c>
      <c r="V267" s="92">
        <v>44119</v>
      </c>
    </row>
    <row r="268" spans="1:22" x14ac:dyDescent="0.25">
      <c r="A268" s="34">
        <v>44499</v>
      </c>
      <c r="B268" s="56">
        <v>36961</v>
      </c>
      <c r="C268" s="112">
        <v>0</v>
      </c>
      <c r="D268" s="49">
        <v>1000</v>
      </c>
      <c r="E268" s="49">
        <v>500</v>
      </c>
      <c r="F268" s="98">
        <v>-55000</v>
      </c>
      <c r="G268" s="95">
        <v>500</v>
      </c>
      <c r="H268" s="95">
        <v>1000</v>
      </c>
      <c r="I268" s="95">
        <v>500</v>
      </c>
      <c r="J268" s="95">
        <v>-76242</v>
      </c>
      <c r="K268" s="95">
        <v>0</v>
      </c>
      <c r="L268" s="95">
        <v>0</v>
      </c>
      <c r="M268" s="95">
        <v>1000</v>
      </c>
      <c r="N268" s="95">
        <v>0</v>
      </c>
      <c r="O268" s="95">
        <v>0</v>
      </c>
      <c r="P268" s="95">
        <v>0</v>
      </c>
      <c r="Q268" s="95">
        <v>0</v>
      </c>
      <c r="R268" s="95">
        <v>1000</v>
      </c>
      <c r="S268" s="50">
        <v>3000</v>
      </c>
      <c r="T268" s="50">
        <v>1000</v>
      </c>
      <c r="U268" s="50">
        <v>1500</v>
      </c>
      <c r="V268" s="92">
        <v>44134</v>
      </c>
    </row>
    <row r="269" spans="1:22" x14ac:dyDescent="0.25">
      <c r="A269" s="34">
        <v>44515</v>
      </c>
      <c r="B269" s="56">
        <v>58880</v>
      </c>
      <c r="C269" s="112">
        <v>0</v>
      </c>
      <c r="D269" s="49">
        <v>1000</v>
      </c>
      <c r="E269" s="49">
        <v>500</v>
      </c>
      <c r="F269" s="49">
        <v>2000</v>
      </c>
      <c r="G269" s="95">
        <v>500</v>
      </c>
      <c r="H269" s="95">
        <v>1000</v>
      </c>
      <c r="I269" s="95">
        <v>500</v>
      </c>
      <c r="J269" s="95">
        <v>0</v>
      </c>
      <c r="K269" s="95">
        <v>0</v>
      </c>
      <c r="L269" s="95">
        <v>0</v>
      </c>
      <c r="M269" s="95">
        <v>1000</v>
      </c>
      <c r="N269" s="95">
        <v>0</v>
      </c>
      <c r="O269" s="95">
        <v>0</v>
      </c>
      <c r="P269" s="95">
        <v>0</v>
      </c>
      <c r="Q269" s="95">
        <v>500</v>
      </c>
      <c r="R269" s="95">
        <v>1000</v>
      </c>
      <c r="S269" s="50">
        <v>3000</v>
      </c>
      <c r="T269" s="50">
        <v>1000</v>
      </c>
      <c r="U269" s="50">
        <v>1500</v>
      </c>
      <c r="V269" s="92">
        <v>44150</v>
      </c>
    </row>
    <row r="270" spans="1:22" ht="15.75" thickBot="1" x14ac:dyDescent="0.3">
      <c r="A270" s="34">
        <v>44530</v>
      </c>
      <c r="B270" s="84">
        <v>30636</v>
      </c>
      <c r="C270" s="65">
        <v>0</v>
      </c>
      <c r="D270" s="65">
        <v>0</v>
      </c>
      <c r="E270" s="65">
        <v>500</v>
      </c>
      <c r="F270" s="65">
        <v>2000</v>
      </c>
      <c r="G270" s="66">
        <v>0</v>
      </c>
      <c r="H270" s="66">
        <v>1000</v>
      </c>
      <c r="I270" s="66">
        <v>500</v>
      </c>
      <c r="J270" s="66">
        <v>0</v>
      </c>
      <c r="K270" s="66">
        <v>0</v>
      </c>
      <c r="L270" s="66">
        <v>0</v>
      </c>
      <c r="M270" s="66">
        <v>1000</v>
      </c>
      <c r="N270" s="66">
        <v>0</v>
      </c>
      <c r="O270" s="66">
        <v>0</v>
      </c>
      <c r="P270" s="66">
        <v>0</v>
      </c>
      <c r="Q270" s="66">
        <v>0</v>
      </c>
      <c r="R270" s="66">
        <v>-19000</v>
      </c>
      <c r="S270" s="66">
        <v>3000</v>
      </c>
      <c r="T270" s="66">
        <v>1000</v>
      </c>
      <c r="U270" s="66">
        <v>1500</v>
      </c>
      <c r="V270" s="93">
        <v>44165</v>
      </c>
    </row>
    <row r="271" spans="1:22" ht="15.75" thickBot="1" x14ac:dyDescent="0.3">
      <c r="A271" s="54" t="s">
        <v>7</v>
      </c>
      <c r="B271" s="55">
        <f>SUM(B259:B270)</f>
        <v>489231</v>
      </c>
      <c r="C271" s="55">
        <f>SUM(C259:C270) +C255</f>
        <v>14000</v>
      </c>
      <c r="D271" s="55">
        <f>SUM(D259:D270) + D255</f>
        <v>71240</v>
      </c>
      <c r="E271" s="55">
        <f>SUM(E259:E270) +E255</f>
        <v>62500</v>
      </c>
      <c r="F271" s="55">
        <f t="shared" ref="F271:S271" si="22">SUM(F259:F270) + F255</f>
        <v>105267</v>
      </c>
      <c r="G271" s="58">
        <f t="shared" si="22"/>
        <v>7000</v>
      </c>
      <c r="H271" s="58">
        <f t="shared" si="22"/>
        <v>19000</v>
      </c>
      <c r="I271" s="58">
        <f t="shared" si="22"/>
        <v>18500</v>
      </c>
      <c r="J271" s="58">
        <f t="shared" si="22"/>
        <v>-14387</v>
      </c>
      <c r="K271" s="58">
        <f t="shared" si="22"/>
        <v>34838</v>
      </c>
      <c r="L271" s="58">
        <f t="shared" si="22"/>
        <v>-128040</v>
      </c>
      <c r="M271" s="58">
        <f t="shared" si="22"/>
        <v>91235</v>
      </c>
      <c r="N271" s="58">
        <f t="shared" si="22"/>
        <v>91975</v>
      </c>
      <c r="O271" s="58">
        <f t="shared" si="22"/>
        <v>-78590</v>
      </c>
      <c r="P271" s="58">
        <f t="shared" si="22"/>
        <v>49618</v>
      </c>
      <c r="Q271" s="58">
        <f t="shared" si="22"/>
        <v>30947</v>
      </c>
      <c r="R271" s="58">
        <f t="shared" si="22"/>
        <v>52000</v>
      </c>
      <c r="S271" s="58">
        <f t="shared" si="22"/>
        <v>76776</v>
      </c>
      <c r="T271" s="58">
        <f>SUM(T259:T270) + 300000</f>
        <v>265000</v>
      </c>
      <c r="U271" s="58">
        <f>SUM(U259:U270) + U255</f>
        <v>19500</v>
      </c>
      <c r="V271" s="90" t="s">
        <v>82</v>
      </c>
    </row>
    <row r="272" spans="1:22" ht="15.75" thickBot="1" x14ac:dyDescent="0.3"/>
    <row r="273" spans="1:22" ht="15.75" thickBot="1" x14ac:dyDescent="0.3">
      <c r="A273" s="35" t="s">
        <v>90</v>
      </c>
    </row>
    <row r="274" spans="1:22" ht="15.75" thickBot="1" x14ac:dyDescent="0.3">
      <c r="A274" s="71" t="s">
        <v>6</v>
      </c>
      <c r="B274" s="72" t="s">
        <v>60</v>
      </c>
      <c r="C274" s="73" t="s">
        <v>25</v>
      </c>
      <c r="D274" s="74" t="s">
        <v>26</v>
      </c>
      <c r="E274" s="74" t="s">
        <v>27</v>
      </c>
      <c r="F274" s="74" t="s">
        <v>84</v>
      </c>
      <c r="G274" s="75" t="s">
        <v>23</v>
      </c>
      <c r="H274" s="75" t="s">
        <v>33</v>
      </c>
      <c r="I274" s="75" t="s">
        <v>34</v>
      </c>
      <c r="J274" s="75" t="s">
        <v>35</v>
      </c>
      <c r="K274" s="75" t="s">
        <v>36</v>
      </c>
      <c r="L274" s="75" t="s">
        <v>40</v>
      </c>
      <c r="M274" s="75" t="s">
        <v>8</v>
      </c>
      <c r="N274" s="75" t="s">
        <v>0</v>
      </c>
      <c r="O274" s="75" t="s">
        <v>42</v>
      </c>
      <c r="P274" s="75" t="s">
        <v>43</v>
      </c>
      <c r="Q274" s="75" t="s">
        <v>47</v>
      </c>
      <c r="R274" s="75" t="s">
        <v>85</v>
      </c>
      <c r="S274" s="75" t="s">
        <v>88</v>
      </c>
      <c r="T274" s="75" t="s">
        <v>39</v>
      </c>
      <c r="U274" s="75" t="s">
        <v>91</v>
      </c>
      <c r="V274" s="75" t="s">
        <v>81</v>
      </c>
    </row>
    <row r="275" spans="1:22" x14ac:dyDescent="0.25">
      <c r="A275" s="67">
        <v>44910</v>
      </c>
      <c r="B275" s="68">
        <v>63956</v>
      </c>
      <c r="C275" s="113">
        <v>0</v>
      </c>
      <c r="D275" s="69">
        <v>0</v>
      </c>
      <c r="E275" s="69">
        <v>500</v>
      </c>
      <c r="F275" s="69">
        <v>2000</v>
      </c>
      <c r="G275" s="70">
        <v>0</v>
      </c>
      <c r="H275" s="94">
        <v>1000</v>
      </c>
      <c r="I275" s="94">
        <v>0</v>
      </c>
      <c r="J275" s="77"/>
      <c r="K275" s="70">
        <v>0</v>
      </c>
      <c r="L275" s="94">
        <v>0</v>
      </c>
      <c r="M275" s="70">
        <v>1000</v>
      </c>
      <c r="N275" s="70">
        <v>0</v>
      </c>
      <c r="O275" s="77"/>
      <c r="P275" s="70">
        <v>0</v>
      </c>
      <c r="Q275" s="94">
        <v>500</v>
      </c>
      <c r="R275" s="94">
        <v>1000</v>
      </c>
      <c r="S275" s="70">
        <v>-76776</v>
      </c>
      <c r="T275" s="94">
        <v>1000</v>
      </c>
      <c r="U275" s="94">
        <v>1988</v>
      </c>
      <c r="V275" s="91">
        <v>41988</v>
      </c>
    </row>
    <row r="276" spans="1:22" x14ac:dyDescent="0.25">
      <c r="A276" s="34">
        <v>44925</v>
      </c>
      <c r="B276" s="56">
        <v>106616</v>
      </c>
      <c r="C276" s="112">
        <v>0</v>
      </c>
      <c r="D276" s="49">
        <v>1000</v>
      </c>
      <c r="E276" s="49">
        <v>0</v>
      </c>
      <c r="F276" s="49">
        <v>2000</v>
      </c>
      <c r="G276" s="50">
        <v>500</v>
      </c>
      <c r="H276" s="95">
        <v>-29000</v>
      </c>
      <c r="I276" s="95">
        <v>500</v>
      </c>
      <c r="J276" s="86"/>
      <c r="K276" s="50">
        <v>0</v>
      </c>
      <c r="L276" s="95">
        <v>0</v>
      </c>
      <c r="M276" s="50">
        <v>1000</v>
      </c>
      <c r="N276" s="50">
        <v>0</v>
      </c>
      <c r="O276" s="86"/>
      <c r="P276" s="87">
        <v>-129208</v>
      </c>
      <c r="Q276" s="95">
        <v>500</v>
      </c>
      <c r="R276" s="50">
        <v>1000</v>
      </c>
      <c r="S276" s="86"/>
      <c r="T276" s="50">
        <v>3000</v>
      </c>
      <c r="U276" s="95">
        <v>2000</v>
      </c>
      <c r="V276" s="92">
        <v>42003</v>
      </c>
    </row>
    <row r="277" spans="1:22" x14ac:dyDescent="0.25">
      <c r="A277" s="34">
        <v>44576</v>
      </c>
      <c r="B277" s="56">
        <v>20833</v>
      </c>
      <c r="C277" s="112">
        <v>0</v>
      </c>
      <c r="D277" s="49">
        <v>0</v>
      </c>
      <c r="E277" s="49">
        <v>500</v>
      </c>
      <c r="F277" s="49">
        <v>2000</v>
      </c>
      <c r="G277" s="50">
        <v>500</v>
      </c>
      <c r="H277" s="95">
        <v>1000</v>
      </c>
      <c r="I277" s="95">
        <v>0</v>
      </c>
      <c r="J277" s="86"/>
      <c r="K277" s="50">
        <v>0</v>
      </c>
      <c r="L277" s="95">
        <v>0</v>
      </c>
      <c r="M277" s="50">
        <v>1000</v>
      </c>
      <c r="N277" s="50">
        <v>0</v>
      </c>
      <c r="O277" s="86"/>
      <c r="P277" s="50">
        <v>500</v>
      </c>
      <c r="Q277" s="95">
        <v>0</v>
      </c>
      <c r="R277" s="50">
        <v>1000</v>
      </c>
      <c r="S277" s="86"/>
      <c r="T277" s="50">
        <v>1000</v>
      </c>
      <c r="U277" s="95">
        <v>1500</v>
      </c>
      <c r="V277" s="92">
        <v>41654</v>
      </c>
    </row>
    <row r="278" spans="1:22" x14ac:dyDescent="0.25">
      <c r="A278" s="34">
        <v>44591</v>
      </c>
      <c r="B278" s="56">
        <v>22615</v>
      </c>
      <c r="C278" s="112">
        <v>0</v>
      </c>
      <c r="D278" s="49">
        <v>0</v>
      </c>
      <c r="E278" s="49">
        <v>500</v>
      </c>
      <c r="F278" s="49">
        <v>2000</v>
      </c>
      <c r="G278" s="50">
        <v>0</v>
      </c>
      <c r="H278" s="95">
        <v>1000</v>
      </c>
      <c r="I278" s="95">
        <v>0</v>
      </c>
      <c r="J278" s="86"/>
      <c r="K278" s="50">
        <v>0</v>
      </c>
      <c r="L278" s="95">
        <v>0</v>
      </c>
      <c r="M278" s="50">
        <v>1000</v>
      </c>
      <c r="N278" s="50">
        <v>500</v>
      </c>
      <c r="O278" s="86"/>
      <c r="P278" s="50">
        <v>0</v>
      </c>
      <c r="Q278" s="95">
        <v>500</v>
      </c>
      <c r="R278" s="50">
        <v>1000</v>
      </c>
      <c r="S278" s="86"/>
      <c r="T278" s="50">
        <v>1000</v>
      </c>
      <c r="U278" s="95">
        <v>1500</v>
      </c>
      <c r="V278" s="92">
        <v>41304</v>
      </c>
    </row>
    <row r="279" spans="1:22" x14ac:dyDescent="0.25">
      <c r="A279" s="34">
        <v>44607</v>
      </c>
      <c r="B279" s="56">
        <v>27711</v>
      </c>
      <c r="C279" s="112">
        <v>0</v>
      </c>
      <c r="D279" s="49">
        <v>0</v>
      </c>
      <c r="E279" s="49">
        <v>0</v>
      </c>
      <c r="F279" s="49">
        <v>2000</v>
      </c>
      <c r="G279" s="87">
        <v>-40000</v>
      </c>
      <c r="H279" s="95">
        <v>1000</v>
      </c>
      <c r="I279" s="95">
        <v>0</v>
      </c>
      <c r="J279" s="86"/>
      <c r="K279" s="50">
        <v>0</v>
      </c>
      <c r="L279" s="95">
        <v>0</v>
      </c>
      <c r="M279" s="50">
        <v>500</v>
      </c>
      <c r="N279" s="50">
        <v>0</v>
      </c>
      <c r="O279" s="86"/>
      <c r="P279" s="50">
        <v>0</v>
      </c>
      <c r="Q279" s="95">
        <v>500</v>
      </c>
      <c r="R279" s="50">
        <v>0</v>
      </c>
      <c r="S279" s="86"/>
      <c r="T279" s="50">
        <v>1000</v>
      </c>
      <c r="U279" s="50">
        <v>1000</v>
      </c>
      <c r="V279" s="92">
        <v>41320</v>
      </c>
    </row>
    <row r="280" spans="1:22" x14ac:dyDescent="0.25">
      <c r="A280" s="34">
        <v>44620</v>
      </c>
      <c r="B280" s="56">
        <v>40030</v>
      </c>
      <c r="C280" s="112">
        <v>0</v>
      </c>
      <c r="D280" s="49">
        <v>3000</v>
      </c>
      <c r="E280" s="49">
        <v>-24000</v>
      </c>
      <c r="F280" s="49">
        <v>2000</v>
      </c>
      <c r="G280" s="50">
        <v>0</v>
      </c>
      <c r="H280" s="95">
        <v>1000</v>
      </c>
      <c r="I280" s="95">
        <v>0</v>
      </c>
      <c r="J280" s="86"/>
      <c r="K280" s="87">
        <v>-51789</v>
      </c>
      <c r="L280" s="95">
        <v>0</v>
      </c>
      <c r="M280" s="50">
        <v>0</v>
      </c>
      <c r="N280" s="50">
        <v>0</v>
      </c>
      <c r="O280" s="86"/>
      <c r="P280" s="50">
        <v>1500</v>
      </c>
      <c r="Q280" s="95">
        <v>0</v>
      </c>
      <c r="R280" s="50">
        <v>1000</v>
      </c>
      <c r="S280" s="86"/>
      <c r="T280" s="50">
        <v>0</v>
      </c>
      <c r="U280" s="50">
        <v>1000</v>
      </c>
      <c r="V280" s="92">
        <v>41333</v>
      </c>
    </row>
    <row r="281" spans="1:22" x14ac:dyDescent="0.25">
      <c r="A281" s="34">
        <v>44635</v>
      </c>
      <c r="B281" s="56">
        <v>23883</v>
      </c>
      <c r="C281" s="112">
        <v>0</v>
      </c>
      <c r="D281" s="49">
        <v>3000</v>
      </c>
      <c r="E281" s="49">
        <v>500</v>
      </c>
      <c r="F281" s="49">
        <v>2000</v>
      </c>
      <c r="G281" s="50">
        <v>500</v>
      </c>
      <c r="H281" s="95">
        <v>1000</v>
      </c>
      <c r="I281" s="95">
        <v>0</v>
      </c>
      <c r="J281" s="86"/>
      <c r="K281" s="86"/>
      <c r="L281" s="87">
        <v>-19000</v>
      </c>
      <c r="M281" s="50">
        <v>500</v>
      </c>
      <c r="N281" s="95">
        <v>0</v>
      </c>
      <c r="O281" s="86"/>
      <c r="P281" s="95">
        <v>0</v>
      </c>
      <c r="Q281" s="95">
        <v>500</v>
      </c>
      <c r="R281" s="50">
        <v>0</v>
      </c>
      <c r="S281" s="86"/>
      <c r="T281" s="50">
        <v>1000</v>
      </c>
      <c r="U281" s="50">
        <v>1000</v>
      </c>
      <c r="V281" s="92">
        <v>41348</v>
      </c>
    </row>
    <row r="282" spans="1:22" x14ac:dyDescent="0.25">
      <c r="A282" s="34">
        <v>44650</v>
      </c>
      <c r="B282" s="56">
        <v>27973</v>
      </c>
      <c r="C282" s="112">
        <v>0</v>
      </c>
      <c r="D282" s="49">
        <v>3000</v>
      </c>
      <c r="E282" s="49">
        <v>500</v>
      </c>
      <c r="F282" s="112">
        <v>2000</v>
      </c>
      <c r="G282" s="95">
        <v>0</v>
      </c>
      <c r="H282" s="95">
        <v>500</v>
      </c>
      <c r="I282" s="95">
        <v>0</v>
      </c>
      <c r="J282" s="86"/>
      <c r="K282" s="86"/>
      <c r="L282" s="86"/>
      <c r="M282" s="50">
        <v>3000</v>
      </c>
      <c r="N282" s="95">
        <v>0</v>
      </c>
      <c r="O282" s="86"/>
      <c r="P282" s="95">
        <v>0</v>
      </c>
      <c r="Q282" s="95">
        <v>0</v>
      </c>
      <c r="R282" s="50">
        <v>1000</v>
      </c>
      <c r="S282" s="86"/>
      <c r="T282" s="50">
        <v>0</v>
      </c>
      <c r="U282" s="50">
        <v>1000</v>
      </c>
      <c r="V282" s="92">
        <v>41363</v>
      </c>
    </row>
    <row r="283" spans="1:22" x14ac:dyDescent="0.25">
      <c r="A283" s="34">
        <v>44666</v>
      </c>
      <c r="B283" s="56">
        <v>25477</v>
      </c>
      <c r="C283" s="112">
        <v>0</v>
      </c>
      <c r="D283" s="49">
        <v>3000</v>
      </c>
      <c r="E283" s="49">
        <v>500</v>
      </c>
      <c r="F283" s="112">
        <v>2000</v>
      </c>
      <c r="G283" s="95">
        <v>0</v>
      </c>
      <c r="H283" s="95">
        <v>500</v>
      </c>
      <c r="I283" s="95">
        <v>0</v>
      </c>
      <c r="J283" s="86"/>
      <c r="K283" s="86"/>
      <c r="L283" s="86"/>
      <c r="M283" s="50">
        <v>3000</v>
      </c>
      <c r="N283" s="50">
        <v>0</v>
      </c>
      <c r="O283" s="86"/>
      <c r="P283" s="50">
        <v>0</v>
      </c>
      <c r="Q283" s="95">
        <v>0</v>
      </c>
      <c r="R283" s="50">
        <v>0</v>
      </c>
      <c r="S283" s="86"/>
      <c r="T283" s="50">
        <v>0</v>
      </c>
      <c r="U283" s="50">
        <v>1000</v>
      </c>
      <c r="V283" s="92">
        <v>41379</v>
      </c>
    </row>
    <row r="284" spans="1:22" x14ac:dyDescent="0.25">
      <c r="A284" s="34">
        <v>44681</v>
      </c>
      <c r="B284" s="56">
        <v>31253</v>
      </c>
      <c r="C284" s="112">
        <v>0</v>
      </c>
      <c r="D284" s="49">
        <v>3000</v>
      </c>
      <c r="E284" s="49">
        <v>500</v>
      </c>
      <c r="F284" s="112">
        <v>2000</v>
      </c>
      <c r="G284" s="95">
        <v>500</v>
      </c>
      <c r="H284" s="95">
        <v>500</v>
      </c>
      <c r="I284" s="95">
        <v>0</v>
      </c>
      <c r="J284" s="86"/>
      <c r="K284" s="86"/>
      <c r="L284" s="86"/>
      <c r="M284" s="50">
        <v>3000</v>
      </c>
      <c r="N284" s="50">
        <v>0</v>
      </c>
      <c r="O284" s="86"/>
      <c r="P284" s="50">
        <v>0</v>
      </c>
      <c r="Q284" s="95">
        <v>0</v>
      </c>
      <c r="R284" s="50">
        <v>500</v>
      </c>
      <c r="S284" s="86"/>
      <c r="T284" s="50">
        <v>0</v>
      </c>
      <c r="U284" s="50">
        <v>3000</v>
      </c>
      <c r="V284" s="92">
        <v>41394</v>
      </c>
    </row>
    <row r="285" spans="1:22" x14ac:dyDescent="0.25">
      <c r="A285" s="34">
        <v>44696</v>
      </c>
      <c r="B285" s="56">
        <v>27866</v>
      </c>
      <c r="C285" s="112">
        <v>0</v>
      </c>
      <c r="D285" s="49">
        <v>0</v>
      </c>
      <c r="E285" s="49">
        <v>500</v>
      </c>
      <c r="F285" s="112">
        <v>2000</v>
      </c>
      <c r="G285" s="95">
        <v>500</v>
      </c>
      <c r="H285" s="95">
        <v>500</v>
      </c>
      <c r="I285" s="95">
        <v>0</v>
      </c>
      <c r="J285" s="86"/>
      <c r="K285" s="86"/>
      <c r="L285" s="86"/>
      <c r="M285" s="50">
        <v>3000</v>
      </c>
      <c r="N285" s="50">
        <v>0</v>
      </c>
      <c r="O285" s="86"/>
      <c r="P285" s="50">
        <v>0</v>
      </c>
      <c r="Q285" s="95">
        <v>0</v>
      </c>
      <c r="R285" s="50">
        <v>0</v>
      </c>
      <c r="S285" s="86"/>
      <c r="T285" s="50">
        <v>0</v>
      </c>
      <c r="U285" s="50">
        <v>1000</v>
      </c>
      <c r="V285" s="92">
        <v>41409</v>
      </c>
    </row>
    <row r="286" spans="1:22" ht="15.75" thickBot="1" x14ac:dyDescent="0.3">
      <c r="A286" s="34">
        <v>44711</v>
      </c>
      <c r="B286" s="84">
        <v>34901</v>
      </c>
      <c r="C286" s="65">
        <v>0</v>
      </c>
      <c r="D286" s="65">
        <v>3000</v>
      </c>
      <c r="E286" s="65">
        <v>500</v>
      </c>
      <c r="F286" s="65">
        <v>2000</v>
      </c>
      <c r="G286" s="66">
        <v>500</v>
      </c>
      <c r="H286" s="66">
        <v>500</v>
      </c>
      <c r="I286" s="66">
        <v>500</v>
      </c>
      <c r="J286" s="60"/>
      <c r="K286" s="60"/>
      <c r="L286" s="60"/>
      <c r="M286" s="66">
        <v>3000</v>
      </c>
      <c r="N286" s="66">
        <v>0</v>
      </c>
      <c r="O286" s="60"/>
      <c r="P286" s="66">
        <v>0</v>
      </c>
      <c r="Q286" s="66">
        <v>0</v>
      </c>
      <c r="R286" s="66">
        <v>1000</v>
      </c>
      <c r="S286" s="60"/>
      <c r="T286" s="66">
        <v>0</v>
      </c>
      <c r="U286" s="66">
        <v>1000</v>
      </c>
      <c r="V286" s="93">
        <v>41424</v>
      </c>
    </row>
    <row r="287" spans="1:22" ht="15.75" thickBot="1" x14ac:dyDescent="0.3">
      <c r="A287" s="54" t="s">
        <v>7</v>
      </c>
      <c r="B287" s="55">
        <f>SUM(B275:B286)</f>
        <v>453114</v>
      </c>
      <c r="C287" s="55">
        <f>SUM(C275:C286) +C271</f>
        <v>14000</v>
      </c>
      <c r="D287" s="55">
        <f>SUM(D275:D286) + D271</f>
        <v>90240</v>
      </c>
      <c r="E287" s="55">
        <f>SUM(E275:E286) +E271</f>
        <v>43000</v>
      </c>
      <c r="F287" s="55">
        <f t="shared" ref="F287" si="23">SUM(F275:F286) + F271</f>
        <v>129267</v>
      </c>
      <c r="G287" s="88">
        <f t="shared" ref="G287" si="24">SUM(G275:G286) + G271</f>
        <v>-30000</v>
      </c>
      <c r="H287" s="58">
        <f t="shared" ref="H287" si="25">SUM(H275:H286) + H271</f>
        <v>-1500</v>
      </c>
      <c r="I287" s="58">
        <f t="shared" ref="I287" si="26">SUM(I275:I286) + I271</f>
        <v>19500</v>
      </c>
      <c r="J287" s="58">
        <f t="shared" ref="J287" si="27">SUM(J275:J286) + J271</f>
        <v>-14387</v>
      </c>
      <c r="K287" s="58">
        <f t="shared" ref="K287" si="28">SUM(K275:K286) + K271</f>
        <v>-16951</v>
      </c>
      <c r="L287" s="58">
        <f t="shared" ref="L287" si="29">SUM(L275:L286) + L271</f>
        <v>-147040</v>
      </c>
      <c r="M287" s="58">
        <f t="shared" ref="M287" si="30">SUM(M275:M286) + M271</f>
        <v>111235</v>
      </c>
      <c r="N287" s="58">
        <f t="shared" ref="N287" si="31">SUM(N275:N286) + N271</f>
        <v>92475</v>
      </c>
      <c r="O287" s="58">
        <f t="shared" ref="O287" si="32">SUM(O275:O286) + O271</f>
        <v>-78590</v>
      </c>
      <c r="P287" s="58">
        <f t="shared" ref="P287" si="33">SUM(P275:P286) + P271</f>
        <v>-77590</v>
      </c>
      <c r="Q287" s="58">
        <f t="shared" ref="Q287" si="34">SUM(Q275:Q286) + Q271</f>
        <v>33447</v>
      </c>
      <c r="R287" s="58">
        <f t="shared" ref="R287" si="35">SUM(R275:R286) + R271</f>
        <v>59500</v>
      </c>
      <c r="S287" s="58">
        <f t="shared" ref="S287" si="36">SUM(S275:S286) + S271</f>
        <v>0</v>
      </c>
      <c r="T287" s="58">
        <f>SUM(T275:T286) + T271</f>
        <v>273000</v>
      </c>
      <c r="U287" s="58">
        <f>SUM(U275:U286) + U271</f>
        <v>36488</v>
      </c>
      <c r="V287" s="90" t="s">
        <v>82</v>
      </c>
    </row>
    <row r="288" spans="1:22" ht="15.75" thickBot="1" x14ac:dyDescent="0.3"/>
    <row r="289" spans="1:17" ht="15.75" thickBot="1" x14ac:dyDescent="0.3">
      <c r="A289" s="35" t="s">
        <v>92</v>
      </c>
    </row>
    <row r="290" spans="1:17" ht="15.75" thickBot="1" x14ac:dyDescent="0.3">
      <c r="A290" s="71" t="s">
        <v>6</v>
      </c>
      <c r="B290" s="72" t="s">
        <v>60</v>
      </c>
      <c r="C290" s="73" t="s">
        <v>25</v>
      </c>
      <c r="D290" s="74" t="s">
        <v>26</v>
      </c>
      <c r="E290" s="74" t="s">
        <v>27</v>
      </c>
      <c r="F290" s="74" t="s">
        <v>84</v>
      </c>
      <c r="G290" s="75" t="s">
        <v>23</v>
      </c>
      <c r="H290" s="75" t="s">
        <v>33</v>
      </c>
      <c r="I290" s="75" t="s">
        <v>34</v>
      </c>
      <c r="J290" s="75" t="s">
        <v>8</v>
      </c>
      <c r="K290" s="75" t="s">
        <v>0</v>
      </c>
      <c r="L290" s="75" t="s">
        <v>43</v>
      </c>
      <c r="M290" s="75" t="s">
        <v>47</v>
      </c>
      <c r="N290" s="75" t="s">
        <v>85</v>
      </c>
      <c r="O290" s="75" t="s">
        <v>39</v>
      </c>
      <c r="P290" s="75" t="s">
        <v>91</v>
      </c>
      <c r="Q290" s="75" t="s">
        <v>81</v>
      </c>
    </row>
    <row r="291" spans="1:17" x14ac:dyDescent="0.25">
      <c r="A291" s="67">
        <v>43997</v>
      </c>
      <c r="B291" s="68">
        <v>18906</v>
      </c>
      <c r="C291" s="113">
        <v>0</v>
      </c>
      <c r="D291" s="69">
        <v>0</v>
      </c>
      <c r="E291" s="69">
        <v>500</v>
      </c>
      <c r="F291" s="69">
        <v>2000</v>
      </c>
      <c r="G291" s="94">
        <v>0</v>
      </c>
      <c r="H291" s="94">
        <v>500</v>
      </c>
      <c r="I291" s="94">
        <v>500</v>
      </c>
      <c r="J291" s="94">
        <v>3000</v>
      </c>
      <c r="K291" s="94">
        <v>0</v>
      </c>
      <c r="L291" s="94">
        <v>0</v>
      </c>
      <c r="M291" s="94">
        <v>0</v>
      </c>
      <c r="N291" s="70">
        <v>500</v>
      </c>
      <c r="O291" s="94">
        <v>0</v>
      </c>
      <c r="P291" s="94">
        <v>1000</v>
      </c>
      <c r="Q291" s="91">
        <v>41988</v>
      </c>
    </row>
    <row r="292" spans="1:17" x14ac:dyDescent="0.25">
      <c r="A292" s="34">
        <v>44012</v>
      </c>
      <c r="B292" s="56">
        <v>35571</v>
      </c>
      <c r="C292" s="112">
        <v>0</v>
      </c>
      <c r="D292" s="49">
        <v>3000</v>
      </c>
      <c r="E292" s="49">
        <v>500</v>
      </c>
      <c r="F292" s="49">
        <v>2000</v>
      </c>
      <c r="G292" s="95">
        <v>0</v>
      </c>
      <c r="H292" s="95">
        <v>500</v>
      </c>
      <c r="I292" s="95">
        <v>0</v>
      </c>
      <c r="J292" s="95">
        <v>3000</v>
      </c>
      <c r="K292" s="95">
        <v>0</v>
      </c>
      <c r="L292" s="95">
        <v>0</v>
      </c>
      <c r="M292" s="95">
        <v>0</v>
      </c>
      <c r="N292" s="50">
        <v>500</v>
      </c>
      <c r="O292" s="95">
        <v>3000</v>
      </c>
      <c r="P292" s="95">
        <v>0</v>
      </c>
      <c r="Q292" s="92">
        <v>42003</v>
      </c>
    </row>
    <row r="293" spans="1:17" x14ac:dyDescent="0.25">
      <c r="A293" s="34">
        <v>44027</v>
      </c>
      <c r="B293" s="56">
        <v>21186</v>
      </c>
      <c r="C293" s="112">
        <v>0</v>
      </c>
      <c r="D293" s="49">
        <v>1000</v>
      </c>
      <c r="E293" s="49">
        <v>500</v>
      </c>
      <c r="F293" s="49">
        <v>2000</v>
      </c>
      <c r="G293" s="95">
        <v>0</v>
      </c>
      <c r="H293" s="95">
        <v>500</v>
      </c>
      <c r="I293" s="95">
        <v>0</v>
      </c>
      <c r="J293" s="95">
        <v>3000</v>
      </c>
      <c r="K293" s="95">
        <v>0</v>
      </c>
      <c r="L293" s="95">
        <v>0</v>
      </c>
      <c r="M293" s="95">
        <v>500</v>
      </c>
      <c r="N293" s="50">
        <v>500</v>
      </c>
      <c r="O293" s="87">
        <v>-47000</v>
      </c>
      <c r="P293" s="95">
        <v>1000</v>
      </c>
      <c r="Q293" s="92">
        <v>41654</v>
      </c>
    </row>
    <row r="294" spans="1:17" x14ac:dyDescent="0.25">
      <c r="A294" s="34">
        <v>44042</v>
      </c>
      <c r="B294" s="56">
        <v>19323</v>
      </c>
      <c r="C294" s="112">
        <v>0</v>
      </c>
      <c r="D294" s="49">
        <v>1000</v>
      </c>
      <c r="E294" s="49">
        <v>500</v>
      </c>
      <c r="F294" s="49">
        <v>2000</v>
      </c>
      <c r="G294" s="95">
        <v>500</v>
      </c>
      <c r="H294" s="95">
        <v>500</v>
      </c>
      <c r="I294" s="95">
        <v>0</v>
      </c>
      <c r="J294" s="95">
        <v>3000</v>
      </c>
      <c r="K294" s="95">
        <v>0</v>
      </c>
      <c r="L294" s="95">
        <v>0</v>
      </c>
      <c r="M294" s="95">
        <v>0</v>
      </c>
      <c r="N294" s="50">
        <v>500</v>
      </c>
      <c r="O294" s="95">
        <v>0</v>
      </c>
      <c r="P294" s="95">
        <v>1000</v>
      </c>
      <c r="Q294" s="92">
        <v>41304</v>
      </c>
    </row>
    <row r="295" spans="1:17" x14ac:dyDescent="0.25">
      <c r="A295" s="34">
        <v>44058</v>
      </c>
      <c r="B295" s="56">
        <v>29134</v>
      </c>
      <c r="C295" s="112">
        <v>0</v>
      </c>
      <c r="D295" s="49">
        <v>0</v>
      </c>
      <c r="E295" s="49">
        <v>500</v>
      </c>
      <c r="F295" s="49">
        <v>2000</v>
      </c>
      <c r="G295" s="95">
        <v>500</v>
      </c>
      <c r="H295" s="95">
        <v>500</v>
      </c>
      <c r="I295" s="95">
        <v>0</v>
      </c>
      <c r="J295" s="95">
        <v>3000</v>
      </c>
      <c r="K295" s="95">
        <v>0</v>
      </c>
      <c r="L295" s="95">
        <v>0</v>
      </c>
      <c r="M295" s="95">
        <v>0</v>
      </c>
      <c r="N295" s="50">
        <v>500</v>
      </c>
      <c r="O295" s="95">
        <v>500</v>
      </c>
      <c r="P295" s="50">
        <v>500</v>
      </c>
      <c r="Q295" s="92">
        <v>41320</v>
      </c>
    </row>
    <row r="296" spans="1:17" x14ac:dyDescent="0.25">
      <c r="A296" s="34">
        <v>44073</v>
      </c>
      <c r="B296" s="56">
        <v>16821</v>
      </c>
      <c r="C296" s="112">
        <v>0</v>
      </c>
      <c r="D296" s="49">
        <v>0</v>
      </c>
      <c r="E296" s="49">
        <v>500</v>
      </c>
      <c r="F296" s="49">
        <v>2000</v>
      </c>
      <c r="G296" s="95">
        <v>0</v>
      </c>
      <c r="H296" s="95">
        <v>500</v>
      </c>
      <c r="I296" s="95">
        <v>0</v>
      </c>
      <c r="J296" s="95">
        <v>3000</v>
      </c>
      <c r="K296" s="95">
        <v>0</v>
      </c>
      <c r="L296" s="95">
        <v>0</v>
      </c>
      <c r="M296" s="95">
        <v>0</v>
      </c>
      <c r="N296" s="50">
        <v>500</v>
      </c>
      <c r="O296" s="95">
        <v>500</v>
      </c>
      <c r="P296" s="50">
        <v>500</v>
      </c>
      <c r="Q296" s="92">
        <v>41333</v>
      </c>
    </row>
    <row r="297" spans="1:17" x14ac:dyDescent="0.25">
      <c r="A297" s="34">
        <v>44089</v>
      </c>
      <c r="B297" s="56">
        <v>16255</v>
      </c>
      <c r="C297" s="112">
        <v>0</v>
      </c>
      <c r="D297" s="49">
        <v>0</v>
      </c>
      <c r="E297" s="49">
        <v>500</v>
      </c>
      <c r="F297" s="49">
        <v>2000</v>
      </c>
      <c r="G297" s="95">
        <v>0</v>
      </c>
      <c r="H297" s="95">
        <v>500</v>
      </c>
      <c r="I297" s="95">
        <v>600</v>
      </c>
      <c r="J297" s="95">
        <v>3000</v>
      </c>
      <c r="K297" s="95">
        <v>0</v>
      </c>
      <c r="L297" s="95">
        <v>1000</v>
      </c>
      <c r="M297" s="95">
        <v>0</v>
      </c>
      <c r="N297" s="95">
        <v>500</v>
      </c>
      <c r="O297" s="95">
        <v>500</v>
      </c>
      <c r="P297" s="95">
        <v>500</v>
      </c>
      <c r="Q297" s="92">
        <v>41348</v>
      </c>
    </row>
    <row r="298" spans="1:17" x14ac:dyDescent="0.25">
      <c r="A298" s="34">
        <v>44104</v>
      </c>
      <c r="B298" s="56">
        <v>17572</v>
      </c>
      <c r="C298" s="112">
        <v>0</v>
      </c>
      <c r="D298" s="49">
        <v>0</v>
      </c>
      <c r="E298" s="49">
        <v>0</v>
      </c>
      <c r="F298" s="112">
        <v>2000</v>
      </c>
      <c r="G298" s="95">
        <v>0</v>
      </c>
      <c r="H298" s="95">
        <v>500</v>
      </c>
      <c r="I298" s="95">
        <v>500</v>
      </c>
      <c r="J298" s="95">
        <v>3000</v>
      </c>
      <c r="K298" s="95">
        <v>0</v>
      </c>
      <c r="L298" s="95">
        <v>0</v>
      </c>
      <c r="M298" s="95">
        <v>0</v>
      </c>
      <c r="N298" s="95">
        <v>500</v>
      </c>
      <c r="O298" s="95">
        <v>1000</v>
      </c>
      <c r="P298" s="95">
        <v>0</v>
      </c>
      <c r="Q298" s="92">
        <v>41363</v>
      </c>
    </row>
    <row r="299" spans="1:17" x14ac:dyDescent="0.25">
      <c r="A299" s="34">
        <v>44119</v>
      </c>
      <c r="B299" s="56">
        <v>45181</v>
      </c>
      <c r="C299" s="112">
        <v>0</v>
      </c>
      <c r="D299" s="49">
        <v>0</v>
      </c>
      <c r="E299" s="49">
        <v>0</v>
      </c>
      <c r="F299" s="112">
        <v>2000</v>
      </c>
      <c r="G299" s="95">
        <v>0</v>
      </c>
      <c r="H299" s="95">
        <v>500</v>
      </c>
      <c r="I299" s="95">
        <v>500</v>
      </c>
      <c r="J299" s="95">
        <v>3000</v>
      </c>
      <c r="K299" s="95">
        <v>0</v>
      </c>
      <c r="L299" s="95">
        <v>1000</v>
      </c>
      <c r="M299" s="95">
        <v>500</v>
      </c>
      <c r="N299" s="50">
        <v>0</v>
      </c>
      <c r="O299" s="95">
        <v>500</v>
      </c>
      <c r="P299" s="50">
        <v>1000</v>
      </c>
      <c r="Q299" s="92">
        <v>41379</v>
      </c>
    </row>
    <row r="300" spans="1:17" x14ac:dyDescent="0.25">
      <c r="A300" s="34">
        <v>44134</v>
      </c>
      <c r="B300" s="56">
        <v>10012</v>
      </c>
      <c r="C300" s="112">
        <v>0</v>
      </c>
      <c r="D300" s="49">
        <v>0</v>
      </c>
      <c r="E300" s="49">
        <v>0</v>
      </c>
      <c r="F300" s="112">
        <v>2000</v>
      </c>
      <c r="G300" s="95">
        <v>0</v>
      </c>
      <c r="H300" s="95">
        <v>500</v>
      </c>
      <c r="I300" s="95">
        <v>0</v>
      </c>
      <c r="J300" s="95">
        <v>3000</v>
      </c>
      <c r="K300" s="95">
        <v>0</v>
      </c>
      <c r="L300" s="95">
        <v>1000</v>
      </c>
      <c r="M300" s="95">
        <v>0</v>
      </c>
      <c r="N300" s="50">
        <v>500</v>
      </c>
      <c r="O300" s="95">
        <v>1000</v>
      </c>
      <c r="P300" s="50">
        <v>0</v>
      </c>
      <c r="Q300" s="92">
        <v>41394</v>
      </c>
    </row>
    <row r="301" spans="1:17" x14ac:dyDescent="0.25">
      <c r="A301" s="34">
        <v>44150</v>
      </c>
      <c r="B301" s="56">
        <v>22932</v>
      </c>
      <c r="C301" s="112">
        <v>0</v>
      </c>
      <c r="D301" s="49">
        <v>2000</v>
      </c>
      <c r="E301" s="49">
        <v>1000</v>
      </c>
      <c r="F301" s="112">
        <v>2000</v>
      </c>
      <c r="G301" s="95">
        <v>0</v>
      </c>
      <c r="H301" s="95">
        <v>500</v>
      </c>
      <c r="I301" s="95">
        <v>500</v>
      </c>
      <c r="J301" s="95">
        <v>3000</v>
      </c>
      <c r="K301" s="95">
        <v>0</v>
      </c>
      <c r="L301" s="95">
        <v>1000</v>
      </c>
      <c r="M301" s="95">
        <v>0</v>
      </c>
      <c r="N301" s="50">
        <v>500</v>
      </c>
      <c r="O301" s="95">
        <v>1000</v>
      </c>
      <c r="P301" s="50">
        <v>1000</v>
      </c>
      <c r="Q301" s="92">
        <v>41409</v>
      </c>
    </row>
    <row r="302" spans="1:17" ht="15.75" thickBot="1" x14ac:dyDescent="0.3">
      <c r="A302" s="34">
        <v>44165</v>
      </c>
      <c r="B302" s="84">
        <v>13990</v>
      </c>
      <c r="C302" s="65">
        <v>0</v>
      </c>
      <c r="D302" s="65">
        <v>3000</v>
      </c>
      <c r="E302" s="65">
        <v>0</v>
      </c>
      <c r="F302" s="65">
        <v>2000</v>
      </c>
      <c r="G302" s="66">
        <v>0</v>
      </c>
      <c r="H302" s="66">
        <v>500</v>
      </c>
      <c r="I302" s="66">
        <v>500</v>
      </c>
      <c r="J302" s="89">
        <v>-195169</v>
      </c>
      <c r="K302" s="66">
        <v>0</v>
      </c>
      <c r="L302" s="66">
        <v>0</v>
      </c>
      <c r="M302" s="66">
        <v>0</v>
      </c>
      <c r="N302" s="66">
        <v>0</v>
      </c>
      <c r="O302" s="66">
        <v>0</v>
      </c>
      <c r="P302" s="66">
        <v>1000</v>
      </c>
      <c r="Q302" s="93">
        <v>41424</v>
      </c>
    </row>
    <row r="303" spans="1:17" ht="15.75" thickBot="1" x14ac:dyDescent="0.3">
      <c r="A303" s="54" t="s">
        <v>7</v>
      </c>
      <c r="B303" s="55">
        <f>SUM(B291:B302)</f>
        <v>266883</v>
      </c>
      <c r="C303" s="55">
        <f>SUM(C291:C302) +C287</f>
        <v>14000</v>
      </c>
      <c r="D303" s="55">
        <f>SUM(D291:D302) + D287</f>
        <v>100240</v>
      </c>
      <c r="E303" s="55">
        <f>SUM(E291:E302) +E287</f>
        <v>47500</v>
      </c>
      <c r="F303" s="55">
        <f t="shared" ref="F303" si="37">SUM(F291:F302) + F287</f>
        <v>153267</v>
      </c>
      <c r="G303" s="58">
        <f t="shared" ref="G303" si="38">SUM(G291:G302) + G287</f>
        <v>-29000</v>
      </c>
      <c r="H303" s="58">
        <f t="shared" ref="H303" si="39">SUM(H291:H302) + H287</f>
        <v>4500</v>
      </c>
      <c r="I303" s="58">
        <f t="shared" ref="I303" si="40">SUM(I291:I302) + I287</f>
        <v>22600</v>
      </c>
      <c r="J303" s="58">
        <f>SUM(J291:J302) + M287</f>
        <v>-50934</v>
      </c>
      <c r="K303" s="58">
        <f>SUM(K291:K302) + N287</f>
        <v>92475</v>
      </c>
      <c r="L303" s="58">
        <f>SUM(L291:L302) + P287</f>
        <v>-73590</v>
      </c>
      <c r="M303" s="58">
        <f>SUM(M291:M302) + Q287</f>
        <v>34447</v>
      </c>
      <c r="N303" s="58">
        <f>SUM(N291:N302) + R287</f>
        <v>64500</v>
      </c>
      <c r="O303" s="58">
        <f>SUM(O291:O302) + T287</f>
        <v>234000</v>
      </c>
      <c r="P303" s="58">
        <f>SUM(P291:P302) + U287</f>
        <v>43988</v>
      </c>
      <c r="Q303" s="90" t="s">
        <v>82</v>
      </c>
    </row>
    <row r="304" spans="1:17" ht="15.75" thickBot="1" x14ac:dyDescent="0.3"/>
    <row r="305" spans="1:17" ht="15.75" thickBot="1" x14ac:dyDescent="0.3">
      <c r="A305" s="35" t="s">
        <v>93</v>
      </c>
    </row>
    <row r="306" spans="1:17" ht="15.75" thickBot="1" x14ac:dyDescent="0.3">
      <c r="A306" s="71" t="s">
        <v>6</v>
      </c>
      <c r="B306" s="72" t="s">
        <v>60</v>
      </c>
      <c r="C306" s="73" t="s">
        <v>25</v>
      </c>
      <c r="D306" s="74" t="s">
        <v>26</v>
      </c>
      <c r="E306" s="74" t="s">
        <v>27</v>
      </c>
      <c r="F306" s="74" t="s">
        <v>84</v>
      </c>
      <c r="G306" s="75" t="s">
        <v>23</v>
      </c>
      <c r="H306" s="75" t="s">
        <v>33</v>
      </c>
      <c r="I306" s="75" t="s">
        <v>34</v>
      </c>
      <c r="J306" s="75" t="s">
        <v>8</v>
      </c>
      <c r="K306" s="75" t="s">
        <v>0</v>
      </c>
      <c r="L306" s="75" t="s">
        <v>43</v>
      </c>
      <c r="M306" s="75" t="s">
        <v>47</v>
      </c>
      <c r="N306" s="75" t="s">
        <v>85</v>
      </c>
      <c r="O306" s="75" t="s">
        <v>39</v>
      </c>
      <c r="P306" s="75" t="s">
        <v>91</v>
      </c>
      <c r="Q306" s="75" t="s">
        <v>81</v>
      </c>
    </row>
    <row r="307" spans="1:17" x14ac:dyDescent="0.25">
      <c r="A307" s="67">
        <v>41988</v>
      </c>
      <c r="B307" s="68">
        <v>41544</v>
      </c>
      <c r="C307" s="113">
        <v>0</v>
      </c>
      <c r="D307" s="69">
        <v>2000</v>
      </c>
      <c r="E307" s="69">
        <v>500</v>
      </c>
      <c r="F307" s="69">
        <v>3000</v>
      </c>
      <c r="G307" s="94">
        <v>782</v>
      </c>
      <c r="H307" s="94">
        <v>500</v>
      </c>
      <c r="I307" s="77">
        <v>0</v>
      </c>
      <c r="J307" s="77">
        <v>0</v>
      </c>
      <c r="K307" s="77">
        <v>0</v>
      </c>
      <c r="L307" s="77">
        <v>0</v>
      </c>
      <c r="M307" s="77">
        <v>0</v>
      </c>
      <c r="N307" s="77">
        <v>0</v>
      </c>
      <c r="O307" s="94">
        <v>1000</v>
      </c>
      <c r="P307" s="94">
        <v>1000</v>
      </c>
      <c r="Q307" s="91">
        <v>41988</v>
      </c>
    </row>
    <row r="308" spans="1:17" x14ac:dyDescent="0.25">
      <c r="A308" s="34">
        <v>42003</v>
      </c>
      <c r="B308" s="56">
        <v>18227</v>
      </c>
      <c r="C308" s="112">
        <v>0</v>
      </c>
      <c r="D308" s="49">
        <v>2000</v>
      </c>
      <c r="E308" s="49">
        <v>500</v>
      </c>
      <c r="F308" s="76">
        <v>0</v>
      </c>
      <c r="G308" s="95">
        <v>500</v>
      </c>
      <c r="H308" s="95">
        <v>500</v>
      </c>
      <c r="I308" s="95">
        <v>500</v>
      </c>
      <c r="J308" s="86">
        <v>0</v>
      </c>
      <c r="K308" s="86">
        <v>0</v>
      </c>
      <c r="L308" s="95">
        <v>2000</v>
      </c>
      <c r="M308" s="87">
        <v>-25000</v>
      </c>
      <c r="N308" s="50">
        <v>500</v>
      </c>
      <c r="O308" s="95">
        <v>1000</v>
      </c>
      <c r="P308" s="86">
        <v>0</v>
      </c>
      <c r="Q308" s="92">
        <v>42003</v>
      </c>
    </row>
    <row r="309" spans="1:17" x14ac:dyDescent="0.25">
      <c r="A309" s="34">
        <v>41654</v>
      </c>
      <c r="B309" s="56">
        <v>17938</v>
      </c>
      <c r="C309" s="112">
        <v>0</v>
      </c>
      <c r="D309" s="76">
        <v>0</v>
      </c>
      <c r="E309" s="76">
        <v>0</v>
      </c>
      <c r="F309" s="76">
        <v>0</v>
      </c>
      <c r="G309" s="86">
        <v>0</v>
      </c>
      <c r="H309" s="95">
        <v>500</v>
      </c>
      <c r="I309" s="86">
        <v>0</v>
      </c>
      <c r="J309" s="86">
        <v>0</v>
      </c>
      <c r="K309" s="95">
        <v>1000</v>
      </c>
      <c r="L309" s="86">
        <v>0</v>
      </c>
      <c r="M309" s="86">
        <v>0</v>
      </c>
      <c r="N309" s="50">
        <v>500</v>
      </c>
      <c r="O309" s="95">
        <v>1000</v>
      </c>
      <c r="P309" s="86">
        <v>0</v>
      </c>
      <c r="Q309" s="92">
        <v>41654</v>
      </c>
    </row>
    <row r="310" spans="1:17" x14ac:dyDescent="0.25">
      <c r="A310" s="34">
        <v>41304</v>
      </c>
      <c r="B310" s="56">
        <v>15173</v>
      </c>
      <c r="C310" s="112">
        <v>0</v>
      </c>
      <c r="D310" s="49">
        <v>3000</v>
      </c>
      <c r="E310" s="76">
        <v>0</v>
      </c>
      <c r="F310" s="76">
        <v>0</v>
      </c>
      <c r="G310" s="86">
        <v>0</v>
      </c>
      <c r="H310" s="95">
        <v>500</v>
      </c>
      <c r="I310" s="86">
        <v>0</v>
      </c>
      <c r="J310" s="86">
        <v>0</v>
      </c>
      <c r="K310" s="95">
        <v>1000</v>
      </c>
      <c r="L310" s="86">
        <v>0</v>
      </c>
      <c r="M310" s="86">
        <v>0</v>
      </c>
      <c r="N310" s="86">
        <v>0</v>
      </c>
      <c r="O310" s="86">
        <v>0</v>
      </c>
      <c r="P310" s="95">
        <v>1000</v>
      </c>
      <c r="Q310" s="92">
        <v>41304</v>
      </c>
    </row>
    <row r="311" spans="1:17" x14ac:dyDescent="0.25">
      <c r="A311" s="34">
        <v>41320</v>
      </c>
      <c r="B311" s="56">
        <v>16304</v>
      </c>
      <c r="C311" s="112">
        <v>0</v>
      </c>
      <c r="D311" s="49">
        <v>3000</v>
      </c>
      <c r="E311" s="76">
        <v>0</v>
      </c>
      <c r="F311" s="76">
        <v>0</v>
      </c>
      <c r="G311" s="95">
        <v>500</v>
      </c>
      <c r="H311" s="95">
        <v>500</v>
      </c>
      <c r="I311" s="95">
        <v>500</v>
      </c>
      <c r="J311" s="86">
        <v>0</v>
      </c>
      <c r="K311" s="95">
        <v>1000</v>
      </c>
      <c r="L311" s="95">
        <v>1000</v>
      </c>
      <c r="M311" s="86">
        <v>0</v>
      </c>
      <c r="N311" s="86">
        <v>0</v>
      </c>
      <c r="O311" s="86">
        <v>0</v>
      </c>
      <c r="P311" s="50">
        <v>1000</v>
      </c>
      <c r="Q311" s="92">
        <v>41320</v>
      </c>
    </row>
    <row r="312" spans="1:17" x14ac:dyDescent="0.25">
      <c r="A312" s="34">
        <v>41333</v>
      </c>
      <c r="B312" s="56">
        <v>21519</v>
      </c>
      <c r="C312" s="112">
        <v>0</v>
      </c>
      <c r="D312" s="49">
        <v>1000</v>
      </c>
      <c r="E312" s="49">
        <v>1000</v>
      </c>
      <c r="F312" s="76">
        <v>0</v>
      </c>
      <c r="G312" s="86">
        <v>0</v>
      </c>
      <c r="H312" s="95">
        <v>500</v>
      </c>
      <c r="I312" s="86">
        <v>0</v>
      </c>
      <c r="J312" s="86">
        <v>0</v>
      </c>
      <c r="K312" s="95">
        <v>1000</v>
      </c>
      <c r="L312" s="86">
        <v>0</v>
      </c>
      <c r="M312" s="86">
        <v>0</v>
      </c>
      <c r="N312" s="50">
        <v>500</v>
      </c>
      <c r="O312" s="95">
        <v>1000</v>
      </c>
      <c r="P312" s="50">
        <v>500</v>
      </c>
      <c r="Q312" s="92">
        <v>41333</v>
      </c>
    </row>
    <row r="313" spans="1:17" x14ac:dyDescent="0.25">
      <c r="A313" s="34">
        <v>41348</v>
      </c>
      <c r="B313" s="56">
        <v>20455</v>
      </c>
      <c r="C313" s="112">
        <v>0</v>
      </c>
      <c r="D313" s="49">
        <v>1000</v>
      </c>
      <c r="E313" s="49">
        <v>500</v>
      </c>
      <c r="F313" s="76">
        <v>0</v>
      </c>
      <c r="G313" s="95">
        <v>500</v>
      </c>
      <c r="H313" s="95">
        <v>500</v>
      </c>
      <c r="I313" s="86">
        <v>0</v>
      </c>
      <c r="J313" s="86">
        <v>0</v>
      </c>
      <c r="K313" s="95">
        <v>1000</v>
      </c>
      <c r="L313" s="86">
        <v>0</v>
      </c>
      <c r="M313" s="86">
        <v>0</v>
      </c>
      <c r="N313" s="95">
        <v>500</v>
      </c>
      <c r="O313" s="95">
        <v>1000</v>
      </c>
      <c r="P313" s="95">
        <v>500</v>
      </c>
      <c r="Q313" s="92">
        <v>41348</v>
      </c>
    </row>
    <row r="314" spans="1:17" x14ac:dyDescent="0.25">
      <c r="A314" s="34">
        <v>41363</v>
      </c>
      <c r="B314" s="56">
        <v>23997</v>
      </c>
      <c r="C314" s="112">
        <v>0</v>
      </c>
      <c r="D314" s="49">
        <v>1000</v>
      </c>
      <c r="E314" s="49">
        <v>500</v>
      </c>
      <c r="F314" s="76">
        <v>0</v>
      </c>
      <c r="G314" s="86">
        <v>0</v>
      </c>
      <c r="H314" s="95">
        <v>500</v>
      </c>
      <c r="I314" s="95">
        <v>1000</v>
      </c>
      <c r="J314" s="86">
        <v>0</v>
      </c>
      <c r="K314" s="95">
        <v>1000</v>
      </c>
      <c r="L314" s="95">
        <v>1000</v>
      </c>
      <c r="M314" s="86">
        <v>0</v>
      </c>
      <c r="N314" s="86">
        <v>0</v>
      </c>
      <c r="O314" s="86">
        <v>0</v>
      </c>
      <c r="P314" s="95">
        <v>500</v>
      </c>
      <c r="Q314" s="92">
        <v>41363</v>
      </c>
    </row>
    <row r="315" spans="1:17" x14ac:dyDescent="0.25">
      <c r="A315" s="34">
        <v>41379</v>
      </c>
      <c r="B315" s="56">
        <v>16465</v>
      </c>
      <c r="C315" s="112">
        <v>0</v>
      </c>
      <c r="D315" s="49">
        <v>3000</v>
      </c>
      <c r="E315" s="76">
        <v>0</v>
      </c>
      <c r="F315" s="76">
        <v>0</v>
      </c>
      <c r="G315" s="95">
        <v>500</v>
      </c>
      <c r="H315" s="95">
        <v>500</v>
      </c>
      <c r="I315" s="86">
        <v>0</v>
      </c>
      <c r="J315" s="86">
        <v>0</v>
      </c>
      <c r="K315" s="95">
        <v>1000</v>
      </c>
      <c r="L315" s="86">
        <v>0</v>
      </c>
      <c r="M315" s="86">
        <v>0</v>
      </c>
      <c r="N315" s="50">
        <v>500</v>
      </c>
      <c r="O315" s="95">
        <v>1000</v>
      </c>
      <c r="P315" s="50">
        <v>1000</v>
      </c>
      <c r="Q315" s="92">
        <v>41379</v>
      </c>
    </row>
    <row r="316" spans="1:17" x14ac:dyDescent="0.25">
      <c r="A316" s="34">
        <v>41394</v>
      </c>
      <c r="B316" s="56">
        <v>25932</v>
      </c>
      <c r="C316" s="112">
        <v>0</v>
      </c>
      <c r="D316" s="49">
        <v>2000</v>
      </c>
      <c r="E316" s="76">
        <v>0</v>
      </c>
      <c r="F316" s="76">
        <v>0</v>
      </c>
      <c r="G316" s="86">
        <v>0</v>
      </c>
      <c r="H316" s="95">
        <v>500</v>
      </c>
      <c r="I316" s="86">
        <v>0</v>
      </c>
      <c r="J316" s="86">
        <v>0</v>
      </c>
      <c r="K316" s="95">
        <v>1000</v>
      </c>
      <c r="L316" s="86">
        <v>0</v>
      </c>
      <c r="M316" s="86">
        <v>0</v>
      </c>
      <c r="N316" s="86">
        <v>0</v>
      </c>
      <c r="O316" s="95">
        <v>1000</v>
      </c>
      <c r="P316" s="50">
        <v>750</v>
      </c>
      <c r="Q316" s="92">
        <v>41394</v>
      </c>
    </row>
    <row r="317" spans="1:17" x14ac:dyDescent="0.25">
      <c r="A317" s="34">
        <v>41409</v>
      </c>
      <c r="B317" s="56">
        <v>12366</v>
      </c>
      <c r="C317" s="112">
        <v>0</v>
      </c>
      <c r="D317" s="49">
        <v>3000</v>
      </c>
      <c r="E317" s="76">
        <v>0</v>
      </c>
      <c r="F317" s="76">
        <v>0</v>
      </c>
      <c r="G317" s="86">
        <v>0</v>
      </c>
      <c r="H317" s="95">
        <v>500</v>
      </c>
      <c r="I317" s="86">
        <v>0</v>
      </c>
      <c r="J317" s="86">
        <v>0</v>
      </c>
      <c r="K317" s="95">
        <v>1000</v>
      </c>
      <c r="L317" s="95">
        <v>1000</v>
      </c>
      <c r="M317" s="86">
        <v>0</v>
      </c>
      <c r="N317" s="50">
        <v>500</v>
      </c>
      <c r="O317" s="95">
        <v>1000</v>
      </c>
      <c r="P317" s="86"/>
      <c r="Q317" s="92">
        <v>41409</v>
      </c>
    </row>
    <row r="318" spans="1:17" ht="15.75" thickBot="1" x14ac:dyDescent="0.3">
      <c r="A318" s="34">
        <v>41424</v>
      </c>
      <c r="B318" s="84">
        <v>76167</v>
      </c>
      <c r="C318" s="65">
        <v>0</v>
      </c>
      <c r="D318" s="59"/>
      <c r="E318" s="65">
        <v>1000</v>
      </c>
      <c r="F318" s="59">
        <v>0</v>
      </c>
      <c r="G318" s="66">
        <v>500</v>
      </c>
      <c r="H318" s="66">
        <v>500</v>
      </c>
      <c r="I318" s="66">
        <v>1000</v>
      </c>
      <c r="J318" s="60">
        <v>0</v>
      </c>
      <c r="K318" s="66">
        <v>1000</v>
      </c>
      <c r="L318" s="60"/>
      <c r="M318" s="60">
        <v>0</v>
      </c>
      <c r="N318" s="66">
        <v>500</v>
      </c>
      <c r="O318" s="66">
        <v>1000</v>
      </c>
      <c r="P318" s="60"/>
      <c r="Q318" s="93">
        <v>41424</v>
      </c>
    </row>
    <row r="319" spans="1:17" ht="15.75" thickBot="1" x14ac:dyDescent="0.3">
      <c r="A319" s="54" t="s">
        <v>7</v>
      </c>
      <c r="B319" s="55">
        <f>SUM(B307:B318)</f>
        <v>306087</v>
      </c>
      <c r="C319" s="55">
        <f>SUM(C307:C318) +C303</f>
        <v>14000</v>
      </c>
      <c r="D319" s="55">
        <f>SUM(D307:D318) + D303</f>
        <v>121240</v>
      </c>
      <c r="E319" s="55">
        <f>SUM(E307:E318) +E303</f>
        <v>51500</v>
      </c>
      <c r="F319" s="55">
        <f t="shared" ref="F319" si="41">SUM(F307:F318) + F303</f>
        <v>156267</v>
      </c>
      <c r="G319" s="58">
        <f t="shared" ref="G319" si="42">SUM(G307:G318) + G303</f>
        <v>-25718</v>
      </c>
      <c r="H319" s="58">
        <f t="shared" ref="H319" si="43">SUM(H307:H318) + H303</f>
        <v>10500</v>
      </c>
      <c r="I319" s="58">
        <f t="shared" ref="I319" si="44">SUM(I307:I318) + I303</f>
        <v>25600</v>
      </c>
      <c r="J319" s="58">
        <f>SUM(J307:J318) + J303</f>
        <v>-50934</v>
      </c>
      <c r="K319" s="58">
        <f>SUM(K307:K318) + K303</f>
        <v>102475</v>
      </c>
      <c r="L319" s="58">
        <f>SUM(L307:L318) + L303</f>
        <v>-68590</v>
      </c>
      <c r="M319" s="58">
        <f>SUM(M307:M318) + M303</f>
        <v>9447</v>
      </c>
      <c r="N319" s="58">
        <f>SUM(N307:N318) + N303</f>
        <v>68000</v>
      </c>
      <c r="O319" s="58">
        <f>SUM(O307:O318) + O303</f>
        <v>243000</v>
      </c>
      <c r="P319" s="58">
        <f>SUM(P307:P318) + P303</f>
        <v>50238</v>
      </c>
      <c r="Q319" s="90" t="s">
        <v>82</v>
      </c>
    </row>
    <row r="320" spans="1:17" ht="15.75" thickBot="1" x14ac:dyDescent="0.3"/>
    <row r="321" spans="1:15" ht="15.75" thickBot="1" x14ac:dyDescent="0.3">
      <c r="A321" s="35" t="s">
        <v>94</v>
      </c>
    </row>
    <row r="322" spans="1:15" ht="15.75" thickBot="1" x14ac:dyDescent="0.3">
      <c r="A322" s="71" t="s">
        <v>6</v>
      </c>
      <c r="B322" s="72" t="s">
        <v>60</v>
      </c>
      <c r="C322" s="73" t="s">
        <v>25</v>
      </c>
      <c r="D322" s="74" t="s">
        <v>26</v>
      </c>
      <c r="E322" s="114" t="s">
        <v>27</v>
      </c>
      <c r="F322" s="74" t="s">
        <v>23</v>
      </c>
      <c r="G322" s="75" t="s">
        <v>33</v>
      </c>
      <c r="H322" s="75" t="s">
        <v>34</v>
      </c>
      <c r="I322" s="75" t="s">
        <v>0</v>
      </c>
      <c r="J322" s="75" t="s">
        <v>43</v>
      </c>
      <c r="K322" s="75" t="s">
        <v>47</v>
      </c>
      <c r="L322" s="75" t="s">
        <v>85</v>
      </c>
      <c r="M322" s="75" t="s">
        <v>39</v>
      </c>
      <c r="N322" s="75" t="s">
        <v>91</v>
      </c>
      <c r="O322" s="75" t="s">
        <v>81</v>
      </c>
    </row>
    <row r="323" spans="1:15" x14ac:dyDescent="0.25">
      <c r="A323" s="67">
        <v>45092</v>
      </c>
      <c r="B323" s="68">
        <v>38402</v>
      </c>
      <c r="C323" s="85"/>
      <c r="D323" s="113">
        <v>2000</v>
      </c>
      <c r="E323" s="85"/>
      <c r="F323" s="85"/>
      <c r="G323" s="94">
        <v>500</v>
      </c>
      <c r="H323" s="77"/>
      <c r="I323" s="94">
        <v>1000</v>
      </c>
      <c r="J323" s="94">
        <v>500</v>
      </c>
      <c r="K323" s="77"/>
      <c r="L323" s="94">
        <v>500</v>
      </c>
      <c r="M323" s="94">
        <v>1000</v>
      </c>
      <c r="N323" s="94">
        <v>1280</v>
      </c>
      <c r="O323" s="91">
        <v>43997</v>
      </c>
    </row>
    <row r="324" spans="1:15" x14ac:dyDescent="0.25">
      <c r="A324" s="34">
        <v>45107</v>
      </c>
      <c r="B324" s="56">
        <v>11745</v>
      </c>
      <c r="C324" s="76"/>
      <c r="D324" s="112">
        <v>2000</v>
      </c>
      <c r="E324" s="76"/>
      <c r="F324" s="112">
        <v>500</v>
      </c>
      <c r="G324" s="95">
        <v>500</v>
      </c>
      <c r="H324" s="86"/>
      <c r="I324" s="95">
        <v>1000</v>
      </c>
      <c r="J324" s="86"/>
      <c r="K324" s="86"/>
      <c r="L324" s="95">
        <v>500</v>
      </c>
      <c r="M324" s="95">
        <v>1000</v>
      </c>
      <c r="N324" s="86"/>
      <c r="O324" s="92">
        <v>44012</v>
      </c>
    </row>
    <row r="325" spans="1:15" x14ac:dyDescent="0.25">
      <c r="A325" s="34">
        <v>44027</v>
      </c>
      <c r="B325" s="56">
        <v>12560</v>
      </c>
      <c r="C325" s="76"/>
      <c r="D325" s="76"/>
      <c r="E325" s="76"/>
      <c r="F325" s="76"/>
      <c r="G325" s="95">
        <v>500</v>
      </c>
      <c r="H325" s="86"/>
      <c r="I325" s="95">
        <v>1000</v>
      </c>
      <c r="J325" s="95">
        <v>1000</v>
      </c>
      <c r="K325" s="86"/>
      <c r="L325" s="86"/>
      <c r="M325" s="95">
        <v>1000</v>
      </c>
      <c r="N325" s="86"/>
      <c r="O325" s="92">
        <v>44027</v>
      </c>
    </row>
    <row r="326" spans="1:15" x14ac:dyDescent="0.25">
      <c r="A326" s="34">
        <v>44042</v>
      </c>
      <c r="B326" s="56">
        <v>24935</v>
      </c>
      <c r="C326" s="76"/>
      <c r="D326" s="76"/>
      <c r="E326" s="76"/>
      <c r="F326" s="76"/>
      <c r="G326" s="95">
        <v>500</v>
      </c>
      <c r="H326" s="86"/>
      <c r="I326" s="95">
        <v>1000</v>
      </c>
      <c r="J326" s="86"/>
      <c r="K326" s="86"/>
      <c r="L326" s="86"/>
      <c r="M326" s="95">
        <v>1000</v>
      </c>
      <c r="N326" s="86"/>
      <c r="O326" s="92">
        <v>44042</v>
      </c>
    </row>
    <row r="327" spans="1:15" x14ac:dyDescent="0.25">
      <c r="A327" s="34">
        <v>44058</v>
      </c>
      <c r="B327" s="56">
        <v>14160</v>
      </c>
      <c r="C327" s="76"/>
      <c r="D327" s="76"/>
      <c r="E327" s="76"/>
      <c r="F327" s="76"/>
      <c r="G327" s="95">
        <v>500</v>
      </c>
      <c r="H327" s="86"/>
      <c r="I327" s="95">
        <v>1000</v>
      </c>
      <c r="J327" s="95">
        <v>1000</v>
      </c>
      <c r="K327" s="86"/>
      <c r="L327" s="86"/>
      <c r="M327" s="95">
        <v>1000</v>
      </c>
      <c r="N327" s="95">
        <v>3000</v>
      </c>
      <c r="O327" s="92">
        <v>44058</v>
      </c>
    </row>
    <row r="328" spans="1:15" x14ac:dyDescent="0.25">
      <c r="A328" s="34">
        <v>44073</v>
      </c>
      <c r="B328" s="56">
        <v>13495</v>
      </c>
      <c r="C328" s="76"/>
      <c r="D328" s="76"/>
      <c r="E328" s="76"/>
      <c r="F328" s="112">
        <v>500</v>
      </c>
      <c r="G328" s="95">
        <v>500</v>
      </c>
      <c r="H328" s="86"/>
      <c r="I328" s="95">
        <v>1000</v>
      </c>
      <c r="J328" s="86"/>
      <c r="K328" s="86"/>
      <c r="L328" s="95">
        <v>500</v>
      </c>
      <c r="M328" s="95">
        <v>1000</v>
      </c>
      <c r="N328" s="86"/>
      <c r="O328" s="92">
        <v>44073</v>
      </c>
    </row>
    <row r="329" spans="1:15" x14ac:dyDescent="0.25">
      <c r="A329" s="34">
        <v>44089</v>
      </c>
      <c r="B329" s="56">
        <v>40175</v>
      </c>
      <c r="C329" s="76"/>
      <c r="D329" s="112">
        <v>2000</v>
      </c>
      <c r="E329" s="112">
        <v>1000</v>
      </c>
      <c r="F329" s="76"/>
      <c r="G329" s="95">
        <v>500</v>
      </c>
      <c r="H329" s="86"/>
      <c r="I329" s="95">
        <v>1000</v>
      </c>
      <c r="J329" s="95">
        <v>1000</v>
      </c>
      <c r="K329" s="86"/>
      <c r="L329" s="95">
        <v>500</v>
      </c>
      <c r="M329" s="95">
        <v>1000</v>
      </c>
      <c r="N329" s="95">
        <v>3000</v>
      </c>
      <c r="O329" s="92">
        <v>44089</v>
      </c>
    </row>
    <row r="330" spans="1:15" x14ac:dyDescent="0.25">
      <c r="A330" s="34">
        <v>44104</v>
      </c>
      <c r="B330" s="56">
        <v>27788</v>
      </c>
      <c r="C330" s="76"/>
      <c r="D330" s="112">
        <v>2000</v>
      </c>
      <c r="E330" s="76"/>
      <c r="F330" s="112">
        <v>500</v>
      </c>
      <c r="G330" s="95">
        <v>500</v>
      </c>
      <c r="H330" s="86"/>
      <c r="I330" s="95">
        <v>1000</v>
      </c>
      <c r="J330" s="86"/>
      <c r="K330" s="86"/>
      <c r="L330" s="86"/>
      <c r="M330" s="95">
        <v>1000</v>
      </c>
      <c r="N330" s="86"/>
      <c r="O330" s="92">
        <v>44104</v>
      </c>
    </row>
    <row r="331" spans="1:15" x14ac:dyDescent="0.25">
      <c r="A331" s="34">
        <v>44119</v>
      </c>
      <c r="B331" s="56">
        <v>22925</v>
      </c>
      <c r="C331" s="76"/>
      <c r="D331" s="112">
        <v>2000</v>
      </c>
      <c r="E331" s="76"/>
      <c r="F331" s="76"/>
      <c r="G331" s="95">
        <v>500</v>
      </c>
      <c r="H331" s="86"/>
      <c r="I331" s="95">
        <v>1000</v>
      </c>
      <c r="J331" s="95">
        <v>1000</v>
      </c>
      <c r="K331" s="86"/>
      <c r="L331" s="95">
        <v>500</v>
      </c>
      <c r="M331" s="95">
        <v>1000</v>
      </c>
      <c r="N331" s="95">
        <v>3000</v>
      </c>
      <c r="O331" s="92">
        <v>44119</v>
      </c>
    </row>
    <row r="332" spans="1:15" x14ac:dyDescent="0.25">
      <c r="A332" s="34">
        <v>44134</v>
      </c>
      <c r="B332" s="56">
        <v>23875</v>
      </c>
      <c r="C332" s="76"/>
      <c r="D332" s="112">
        <v>2000</v>
      </c>
      <c r="E332" s="112">
        <v>1000</v>
      </c>
      <c r="F332" s="112">
        <v>500</v>
      </c>
      <c r="G332" s="95">
        <v>500</v>
      </c>
      <c r="H332" s="86"/>
      <c r="I332" s="95">
        <v>1000</v>
      </c>
      <c r="J332" s="86"/>
      <c r="K332" s="86"/>
      <c r="L332" s="95">
        <v>500</v>
      </c>
      <c r="M332" s="95">
        <v>1000</v>
      </c>
      <c r="N332" s="95">
        <v>3000</v>
      </c>
      <c r="O332" s="92">
        <v>44134</v>
      </c>
    </row>
    <row r="333" spans="1:15" x14ac:dyDescent="0.25">
      <c r="A333" s="34">
        <v>44150</v>
      </c>
      <c r="B333" s="56">
        <v>31140</v>
      </c>
      <c r="C333" s="76"/>
      <c r="D333" s="112">
        <v>2000</v>
      </c>
      <c r="E333" s="112">
        <v>1000</v>
      </c>
      <c r="F333" s="76"/>
      <c r="G333" s="95">
        <v>500</v>
      </c>
      <c r="H333" s="95">
        <v>1000</v>
      </c>
      <c r="I333" s="95">
        <v>1000</v>
      </c>
      <c r="J333" s="86"/>
      <c r="K333" s="86"/>
      <c r="L333" s="95">
        <v>1000</v>
      </c>
      <c r="M333" s="95">
        <v>1000</v>
      </c>
      <c r="N333" s="86"/>
      <c r="O333" s="92">
        <v>44150</v>
      </c>
    </row>
    <row r="334" spans="1:15" ht="15.75" thickBot="1" x14ac:dyDescent="0.3">
      <c r="A334" s="34">
        <v>44165</v>
      </c>
      <c r="B334" s="84">
        <v>17335</v>
      </c>
      <c r="C334" s="59"/>
      <c r="D334" s="65">
        <v>2000</v>
      </c>
      <c r="E334" s="59"/>
      <c r="F334" s="65">
        <v>500</v>
      </c>
      <c r="G334" s="66">
        <v>500</v>
      </c>
      <c r="H334" s="60"/>
      <c r="I334" s="66">
        <v>1000</v>
      </c>
      <c r="J334" s="66">
        <v>-15500</v>
      </c>
      <c r="K334" s="60"/>
      <c r="L334" s="60"/>
      <c r="M334" s="66">
        <v>1000</v>
      </c>
      <c r="N334" s="60"/>
      <c r="O334" s="93">
        <v>44165</v>
      </c>
    </row>
    <row r="335" spans="1:15" ht="15.75" thickBot="1" x14ac:dyDescent="0.3">
      <c r="A335" s="54" t="s">
        <v>7</v>
      </c>
      <c r="B335" s="55">
        <f>SUM(B323:B334)</f>
        <v>278535</v>
      </c>
      <c r="C335" s="55">
        <f>SUM(C323:C334)+C319</f>
        <v>14000</v>
      </c>
      <c r="D335" s="55">
        <f>SUM(D323:D334)+D319</f>
        <v>137240</v>
      </c>
      <c r="E335" s="55">
        <f>SUM(E323:E334)+E319</f>
        <v>54500</v>
      </c>
      <c r="F335" s="55">
        <f>SUM(F323:F334)+G319</f>
        <v>-23218</v>
      </c>
      <c r="G335" s="58">
        <f>SUM(G323:G334)+H319</f>
        <v>16500</v>
      </c>
      <c r="H335" s="58">
        <f>SUM(H323:H334)+I319</f>
        <v>26600</v>
      </c>
      <c r="I335" s="58">
        <f>SUM(I323:I334)+K319</f>
        <v>114475</v>
      </c>
      <c r="J335" s="58">
        <f>SUM(J323:J334)+L319</f>
        <v>-79590</v>
      </c>
      <c r="K335" s="58">
        <f>SUM(K323:K334)+M319</f>
        <v>9447</v>
      </c>
      <c r="L335" s="58">
        <f>SUM(L323:L334)+N319</f>
        <v>72000</v>
      </c>
      <c r="M335" s="58">
        <f>SUM(M323:M334)+O319</f>
        <v>255000</v>
      </c>
      <c r="N335" s="58">
        <f>SUM(N323:N334)+P319</f>
        <v>63518</v>
      </c>
      <c r="O335" s="90" t="s">
        <v>82</v>
      </c>
    </row>
    <row r="393" spans="1:26" x14ac:dyDescent="0.25">
      <c r="A393" s="9" t="s">
        <v>7</v>
      </c>
      <c r="B393">
        <v>300000</v>
      </c>
      <c r="C393">
        <v>21210</v>
      </c>
      <c r="D393">
        <v>63740</v>
      </c>
      <c r="E393">
        <v>166927</v>
      </c>
      <c r="F393">
        <v>146733</v>
      </c>
      <c r="G393">
        <v>70667</v>
      </c>
      <c r="H393">
        <v>300000</v>
      </c>
      <c r="I393">
        <v>0</v>
      </c>
      <c r="J393">
        <v>300000</v>
      </c>
      <c r="K393">
        <v>53565</v>
      </c>
      <c r="L393">
        <v>69000</v>
      </c>
      <c r="M393">
        <v>32862</v>
      </c>
      <c r="N393">
        <v>17306</v>
      </c>
      <c r="O393">
        <v>16951</v>
      </c>
      <c r="P393">
        <v>300000</v>
      </c>
      <c r="Q393">
        <v>14989</v>
      </c>
      <c r="R393">
        <v>300000</v>
      </c>
      <c r="S393">
        <v>165040</v>
      </c>
      <c r="T393">
        <v>64169</v>
      </c>
      <c r="U393">
        <v>41454</v>
      </c>
      <c r="V393">
        <v>47198</v>
      </c>
      <c r="W393">
        <v>96957</v>
      </c>
      <c r="X393">
        <v>98208</v>
      </c>
      <c r="Y393">
        <v>0</v>
      </c>
      <c r="Z393">
        <v>20000</v>
      </c>
    </row>
    <row r="394" spans="1:26" x14ac:dyDescent="0.25">
      <c r="A394" s="10" t="s">
        <v>9</v>
      </c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</row>
    <row r="395" spans="1:26" ht="18.75" x14ac:dyDescent="0.3">
      <c r="A395" s="15">
        <f>SUM(AA65:AO65)</f>
        <v>0</v>
      </c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</row>
    <row r="396" spans="1:26" x14ac:dyDescent="0.25">
      <c r="A396" s="16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</row>
    <row r="397" spans="1:26" x14ac:dyDescent="0.25">
      <c r="A397" s="16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</row>
    <row r="398" spans="1:26" x14ac:dyDescent="0.25">
      <c r="A398" s="16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</row>
    <row r="400" spans="1:26" x14ac:dyDescent="0.25">
      <c r="A400" s="2" t="s">
        <v>3</v>
      </c>
      <c r="B400" s="2"/>
      <c r="C400">
        <f>COUNTA(C226:AE226)</f>
        <v>24</v>
      </c>
      <c r="E400" s="2" t="s">
        <v>20</v>
      </c>
      <c r="F400" s="2"/>
      <c r="H400" s="2"/>
      <c r="I400" s="2"/>
      <c r="K400">
        <f>COUNTA(A2:A95)</f>
        <v>88</v>
      </c>
    </row>
    <row r="401" spans="1:5" x14ac:dyDescent="0.25">
      <c r="A401" t="s">
        <v>24</v>
      </c>
      <c r="C401" t="s">
        <v>1</v>
      </c>
      <c r="E401">
        <f>COUNTA(A1:A393)</f>
        <v>315</v>
      </c>
    </row>
    <row r="402" spans="1:5" x14ac:dyDescent="0.25">
      <c r="A402" t="s">
        <v>25</v>
      </c>
      <c r="C402" t="s">
        <v>5</v>
      </c>
    </row>
    <row r="403" spans="1:5" x14ac:dyDescent="0.25">
      <c r="A403" t="s">
        <v>26</v>
      </c>
      <c r="C403" t="s">
        <v>2</v>
      </c>
    </row>
    <row r="404" spans="1:5" x14ac:dyDescent="0.25">
      <c r="A404" t="s">
        <v>27</v>
      </c>
    </row>
    <row r="405" spans="1:5" x14ac:dyDescent="0.25">
      <c r="A405" t="s">
        <v>28</v>
      </c>
    </row>
    <row r="406" spans="1:5" x14ac:dyDescent="0.25">
      <c r="A406" t="s">
        <v>29</v>
      </c>
    </row>
    <row r="407" spans="1:5" x14ac:dyDescent="0.25">
      <c r="A407" t="s">
        <v>30</v>
      </c>
    </row>
    <row r="408" spans="1:5" x14ac:dyDescent="0.25">
      <c r="A408" t="s">
        <v>31</v>
      </c>
    </row>
    <row r="409" spans="1:5" x14ac:dyDescent="0.25">
      <c r="A409" t="s">
        <v>32</v>
      </c>
    </row>
    <row r="410" spans="1:5" x14ac:dyDescent="0.25">
      <c r="A410" t="s">
        <v>23</v>
      </c>
    </row>
    <row r="411" spans="1:5" x14ac:dyDescent="0.25">
      <c r="A411" t="s">
        <v>33</v>
      </c>
    </row>
    <row r="412" spans="1:5" x14ac:dyDescent="0.25">
      <c r="A412" t="s">
        <v>34</v>
      </c>
    </row>
    <row r="413" spans="1:5" x14ac:dyDescent="0.25">
      <c r="A413" t="s">
        <v>35</v>
      </c>
    </row>
    <row r="414" spans="1:5" x14ac:dyDescent="0.25">
      <c r="A414" t="s">
        <v>36</v>
      </c>
    </row>
    <row r="415" spans="1:5" x14ac:dyDescent="0.25">
      <c r="A415" t="s">
        <v>37</v>
      </c>
    </row>
    <row r="416" spans="1:5" x14ac:dyDescent="0.25">
      <c r="A416" t="s">
        <v>38</v>
      </c>
    </row>
    <row r="417" spans="1:1" x14ac:dyDescent="0.25">
      <c r="A417" t="s">
        <v>39</v>
      </c>
    </row>
    <row r="418" spans="1:1" x14ac:dyDescent="0.25">
      <c r="A418" t="s">
        <v>40</v>
      </c>
    </row>
    <row r="419" spans="1:1" x14ac:dyDescent="0.25">
      <c r="A419" t="s">
        <v>8</v>
      </c>
    </row>
    <row r="420" spans="1:1" x14ac:dyDescent="0.25">
      <c r="A420" t="s">
        <v>0</v>
      </c>
    </row>
    <row r="421" spans="1:1" x14ac:dyDescent="0.25">
      <c r="A421" t="s">
        <v>41</v>
      </c>
    </row>
    <row r="422" spans="1:1" x14ac:dyDescent="0.25">
      <c r="A422" t="s">
        <v>42</v>
      </c>
    </row>
    <row r="423" spans="1:1" x14ac:dyDescent="0.25">
      <c r="A423" t="s">
        <v>43</v>
      </c>
    </row>
    <row r="424" spans="1:1" x14ac:dyDescent="0.25">
      <c r="A424" t="s">
        <v>47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DBA61-0DDF-4D57-BA1E-B435250348DF}">
  <sheetPr codeName="Sheet7"/>
  <dimension ref="A1:N15"/>
  <sheetViews>
    <sheetView workbookViewId="0">
      <selection activeCell="S11" sqref="S11"/>
    </sheetView>
  </sheetViews>
  <sheetFormatPr defaultRowHeight="15" x14ac:dyDescent="0.25"/>
  <cols>
    <col min="11" max="11" width="9.85546875" customWidth="1"/>
    <col min="12" max="12" width="9.7109375" customWidth="1"/>
    <col min="13" max="13" width="9.28515625" customWidth="1"/>
    <col min="14" max="14" width="18" customWidth="1"/>
  </cols>
  <sheetData>
    <row r="1" spans="1:14" ht="34.5" customHeight="1" thickBot="1" x14ac:dyDescent="0.3">
      <c r="A1" s="99" t="s">
        <v>49</v>
      </c>
      <c r="B1" s="100"/>
      <c r="C1" s="100"/>
      <c r="D1" s="100"/>
      <c r="E1" s="100"/>
      <c r="F1" s="100"/>
      <c r="G1" s="100"/>
      <c r="H1" s="100"/>
      <c r="I1" s="101"/>
    </row>
    <row r="2" spans="1:14" ht="15.75" thickBot="1" x14ac:dyDescent="0.3">
      <c r="A2" s="36" t="s">
        <v>50</v>
      </c>
      <c r="B2" s="36"/>
      <c r="C2" s="36"/>
      <c r="D2" s="36"/>
    </row>
    <row r="3" spans="1:14" ht="15.75" thickBot="1" x14ac:dyDescent="0.3">
      <c r="A3" s="102" t="s">
        <v>51</v>
      </c>
      <c r="B3" s="103"/>
      <c r="C3" s="103"/>
      <c r="D3" s="103"/>
      <c r="E3" s="103"/>
      <c r="F3" s="103"/>
      <c r="G3" s="103"/>
      <c r="H3" s="103"/>
      <c r="I3" s="104"/>
      <c r="K3" s="36" t="s">
        <v>54</v>
      </c>
      <c r="L3" s="40" t="s">
        <v>57</v>
      </c>
      <c r="M3" s="41" t="s">
        <v>58</v>
      </c>
      <c r="N3" s="42" t="s">
        <v>59</v>
      </c>
    </row>
    <row r="4" spans="1:14" x14ac:dyDescent="0.25">
      <c r="A4" s="105"/>
      <c r="B4" s="106"/>
      <c r="C4" s="106"/>
      <c r="D4" s="106"/>
      <c r="E4" s="106"/>
      <c r="F4" s="106"/>
      <c r="G4" s="106"/>
      <c r="H4" s="106"/>
      <c r="I4" s="107"/>
      <c r="L4" s="37" t="s">
        <v>0</v>
      </c>
      <c r="M4" s="46">
        <v>29000</v>
      </c>
      <c r="N4" s="47">
        <f>(M4/M8) * 100</f>
        <v>17.682926829268293</v>
      </c>
    </row>
    <row r="5" spans="1:14" x14ac:dyDescent="0.25">
      <c r="A5" s="105"/>
      <c r="B5" s="106"/>
      <c r="C5" s="106"/>
      <c r="D5" s="106"/>
      <c r="E5" s="106"/>
      <c r="F5" s="106"/>
      <c r="G5" s="106"/>
      <c r="H5" s="106"/>
      <c r="I5" s="107"/>
      <c r="L5" s="38" t="s">
        <v>55</v>
      </c>
      <c r="M5" s="44">
        <v>50000</v>
      </c>
      <c r="N5" s="43">
        <f>(M5/M8) * 100</f>
        <v>30.487804878048781</v>
      </c>
    </row>
    <row r="6" spans="1:14" x14ac:dyDescent="0.25">
      <c r="A6" s="105"/>
      <c r="B6" s="106"/>
      <c r="C6" s="106"/>
      <c r="D6" s="106"/>
      <c r="E6" s="106"/>
      <c r="F6" s="106"/>
      <c r="G6" s="106"/>
      <c r="H6" s="106"/>
      <c r="I6" s="107"/>
      <c r="L6" s="38" t="s">
        <v>56</v>
      </c>
      <c r="M6" s="44">
        <v>50000</v>
      </c>
      <c r="N6" s="43">
        <f>(M6/M8) * 100</f>
        <v>30.487804878048781</v>
      </c>
    </row>
    <row r="7" spans="1:14" ht="15.75" thickBot="1" x14ac:dyDescent="0.3">
      <c r="A7" s="108"/>
      <c r="B7" s="109"/>
      <c r="C7" s="109"/>
      <c r="D7" s="109"/>
      <c r="E7" s="109"/>
      <c r="F7" s="109"/>
      <c r="G7" s="109"/>
      <c r="H7" s="109"/>
      <c r="I7" s="110"/>
      <c r="L7" s="38" t="s">
        <v>39</v>
      </c>
      <c r="M7" s="44">
        <v>35000</v>
      </c>
      <c r="N7" s="43">
        <f>(M7/M8) * 100</f>
        <v>21.341463414634145</v>
      </c>
    </row>
    <row r="8" spans="1:14" ht="15.75" thickBot="1" x14ac:dyDescent="0.3">
      <c r="L8" s="39" t="s">
        <v>7</v>
      </c>
      <c r="M8" s="45">
        <f>SUM(M4:M7)</f>
        <v>164000</v>
      </c>
      <c r="N8" s="48">
        <f>(M8/M8) * 100</f>
        <v>100</v>
      </c>
    </row>
    <row r="10" spans="1:14" ht="15" customHeight="1" thickBot="1" x14ac:dyDescent="0.3">
      <c r="A10" s="111" t="s">
        <v>52</v>
      </c>
      <c r="B10" s="111"/>
      <c r="C10" s="111"/>
      <c r="D10" s="111"/>
    </row>
    <row r="11" spans="1:14" ht="15" customHeight="1" x14ac:dyDescent="0.25">
      <c r="A11" s="102" t="s">
        <v>53</v>
      </c>
      <c r="B11" s="103"/>
      <c r="C11" s="103"/>
      <c r="D11" s="103"/>
      <c r="E11" s="103"/>
      <c r="F11" s="103"/>
      <c r="G11" s="103"/>
      <c r="H11" s="103"/>
      <c r="I11" s="104"/>
    </row>
    <row r="12" spans="1:14" ht="15" customHeight="1" x14ac:dyDescent="0.25">
      <c r="A12" s="105"/>
      <c r="B12" s="106"/>
      <c r="C12" s="106"/>
      <c r="D12" s="106"/>
      <c r="E12" s="106"/>
      <c r="F12" s="106"/>
      <c r="G12" s="106"/>
      <c r="H12" s="106"/>
      <c r="I12" s="107"/>
    </row>
    <row r="13" spans="1:14" ht="15" customHeight="1" x14ac:dyDescent="0.25">
      <c r="A13" s="105"/>
      <c r="B13" s="106"/>
      <c r="C13" s="106"/>
      <c r="D13" s="106"/>
      <c r="E13" s="106"/>
      <c r="F13" s="106"/>
      <c r="G13" s="106"/>
      <c r="H13" s="106"/>
      <c r="I13" s="107"/>
    </row>
    <row r="14" spans="1:14" ht="15.75" customHeight="1" x14ac:dyDescent="0.25">
      <c r="A14" s="105"/>
      <c r="B14" s="106"/>
      <c r="C14" s="106"/>
      <c r="D14" s="106"/>
      <c r="E14" s="106"/>
      <c r="F14" s="106"/>
      <c r="G14" s="106"/>
      <c r="H14" s="106"/>
      <c r="I14" s="107"/>
    </row>
    <row r="15" spans="1:14" ht="15.75" thickBot="1" x14ac:dyDescent="0.3">
      <c r="A15" s="108"/>
      <c r="B15" s="109"/>
      <c r="C15" s="109"/>
      <c r="D15" s="109"/>
      <c r="E15" s="109"/>
      <c r="F15" s="109"/>
      <c r="G15" s="109"/>
      <c r="H15" s="109"/>
      <c r="I15" s="110"/>
    </row>
  </sheetData>
  <mergeCells count="4">
    <mergeCell ref="A1:I1"/>
    <mergeCell ref="A3:I7"/>
    <mergeCell ref="A10:D10"/>
    <mergeCell ref="A11:I1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Savings</vt:lpstr>
      <vt:lpstr>Borrowers</vt:lpstr>
      <vt:lpstr>Revenues</vt:lpstr>
      <vt:lpstr>LOG</vt:lpstr>
      <vt:lpstr>Savings2</vt:lpstr>
      <vt:lpstr>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My Computer</cp:lastModifiedBy>
  <dcterms:created xsi:type="dcterms:W3CDTF">2018-06-26T02:33:31Z</dcterms:created>
  <dcterms:modified xsi:type="dcterms:W3CDTF">2025-02-14T07:49:01Z</dcterms:modified>
</cp:coreProperties>
</file>