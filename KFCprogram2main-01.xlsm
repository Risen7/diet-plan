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6898762B-66B6-4185-8309-927AC39A87D7}" xr6:coauthVersionLast="47" xr6:coauthVersionMax="47" xr10:uidLastSave="{00000000-0000-0000-0000-000000000000}"/>
  <bookViews>
    <workbookView xWindow="-120" yWindow="-120" windowWidth="29040" windowHeight="15720" tabRatio="593" xr2:uid="{00000000-000D-0000-FFFF-FFFF00000000}"/>
  </bookViews>
  <sheets>
    <sheet name="Borrowers3" sheetId="12" r:id="rId1"/>
    <sheet name="Borrowers2" sheetId="9" r:id="rId2"/>
    <sheet name="Home" sheetId="1" r:id="rId3"/>
    <sheet name="Overview" sheetId="8" r:id="rId4"/>
    <sheet name="Savings2" sheetId="10" r:id="rId5"/>
    <sheet name="Savings" sheetId="2" r:id="rId6"/>
    <sheet name="Borrowers" sheetId="4" r:id="rId7"/>
    <sheet name="Revenues" sheetId="5" r:id="rId8"/>
    <sheet name="data" sheetId="7" r:id="rId9"/>
    <sheet name="Process Flow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2" l="1"/>
  <c r="F148" i="12"/>
  <c r="H148" i="12" s="1"/>
  <c r="D148" i="12" s="1"/>
  <c r="E148" i="12"/>
  <c r="C148" i="12"/>
  <c r="F147" i="12"/>
  <c r="H147" i="12" s="1"/>
  <c r="D147" i="12" s="1"/>
  <c r="E147" i="12"/>
  <c r="C147" i="12"/>
  <c r="F146" i="12"/>
  <c r="H146" i="12" s="1"/>
  <c r="D146" i="12" s="1"/>
  <c r="E146" i="12"/>
  <c r="C146" i="12"/>
  <c r="H145" i="12"/>
  <c r="F145" i="12"/>
  <c r="E145" i="12"/>
  <c r="D145" i="12"/>
  <c r="C145" i="12"/>
  <c r="H144" i="12"/>
  <c r="D144" i="12" s="1"/>
  <c r="F144" i="12"/>
  <c r="E144" i="12"/>
  <c r="C144" i="12"/>
  <c r="H143" i="12"/>
  <c r="F143" i="12"/>
  <c r="E143" i="12"/>
  <c r="D143" i="12" s="1"/>
  <c r="C143" i="12"/>
  <c r="H142" i="12"/>
  <c r="F142" i="12"/>
  <c r="E142" i="12"/>
  <c r="D142" i="12" s="1"/>
  <c r="C142" i="12"/>
  <c r="H141" i="12"/>
  <c r="F141" i="12"/>
  <c r="E141" i="12"/>
  <c r="D141" i="12" s="1"/>
  <c r="C141" i="12"/>
  <c r="H140" i="12"/>
  <c r="F140" i="12"/>
  <c r="E140" i="12"/>
  <c r="D140" i="12" s="1"/>
  <c r="C140" i="12"/>
  <c r="H139" i="12"/>
  <c r="F139" i="12"/>
  <c r="E139" i="12"/>
  <c r="D139" i="12" s="1"/>
  <c r="C139" i="12"/>
  <c r="F138" i="12"/>
  <c r="H138" i="12" s="1"/>
  <c r="E138" i="12"/>
  <c r="D138" i="12" s="1"/>
  <c r="C138" i="12"/>
  <c r="F137" i="12"/>
  <c r="H137" i="12" s="1"/>
  <c r="E137" i="12"/>
  <c r="D137" i="12" s="1"/>
  <c r="C137" i="12"/>
  <c r="F136" i="12"/>
  <c r="H136" i="12" s="1"/>
  <c r="D136" i="12" s="1"/>
  <c r="E136" i="12"/>
  <c r="C136" i="12"/>
  <c r="F135" i="12"/>
  <c r="H135" i="12" s="1"/>
  <c r="D135" i="12" s="1"/>
  <c r="E135" i="12"/>
  <c r="C135" i="12"/>
  <c r="F134" i="12"/>
  <c r="H134" i="12" s="1"/>
  <c r="D134" i="12" s="1"/>
  <c r="E134" i="12"/>
  <c r="C134" i="12"/>
  <c r="F133" i="12"/>
  <c r="H133" i="12" s="1"/>
  <c r="D133" i="12" s="1"/>
  <c r="E133" i="12"/>
  <c r="C133" i="12"/>
  <c r="H132" i="12"/>
  <c r="D132" i="12" s="1"/>
  <c r="F132" i="12"/>
  <c r="E132" i="12"/>
  <c r="C132" i="12"/>
  <c r="H131" i="12"/>
  <c r="F131" i="12"/>
  <c r="E131" i="12"/>
  <c r="D131" i="12"/>
  <c r="C131" i="12"/>
  <c r="H130" i="12"/>
  <c r="F130" i="12"/>
  <c r="E130" i="12"/>
  <c r="D130" i="12" s="1"/>
  <c r="C130" i="12"/>
  <c r="H129" i="12"/>
  <c r="F129" i="12"/>
  <c r="E129" i="12"/>
  <c r="D129" i="12" s="1"/>
  <c r="C129" i="12"/>
  <c r="H128" i="12"/>
  <c r="F128" i="12"/>
  <c r="E128" i="12"/>
  <c r="D128" i="12" s="1"/>
  <c r="C128" i="12"/>
  <c r="H127" i="12"/>
  <c r="F127" i="12"/>
  <c r="E127" i="12"/>
  <c r="D127" i="12" s="1"/>
  <c r="C127" i="12"/>
  <c r="F126" i="12"/>
  <c r="H126" i="12" s="1"/>
  <c r="E126" i="12"/>
  <c r="D126" i="12" s="1"/>
  <c r="C126" i="12"/>
  <c r="F125" i="12"/>
  <c r="H125" i="12" s="1"/>
  <c r="E125" i="12"/>
  <c r="D125" i="12" s="1"/>
  <c r="C125" i="12"/>
  <c r="F124" i="12"/>
  <c r="H124" i="12" s="1"/>
  <c r="E124" i="12"/>
  <c r="C124" i="12"/>
  <c r="F123" i="12"/>
  <c r="H123" i="12" s="1"/>
  <c r="D123" i="12" s="1"/>
  <c r="E123" i="12"/>
  <c r="C123" i="12"/>
  <c r="F122" i="12"/>
  <c r="H122" i="12" s="1"/>
  <c r="E122" i="12"/>
  <c r="D122" i="12" s="1"/>
  <c r="C122" i="12"/>
  <c r="F121" i="12"/>
  <c r="H121" i="12" s="1"/>
  <c r="D121" i="12" s="1"/>
  <c r="E121" i="12"/>
  <c r="C121" i="12"/>
  <c r="H120" i="12"/>
  <c r="D120" i="12" s="1"/>
  <c r="F120" i="12"/>
  <c r="E120" i="12"/>
  <c r="C120" i="12"/>
  <c r="F119" i="12"/>
  <c r="H119" i="12" s="1"/>
  <c r="D119" i="12" s="1"/>
  <c r="E119" i="12"/>
  <c r="C119" i="12"/>
  <c r="H118" i="12"/>
  <c r="F118" i="12"/>
  <c r="E118" i="12"/>
  <c r="D118" i="12" s="1"/>
  <c r="C118" i="12"/>
  <c r="H117" i="12"/>
  <c r="F117" i="12"/>
  <c r="E117" i="12"/>
  <c r="D117" i="12" s="1"/>
  <c r="C117" i="12"/>
  <c r="F116" i="12"/>
  <c r="H116" i="12" s="1"/>
  <c r="E116" i="12"/>
  <c r="D116" i="12" s="1"/>
  <c r="C116" i="12"/>
  <c r="H115" i="12"/>
  <c r="F115" i="12"/>
  <c r="E115" i="12"/>
  <c r="D115" i="12" s="1"/>
  <c r="C115" i="12"/>
  <c r="F114" i="12"/>
  <c r="H114" i="12" s="1"/>
  <c r="D114" i="12" s="1"/>
  <c r="E114" i="12"/>
  <c r="C114" i="12"/>
  <c r="F113" i="12"/>
  <c r="H113" i="12" s="1"/>
  <c r="E113" i="12"/>
  <c r="D113" i="12" s="1"/>
  <c r="C113" i="12"/>
  <c r="F112" i="12"/>
  <c r="H112" i="12" s="1"/>
  <c r="D112" i="12" s="1"/>
  <c r="E112" i="12"/>
  <c r="C112" i="12"/>
  <c r="F111" i="12"/>
  <c r="H111" i="12" s="1"/>
  <c r="D111" i="12" s="1"/>
  <c r="E111" i="12"/>
  <c r="C111" i="12"/>
  <c r="F110" i="12"/>
  <c r="H110" i="12" s="1"/>
  <c r="D110" i="12" s="1"/>
  <c r="E110" i="12"/>
  <c r="C110" i="12"/>
  <c r="F109" i="12"/>
  <c r="H109" i="12" s="1"/>
  <c r="D109" i="12" s="1"/>
  <c r="E109" i="12"/>
  <c r="C109" i="12"/>
  <c r="H108" i="12"/>
  <c r="D108" i="12" s="1"/>
  <c r="F108" i="12"/>
  <c r="E108" i="12"/>
  <c r="C108" i="12"/>
  <c r="F107" i="12"/>
  <c r="H107" i="12" s="1"/>
  <c r="E107" i="12"/>
  <c r="C107" i="12"/>
  <c r="H106" i="12"/>
  <c r="F106" i="12"/>
  <c r="E106" i="12"/>
  <c r="D106" i="12" s="1"/>
  <c r="C106" i="12"/>
  <c r="H105" i="12"/>
  <c r="F105" i="12"/>
  <c r="E105" i="12"/>
  <c r="D105" i="12" s="1"/>
  <c r="C105" i="12"/>
  <c r="F104" i="12"/>
  <c r="H104" i="12" s="1"/>
  <c r="E104" i="12"/>
  <c r="D104" i="12" s="1"/>
  <c r="C104" i="12"/>
  <c r="F103" i="12"/>
  <c r="H103" i="12" s="1"/>
  <c r="E103" i="12"/>
  <c r="C103" i="12"/>
  <c r="F102" i="12"/>
  <c r="H102" i="12" s="1"/>
  <c r="E102" i="12"/>
  <c r="D102" i="12" s="1"/>
  <c r="F101" i="12"/>
  <c r="H101" i="12" s="1"/>
  <c r="E101" i="12"/>
  <c r="D101" i="12" s="1"/>
  <c r="C101" i="12"/>
  <c r="F100" i="12"/>
  <c r="H100" i="12" s="1"/>
  <c r="E100" i="12"/>
  <c r="B100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16" i="12"/>
  <c r="D17" i="12" s="1"/>
  <c r="D18" i="12" s="1"/>
  <c r="D19" i="12" s="1"/>
  <c r="D20" i="12" s="1"/>
  <c r="D21" i="12" s="1"/>
  <c r="D22" i="12" s="1"/>
  <c r="D23" i="12" s="1"/>
  <c r="D12" i="12"/>
  <c r="D13" i="12" s="1"/>
  <c r="D14" i="12" s="1"/>
  <c r="D11" i="12"/>
  <c r="G6" i="12"/>
  <c r="B6" i="12"/>
  <c r="F6" i="12"/>
  <c r="H6" i="12" s="1"/>
  <c r="H3" i="12"/>
  <c r="G3" i="12"/>
  <c r="B3" i="12"/>
  <c r="F3" i="12"/>
  <c r="A3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2" i="2"/>
  <c r="B71" i="2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D3" i="12" l="1"/>
  <c r="D100" i="12"/>
  <c r="I3" i="12"/>
  <c r="A6" i="12"/>
  <c r="D103" i="12"/>
  <c r="D124" i="12"/>
  <c r="D107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I6" i="12" l="1"/>
  <c r="C102" i="12"/>
  <c r="C6" i="12"/>
  <c r="D6" i="12" s="1"/>
  <c r="C100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D146" i="9" l="1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O52" i="10" l="1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C53" i="2" l="1"/>
  <c r="B54" i="2"/>
  <c r="V17" i="2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<sst xmlns="http://schemas.openxmlformats.org/spreadsheetml/2006/main" count="427" uniqueCount="105">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</sst>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9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16" fontId="0" fillId="0" borderId="0" xfId="0" applyNumberFormat="1" applyFill="1" applyBorder="1" applyAlignment="1">
      <alignment horizontal="center" vertical="center"/>
    </xf>
    <xf numFmtId="16" fontId="2" fillId="0" borderId="0" xfId="0" applyNumberFormat="1" applyFont="1" applyFill="1" applyBorder="1"/>
    <xf numFmtId="0" fontId="20" fillId="0" borderId="0" xfId="0" applyFont="1" applyFill="1" applyBorder="1"/>
    <xf numFmtId="4" fontId="20" fillId="0" borderId="0" xfId="0" applyNumberFormat="1" applyFont="1" applyFill="1" applyBorder="1"/>
    <xf numFmtId="10" fontId="19" fillId="0" borderId="0" xfId="0" applyNumberFormat="1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23" fillId="12" borderId="7" xfId="0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23" fillId="12" borderId="6" xfId="0" applyFont="1" applyFill="1" applyBorder="1" applyAlignment="1">
      <alignment horizontal="center" vertical="center"/>
    </xf>
    <xf numFmtId="0" fontId="13" fillId="40" borderId="1" xfId="0" applyFont="1" applyFill="1" applyBorder="1" applyAlignment="1">
      <alignment horizontal="center" vertical="center"/>
    </xf>
    <xf numFmtId="0" fontId="15" fillId="40" borderId="1" xfId="0" applyFont="1" applyFill="1" applyBorder="1" applyAlignment="1">
      <alignment horizontal="center" vertical="center"/>
    </xf>
    <xf numFmtId="0" fontId="23" fillId="23" borderId="7" xfId="0" applyFont="1" applyFill="1" applyBorder="1" applyAlignment="1">
      <alignment horizontal="center" vertical="center"/>
    </xf>
    <xf numFmtId="0" fontId="14" fillId="5" borderId="3" xfId="0" applyFont="1" applyFill="1" applyBorder="1" applyAlignment="1">
      <alignment horizontal="center" vertical="center"/>
    </xf>
    <xf numFmtId="0" fontId="13" fillId="40" borderId="7" xfId="0" applyFont="1" applyFill="1" applyBorder="1" applyAlignment="1">
      <alignment horizontal="center" vertical="center"/>
    </xf>
    <xf numFmtId="0" fontId="0" fillId="25" borderId="23" xfId="0" applyFill="1" applyBorder="1"/>
    <xf numFmtId="0" fontId="13" fillId="0" borderId="18" xfId="0" applyFont="1" applyFill="1" applyBorder="1" applyAlignment="1">
      <alignment horizontal="left" vertical="center"/>
    </xf>
    <xf numFmtId="0" fontId="0" fillId="24" borderId="18" xfId="0" applyFill="1" applyBorder="1"/>
    <xf numFmtId="0" fontId="0" fillId="0" borderId="22" xfId="0" applyFill="1" applyBorder="1"/>
    <xf numFmtId="0" fontId="0" fillId="0" borderId="26" xfId="0" applyBorder="1"/>
    <xf numFmtId="0" fontId="13" fillId="0" borderId="42" xfId="0" applyFont="1" applyFill="1" applyBorder="1" applyAlignment="1">
      <alignment horizontal="left" vertical="center"/>
    </xf>
    <xf numFmtId="0" fontId="13" fillId="0" borderId="22" xfId="0" applyFont="1" applyFill="1" applyBorder="1" applyAlignment="1">
      <alignment horizontal="left" vertical="center"/>
    </xf>
    <xf numFmtId="0" fontId="13" fillId="0" borderId="34" xfId="0" applyFont="1" applyFill="1" applyBorder="1" applyAlignment="1">
      <alignment horizontal="left" vertical="center"/>
    </xf>
    <xf numFmtId="0" fontId="13" fillId="0" borderId="7" xfId="0" applyFont="1" applyFill="1" applyBorder="1" applyAlignment="1">
      <alignment horizontal="left" vertical="center"/>
    </xf>
    <xf numFmtId="0" fontId="0" fillId="0" borderId="7" xfId="0" applyFill="1" applyBorder="1"/>
    <xf numFmtId="0" fontId="13" fillId="0" borderId="33" xfId="0" applyFont="1" applyFill="1" applyBorder="1" applyAlignment="1">
      <alignment horizontal="left" vertical="center"/>
    </xf>
    <xf numFmtId="0" fontId="0" fillId="0" borderId="33" xfId="0" applyFill="1" applyBorder="1"/>
    <xf numFmtId="0" fontId="0" fillId="0" borderId="34" xfId="0" applyFill="1" applyBorder="1"/>
    <xf numFmtId="0" fontId="13" fillId="0" borderId="0" xfId="0" applyFont="1" applyFill="1" applyAlignment="1">
      <alignment horizontal="left" vertical="center"/>
    </xf>
    <xf numFmtId="0" fontId="13" fillId="0" borderId="43" xfId="0" applyFont="1" applyFill="1" applyBorder="1" applyAlignment="1">
      <alignment horizontal="left" vertical="center"/>
    </xf>
    <xf numFmtId="0" fontId="13" fillId="0" borderId="41" xfId="0" applyFont="1" applyFill="1" applyBorder="1" applyAlignment="1">
      <alignment horizontal="left" vertic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FF"/>
      <color rgb="FFFF3B3B"/>
      <color rgb="FF00FF00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/>
  <dimension ref="A1:HF148"/>
  <sheetViews>
    <sheetView tabSelected="1" zoomScale="85" zoomScaleNormal="85" workbookViewId="0">
      <selection activeCell="G16" sqref="G16"/>
    </sheetView>
  </sheetViews>
  <sheetFormatPr defaultRowHeight="15" x14ac:dyDescent="0.25"/>
  <cols>
    <col min="1" max="5" width="24.42578125" customWidth="1"/>
    <col min="6" max="10" width="24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61" customFormat="1" ht="30.75" customHeight="1" thickBot="1" x14ac:dyDescent="0.3">
      <c r="A1" s="184" t="s">
        <v>87</v>
      </c>
      <c r="B1" s="200"/>
      <c r="C1" s="201"/>
      <c r="D1" s="201"/>
      <c r="E1" s="191"/>
      <c r="F1" s="184" t="s">
        <v>88</v>
      </c>
      <c r="G1" s="200"/>
      <c r="H1" s="201"/>
      <c r="I1" s="201"/>
      <c r="J1" s="191"/>
      <c r="K1" s="187"/>
      <c r="L1" s="157"/>
      <c r="M1" s="157"/>
      <c r="N1" s="157"/>
      <c r="O1" s="157"/>
      <c r="P1" s="158"/>
      <c r="Q1" s="159"/>
      <c r="R1" s="159"/>
      <c r="S1" s="159"/>
      <c r="T1" s="159"/>
      <c r="U1" s="159"/>
      <c r="V1" s="159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160"/>
      <c r="AX1" s="160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  <c r="BZ1" s="160"/>
      <c r="CA1" s="160"/>
      <c r="CB1" s="160"/>
      <c r="CC1" s="160"/>
      <c r="CD1" s="160"/>
      <c r="CE1" s="160"/>
      <c r="CF1" s="160"/>
      <c r="CG1" s="160"/>
      <c r="CH1" s="160"/>
      <c r="CI1" s="160"/>
      <c r="CJ1" s="160"/>
      <c r="CK1" s="160"/>
      <c r="CL1" s="160"/>
      <c r="CM1" s="160"/>
      <c r="CN1" s="160"/>
      <c r="CO1" s="160"/>
      <c r="CP1" s="160"/>
      <c r="CQ1" s="160"/>
      <c r="CR1" s="160"/>
      <c r="CS1" s="160"/>
      <c r="CT1" s="160"/>
      <c r="CU1" s="160"/>
      <c r="CV1" s="160"/>
      <c r="CW1" s="160"/>
      <c r="CX1" s="160"/>
      <c r="CY1" s="160"/>
      <c r="CZ1" s="160"/>
      <c r="DA1" s="160"/>
      <c r="DB1" s="160"/>
      <c r="DC1" s="160"/>
      <c r="DD1" s="160"/>
      <c r="DE1" s="160"/>
      <c r="DF1" s="160"/>
      <c r="DG1" s="160"/>
      <c r="DH1" s="160"/>
      <c r="DI1" s="160"/>
      <c r="DJ1" s="160"/>
      <c r="DK1" s="160"/>
      <c r="DL1" s="160"/>
      <c r="DM1" s="160"/>
      <c r="DN1" s="160"/>
      <c r="DO1" s="160"/>
      <c r="DP1" s="160"/>
      <c r="DQ1" s="160"/>
      <c r="DR1" s="160"/>
      <c r="DS1" s="160"/>
      <c r="DT1" s="160"/>
      <c r="DU1" s="160"/>
      <c r="DV1" s="160"/>
      <c r="DW1" s="160"/>
      <c r="DX1" s="160"/>
      <c r="DY1" s="160"/>
      <c r="DZ1" s="160"/>
      <c r="EA1" s="160"/>
      <c r="EB1" s="160"/>
      <c r="EC1" s="160"/>
      <c r="ED1" s="160"/>
      <c r="EE1" s="160"/>
      <c r="EF1" s="160"/>
      <c r="EG1" s="160"/>
      <c r="EH1" s="160"/>
      <c r="EI1" s="160"/>
      <c r="EJ1" s="160"/>
      <c r="EK1" s="160"/>
      <c r="EL1" s="160"/>
      <c r="EM1" s="160"/>
      <c r="EN1" s="160"/>
      <c r="EO1" s="160"/>
      <c r="EP1" s="160"/>
      <c r="EQ1" s="160"/>
      <c r="ER1" s="160"/>
      <c r="ES1" s="160"/>
      <c r="ET1" s="160"/>
      <c r="EU1" s="160"/>
      <c r="EV1" s="160"/>
      <c r="EW1" s="160"/>
      <c r="EX1" s="160"/>
      <c r="EY1" s="160"/>
      <c r="EZ1" s="160"/>
      <c r="FA1" s="160"/>
      <c r="FB1" s="160"/>
      <c r="FC1" s="160"/>
      <c r="FD1" s="160"/>
      <c r="FE1" s="160"/>
      <c r="FF1" s="160"/>
      <c r="FG1" s="160"/>
      <c r="FH1" s="160"/>
      <c r="FI1" s="160"/>
      <c r="FJ1" s="160"/>
      <c r="FK1" s="160"/>
      <c r="FL1" s="160"/>
      <c r="FM1" s="160"/>
      <c r="FN1" s="160"/>
      <c r="FO1" s="160"/>
      <c r="FP1" s="160"/>
    </row>
    <row r="2" spans="1:214" s="161" customFormat="1" ht="30.75" customHeight="1" x14ac:dyDescent="0.25">
      <c r="A2" s="180" t="s">
        <v>91</v>
      </c>
      <c r="B2" s="153" t="s">
        <v>90</v>
      </c>
      <c r="C2" s="153" t="s">
        <v>96</v>
      </c>
      <c r="D2" s="153" t="s">
        <v>93</v>
      </c>
      <c r="E2" s="192"/>
      <c r="F2" s="180" t="s">
        <v>91</v>
      </c>
      <c r="G2" s="153" t="s">
        <v>90</v>
      </c>
      <c r="H2" s="153" t="s">
        <v>96</v>
      </c>
      <c r="I2" s="153" t="s">
        <v>93</v>
      </c>
      <c r="J2" s="192"/>
      <c r="K2" s="187"/>
      <c r="L2" s="157"/>
      <c r="M2" s="157"/>
      <c r="N2" s="157"/>
      <c r="O2" s="157"/>
      <c r="P2" s="158"/>
      <c r="Q2" s="159"/>
      <c r="R2" s="159"/>
      <c r="S2" s="159"/>
      <c r="T2" s="159"/>
      <c r="U2" s="159"/>
      <c r="V2" s="159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</row>
    <row r="3" spans="1:214" s="161" customFormat="1" ht="30.75" customHeight="1" x14ac:dyDescent="0.25">
      <c r="A3" s="185">
        <f>B10</f>
        <v>20000</v>
      </c>
      <c r="B3" s="181">
        <f>SUM(B10:B62)</f>
        <v>35000</v>
      </c>
      <c r="C3" s="181">
        <f>SUM(C10:C48)</f>
        <v>9500</v>
      </c>
      <c r="D3" s="182">
        <f>SUM(B2:B3) - C3</f>
        <v>25500</v>
      </c>
      <c r="E3" s="193"/>
      <c r="F3" s="185">
        <f>G10</f>
        <v>20000</v>
      </c>
      <c r="G3" s="181">
        <f>SUM(G10:G62)</f>
        <v>22007</v>
      </c>
      <c r="H3" s="181">
        <f>SUM(H10:H48)</f>
        <v>7000</v>
      </c>
      <c r="I3" s="182">
        <f>SUM(G2:G3) - H3</f>
        <v>15007</v>
      </c>
      <c r="J3" s="193"/>
      <c r="K3" s="199"/>
      <c r="Q3" s="159"/>
      <c r="R3" s="159"/>
      <c r="S3" s="159"/>
      <c r="T3" s="159"/>
      <c r="U3" s="159"/>
      <c r="V3" s="159"/>
      <c r="W3" s="160"/>
      <c r="X3" s="160"/>
      <c r="Y3" s="160"/>
      <c r="Z3" s="160"/>
      <c r="AA3" s="160"/>
      <c r="AB3" s="160"/>
      <c r="AC3" s="160"/>
      <c r="AD3" s="160"/>
      <c r="AE3" s="160"/>
      <c r="AF3" s="160"/>
      <c r="AG3" s="160"/>
      <c r="AH3" s="160"/>
      <c r="AI3" s="160"/>
      <c r="AJ3" s="160"/>
      <c r="AK3" s="160"/>
      <c r="AL3" s="160"/>
      <c r="AM3" s="160"/>
      <c r="AN3" s="160"/>
      <c r="AO3" s="160"/>
      <c r="AP3" s="160"/>
      <c r="AQ3" s="160"/>
      <c r="AR3" s="160"/>
      <c r="AS3" s="160"/>
      <c r="AT3" s="160"/>
      <c r="AU3" s="160"/>
      <c r="AV3" s="160"/>
      <c r="AW3" s="160"/>
      <c r="AX3" s="160"/>
      <c r="AY3" s="160"/>
      <c r="AZ3" s="160"/>
      <c r="BA3" s="160"/>
      <c r="BB3" s="160"/>
      <c r="BC3" s="160"/>
      <c r="BD3" s="160"/>
      <c r="BE3" s="160"/>
      <c r="BF3" s="160"/>
      <c r="BG3" s="160"/>
      <c r="BH3" s="160"/>
      <c r="BI3" s="160"/>
      <c r="BJ3" s="160"/>
      <c r="BK3" s="160"/>
      <c r="BL3" s="160"/>
      <c r="BM3" s="160"/>
      <c r="BN3" s="160"/>
      <c r="BO3" s="160"/>
      <c r="BP3" s="160"/>
      <c r="BQ3" s="160"/>
      <c r="BR3" s="160"/>
      <c r="BS3" s="160"/>
      <c r="BT3" s="160"/>
      <c r="BU3" s="160"/>
      <c r="BV3" s="160"/>
      <c r="BW3" s="160"/>
      <c r="BX3" s="160"/>
      <c r="BY3" s="160"/>
      <c r="BZ3" s="160"/>
      <c r="CA3" s="160"/>
      <c r="CB3" s="160"/>
      <c r="CC3" s="160"/>
      <c r="CD3" s="160"/>
      <c r="CE3" s="160"/>
      <c r="CF3" s="160"/>
      <c r="CG3" s="160"/>
      <c r="CH3" s="160"/>
      <c r="CI3" s="160"/>
      <c r="CJ3" s="160"/>
      <c r="CK3" s="160"/>
      <c r="CL3" s="160"/>
      <c r="CM3" s="160"/>
      <c r="CN3" s="160"/>
      <c r="CO3" s="160"/>
      <c r="CP3" s="160"/>
      <c r="CQ3" s="160"/>
      <c r="CR3" s="160"/>
      <c r="CS3" s="160"/>
      <c r="CT3" s="160"/>
      <c r="CU3" s="160"/>
      <c r="CV3" s="160"/>
      <c r="CW3" s="160"/>
      <c r="CX3" s="160"/>
      <c r="CY3" s="160"/>
      <c r="CZ3" s="160"/>
      <c r="DA3" s="160"/>
      <c r="DB3" s="160"/>
      <c r="DC3" s="160"/>
      <c r="DD3" s="160"/>
      <c r="DE3" s="160"/>
      <c r="DF3" s="160"/>
      <c r="DG3" s="160"/>
      <c r="DH3" s="160"/>
      <c r="DI3" s="160"/>
      <c r="DJ3" s="160"/>
      <c r="DK3" s="160"/>
      <c r="DL3" s="160"/>
      <c r="DM3" s="160"/>
      <c r="DN3" s="160"/>
      <c r="DO3" s="160"/>
      <c r="DP3" s="160"/>
      <c r="DQ3" s="160"/>
      <c r="DR3" s="160"/>
      <c r="DS3" s="160"/>
      <c r="DT3" s="160"/>
      <c r="DU3" s="160"/>
      <c r="DV3" s="160"/>
      <c r="DW3" s="160"/>
      <c r="DX3" s="160"/>
      <c r="DY3" s="160"/>
      <c r="DZ3" s="160"/>
      <c r="EA3" s="160"/>
      <c r="EB3" s="160"/>
      <c r="EC3" s="160"/>
      <c r="ED3" s="160"/>
      <c r="EE3" s="160"/>
      <c r="EF3" s="160"/>
      <c r="EG3" s="160"/>
      <c r="EH3" s="160"/>
      <c r="EI3" s="160"/>
      <c r="EJ3" s="160"/>
      <c r="EK3" s="160"/>
      <c r="EL3" s="160"/>
      <c r="EM3" s="160"/>
      <c r="EN3" s="160"/>
      <c r="EO3" s="160"/>
      <c r="EP3" s="160"/>
      <c r="EQ3" s="160"/>
      <c r="ER3" s="160"/>
      <c r="ES3" s="160"/>
      <c r="ET3" s="160"/>
      <c r="EU3" s="160"/>
      <c r="EV3" s="160"/>
      <c r="EW3" s="160"/>
      <c r="EX3" s="160"/>
      <c r="EY3" s="160"/>
      <c r="EZ3" s="160"/>
      <c r="FA3" s="160"/>
      <c r="FB3" s="160"/>
      <c r="FC3" s="160"/>
      <c r="FD3" s="160"/>
      <c r="FE3" s="160"/>
      <c r="FF3" s="160"/>
      <c r="FG3" s="160"/>
      <c r="FH3" s="160"/>
      <c r="FI3" s="160"/>
      <c r="FJ3" s="160"/>
      <c r="FK3" s="160"/>
      <c r="FL3" s="160"/>
      <c r="FM3" s="160"/>
      <c r="FN3" s="160"/>
      <c r="FO3" s="160"/>
      <c r="FP3" s="160"/>
    </row>
    <row r="4" spans="1:214" s="161" customFormat="1" ht="30.75" customHeight="1" x14ac:dyDescent="0.25">
      <c r="A4" s="196"/>
      <c r="B4" s="159"/>
      <c r="C4" s="157"/>
      <c r="D4" s="157"/>
      <c r="E4" s="192"/>
      <c r="F4" s="196"/>
      <c r="G4" s="159"/>
      <c r="H4" s="157"/>
      <c r="I4" s="157"/>
      <c r="J4" s="192"/>
      <c r="K4" s="187"/>
      <c r="L4" s="157"/>
      <c r="M4" s="157"/>
      <c r="N4" s="157"/>
      <c r="O4" s="157"/>
      <c r="P4" s="158"/>
      <c r="Q4" s="159"/>
      <c r="R4" s="159"/>
      <c r="S4" s="159"/>
      <c r="T4" s="159"/>
      <c r="U4" s="159"/>
      <c r="V4" s="159"/>
      <c r="W4" s="159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0"/>
      <c r="CJ4" s="160"/>
      <c r="CK4" s="160"/>
      <c r="CL4" s="160"/>
      <c r="CM4" s="160"/>
      <c r="CN4" s="160"/>
      <c r="CO4" s="160"/>
      <c r="CP4" s="160"/>
      <c r="CQ4" s="160"/>
      <c r="CR4" s="160"/>
      <c r="CS4" s="160"/>
      <c r="CT4" s="160"/>
      <c r="CU4" s="160"/>
      <c r="CV4" s="160"/>
      <c r="CW4" s="160"/>
      <c r="CX4" s="160"/>
      <c r="CY4" s="160"/>
      <c r="CZ4" s="160"/>
      <c r="DA4" s="160"/>
      <c r="DB4" s="160"/>
      <c r="DC4" s="160"/>
      <c r="DD4" s="160"/>
      <c r="DE4" s="160"/>
      <c r="DF4" s="160"/>
      <c r="DG4" s="160"/>
      <c r="DH4" s="160"/>
      <c r="DI4" s="160"/>
      <c r="DJ4" s="160"/>
      <c r="DK4" s="160"/>
      <c r="DL4" s="160"/>
      <c r="DM4" s="160"/>
      <c r="DN4" s="160"/>
      <c r="DO4" s="160"/>
      <c r="DP4" s="160"/>
      <c r="DQ4" s="160"/>
      <c r="DR4" s="160"/>
      <c r="DS4" s="160"/>
      <c r="DT4" s="160"/>
      <c r="DU4" s="160"/>
      <c r="DV4" s="160"/>
      <c r="DW4" s="160"/>
      <c r="DX4" s="160"/>
      <c r="DY4" s="160"/>
      <c r="DZ4" s="160"/>
      <c r="EA4" s="160"/>
      <c r="EB4" s="160"/>
      <c r="EC4" s="160"/>
      <c r="ED4" s="160"/>
      <c r="EE4" s="160"/>
      <c r="EF4" s="160"/>
      <c r="EG4" s="160"/>
      <c r="EH4" s="160"/>
      <c r="EI4" s="160"/>
      <c r="EJ4" s="160"/>
      <c r="EK4" s="160"/>
      <c r="EL4" s="160"/>
      <c r="EM4" s="160"/>
      <c r="EN4" s="160"/>
      <c r="EO4" s="160"/>
      <c r="EP4" s="160"/>
      <c r="EQ4" s="160"/>
      <c r="ER4" s="160"/>
      <c r="ES4" s="160"/>
      <c r="ET4" s="160"/>
      <c r="EU4" s="160"/>
      <c r="EV4" s="160"/>
      <c r="EW4" s="160"/>
      <c r="EX4" s="160"/>
      <c r="EY4" s="160"/>
      <c r="EZ4" s="160"/>
      <c r="FA4" s="160"/>
      <c r="FB4" s="160"/>
      <c r="FC4" s="160"/>
      <c r="FD4" s="160"/>
      <c r="FE4" s="160"/>
      <c r="FF4" s="160"/>
      <c r="FG4" s="160"/>
      <c r="FH4" s="160"/>
      <c r="FI4" s="160"/>
      <c r="FJ4" s="160"/>
      <c r="FK4" s="160"/>
      <c r="FL4" s="160"/>
      <c r="FM4" s="160"/>
      <c r="FN4" s="160"/>
      <c r="FO4" s="160"/>
      <c r="FP4" s="160"/>
    </row>
    <row r="5" spans="1:214" s="161" customFormat="1" ht="30.75" customHeight="1" x14ac:dyDescent="0.25">
      <c r="A5" s="183" t="s">
        <v>15</v>
      </c>
      <c r="B5" s="183" t="s">
        <v>86</v>
      </c>
      <c r="C5" s="183" t="s">
        <v>16</v>
      </c>
      <c r="D5" s="183" t="s">
        <v>85</v>
      </c>
      <c r="E5" s="192"/>
      <c r="F5" s="183" t="s">
        <v>15</v>
      </c>
      <c r="G5" s="183" t="s">
        <v>86</v>
      </c>
      <c r="H5" s="183" t="s">
        <v>16</v>
      </c>
      <c r="I5" s="183" t="s">
        <v>85</v>
      </c>
      <c r="J5" s="192"/>
      <c r="K5" s="187"/>
      <c r="L5" s="157"/>
      <c r="M5" s="157"/>
      <c r="N5" s="157"/>
      <c r="O5" s="157"/>
      <c r="P5" s="158"/>
      <c r="Q5" s="159"/>
      <c r="R5" s="159"/>
      <c r="S5" s="159"/>
      <c r="T5" s="159"/>
      <c r="U5" s="159"/>
      <c r="V5" s="159"/>
      <c r="W5" s="159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0"/>
      <c r="BM5" s="160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0"/>
      <c r="BZ5" s="160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0"/>
      <c r="CM5" s="160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0"/>
      <c r="CZ5" s="160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0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60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160"/>
      <c r="EN5" s="160"/>
      <c r="EO5" s="160"/>
      <c r="EP5" s="160"/>
      <c r="EQ5" s="160"/>
      <c r="ER5" s="160"/>
      <c r="ES5" s="160"/>
      <c r="ET5" s="160"/>
      <c r="EU5" s="160"/>
      <c r="EV5" s="160"/>
      <c r="EW5" s="160"/>
      <c r="EX5" s="160"/>
      <c r="EY5" s="160"/>
      <c r="EZ5" s="160"/>
      <c r="FA5" s="160"/>
      <c r="FB5" s="160"/>
      <c r="FC5" s="160"/>
      <c r="FD5" s="160"/>
      <c r="FE5" s="160"/>
      <c r="FF5" s="160"/>
      <c r="FG5" s="160"/>
      <c r="FH5" s="160"/>
      <c r="FI5" s="160"/>
      <c r="FJ5" s="160"/>
      <c r="FK5" s="160"/>
      <c r="FL5" s="160"/>
      <c r="FM5" s="160"/>
      <c r="FN5" s="160"/>
      <c r="FO5" s="160"/>
      <c r="FP5" s="160"/>
    </row>
    <row r="6" spans="1:214" s="161" customFormat="1" ht="30.75" customHeight="1" x14ac:dyDescent="0.25">
      <c r="A6" s="185">
        <f>SUM(D10:D43)</f>
        <v>6135</v>
      </c>
      <c r="B6" s="181">
        <f>SUM(E10:E43)</f>
        <v>1170</v>
      </c>
      <c r="C6" s="182">
        <f>A6-B6</f>
        <v>4965</v>
      </c>
      <c r="D6" s="182">
        <f>D3 + C6</f>
        <v>30465</v>
      </c>
      <c r="E6" s="192"/>
      <c r="F6" s="185">
        <f>SUM(I10:I43)</f>
        <v>7710</v>
      </c>
      <c r="G6" s="181">
        <f>SUM(J10:J43)</f>
        <v>7710</v>
      </c>
      <c r="H6" s="182">
        <f>F6-G6</f>
        <v>0</v>
      </c>
      <c r="I6" s="182">
        <f>I3 + H6</f>
        <v>15007</v>
      </c>
      <c r="J6" s="192"/>
      <c r="K6" s="187"/>
      <c r="L6" s="157"/>
      <c r="M6" s="157"/>
      <c r="N6" s="157"/>
      <c r="O6" s="157"/>
      <c r="P6" s="158"/>
      <c r="Q6" s="159"/>
      <c r="R6" s="159"/>
      <c r="S6" s="159"/>
      <c r="T6" s="159"/>
      <c r="U6" s="159"/>
      <c r="V6" s="159"/>
      <c r="W6" s="159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  <c r="AZ6" s="160"/>
      <c r="BA6" s="160"/>
      <c r="BB6" s="160"/>
      <c r="BC6" s="160"/>
      <c r="BD6" s="160"/>
      <c r="BE6" s="160"/>
      <c r="BF6" s="160"/>
      <c r="BG6" s="160"/>
      <c r="BH6" s="160"/>
      <c r="BI6" s="160"/>
      <c r="BJ6" s="160"/>
      <c r="BK6" s="160"/>
      <c r="BL6" s="160"/>
      <c r="BM6" s="160"/>
      <c r="BN6" s="160"/>
      <c r="BO6" s="160"/>
      <c r="BP6" s="160"/>
      <c r="BQ6" s="160"/>
      <c r="BR6" s="160"/>
      <c r="BS6" s="160"/>
      <c r="BT6" s="160"/>
      <c r="BU6" s="160"/>
      <c r="BV6" s="160"/>
      <c r="BW6" s="160"/>
      <c r="BX6" s="160"/>
      <c r="BY6" s="160"/>
      <c r="BZ6" s="160"/>
      <c r="CA6" s="160"/>
      <c r="CB6" s="160"/>
      <c r="CC6" s="160"/>
      <c r="CD6" s="160"/>
      <c r="CE6" s="160"/>
      <c r="CF6" s="160"/>
      <c r="CG6" s="160"/>
      <c r="CH6" s="160"/>
      <c r="CI6" s="160"/>
      <c r="CJ6" s="160"/>
      <c r="CK6" s="160"/>
      <c r="CL6" s="160"/>
      <c r="CM6" s="160"/>
      <c r="CN6" s="160"/>
      <c r="CO6" s="160"/>
      <c r="CP6" s="160"/>
      <c r="CQ6" s="160"/>
      <c r="CR6" s="160"/>
      <c r="CS6" s="160"/>
      <c r="CT6" s="160"/>
      <c r="CU6" s="160"/>
      <c r="CV6" s="160"/>
      <c r="CW6" s="160"/>
      <c r="CX6" s="160"/>
      <c r="CY6" s="160"/>
      <c r="CZ6" s="160"/>
      <c r="DA6" s="160"/>
      <c r="DB6" s="160"/>
      <c r="DC6" s="160"/>
      <c r="DD6" s="160"/>
      <c r="DE6" s="160"/>
      <c r="DF6" s="160"/>
      <c r="DG6" s="160"/>
      <c r="DH6" s="160"/>
      <c r="DI6" s="160"/>
      <c r="DJ6" s="160"/>
      <c r="DK6" s="160"/>
      <c r="DL6" s="160"/>
      <c r="DM6" s="160"/>
      <c r="DN6" s="160"/>
      <c r="DO6" s="160"/>
      <c r="DP6" s="160"/>
      <c r="DQ6" s="160"/>
      <c r="DR6" s="160"/>
      <c r="DS6" s="160"/>
      <c r="DT6" s="160"/>
      <c r="DU6" s="160"/>
      <c r="DV6" s="160"/>
      <c r="DW6" s="160"/>
      <c r="DX6" s="160"/>
      <c r="DY6" s="160"/>
      <c r="DZ6" s="160"/>
      <c r="EA6" s="160"/>
      <c r="EB6" s="160"/>
      <c r="EC6" s="160"/>
      <c r="ED6" s="160"/>
      <c r="EE6" s="160"/>
      <c r="EF6" s="160"/>
      <c r="EG6" s="160"/>
      <c r="EH6" s="160"/>
      <c r="EI6" s="160"/>
      <c r="EJ6" s="160"/>
      <c r="EK6" s="160"/>
      <c r="EL6" s="160"/>
      <c r="EM6" s="160"/>
      <c r="EN6" s="160"/>
      <c r="EO6" s="160"/>
      <c r="EP6" s="160"/>
      <c r="EQ6" s="160"/>
      <c r="ER6" s="160"/>
      <c r="ES6" s="160"/>
      <c r="ET6" s="160"/>
      <c r="EU6" s="160"/>
      <c r="EV6" s="160"/>
      <c r="EW6" s="160"/>
      <c r="EX6" s="160"/>
      <c r="EY6" s="160"/>
      <c r="EZ6" s="160"/>
      <c r="FA6" s="160"/>
      <c r="FB6" s="160"/>
      <c r="FC6" s="160"/>
      <c r="FD6" s="160"/>
      <c r="FE6" s="160"/>
      <c r="FF6" s="160"/>
      <c r="FG6" s="160"/>
      <c r="FH6" s="160"/>
      <c r="FI6" s="160"/>
      <c r="FJ6" s="160"/>
      <c r="FK6" s="160"/>
      <c r="FL6" s="160"/>
      <c r="FM6" s="160"/>
      <c r="FN6" s="160"/>
      <c r="FO6" s="160"/>
      <c r="FP6" s="160"/>
    </row>
    <row r="7" spans="1:214" s="161" customFormat="1" ht="30.75" customHeight="1" x14ac:dyDescent="0.25">
      <c r="A7" s="194"/>
      <c r="B7" s="157"/>
      <c r="C7" s="157"/>
      <c r="D7" s="157"/>
      <c r="E7" s="192"/>
      <c r="F7" s="194"/>
      <c r="G7" s="157"/>
      <c r="H7" s="157"/>
      <c r="I7" s="157"/>
      <c r="J7" s="192"/>
      <c r="K7" s="187"/>
      <c r="L7" s="157"/>
      <c r="M7" s="157"/>
      <c r="N7" s="157"/>
      <c r="O7" s="157"/>
      <c r="P7" s="158"/>
      <c r="Q7" s="159"/>
      <c r="R7" s="159"/>
      <c r="S7" s="159"/>
      <c r="T7" s="159"/>
      <c r="U7" s="159"/>
      <c r="V7" s="159"/>
      <c r="W7" s="159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  <c r="AZ7" s="160"/>
      <c r="BA7" s="160"/>
      <c r="BB7" s="160"/>
      <c r="BC7" s="160"/>
      <c r="BD7" s="160"/>
      <c r="BE7" s="160"/>
      <c r="BF7" s="160"/>
      <c r="BG7" s="160"/>
      <c r="BH7" s="160"/>
      <c r="BI7" s="160"/>
      <c r="BJ7" s="160"/>
      <c r="BK7" s="160"/>
      <c r="BL7" s="160"/>
      <c r="BM7" s="160"/>
      <c r="BN7" s="160"/>
      <c r="BO7" s="160"/>
      <c r="BP7" s="160"/>
      <c r="BQ7" s="160"/>
      <c r="BR7" s="160"/>
      <c r="BS7" s="160"/>
      <c r="BT7" s="160"/>
      <c r="BU7" s="160"/>
      <c r="BV7" s="160"/>
      <c r="BW7" s="160"/>
      <c r="BX7" s="160"/>
      <c r="BY7" s="160"/>
      <c r="BZ7" s="160"/>
      <c r="CA7" s="160"/>
      <c r="CB7" s="160"/>
      <c r="CC7" s="160"/>
      <c r="CD7" s="160"/>
      <c r="CE7" s="160"/>
      <c r="CF7" s="160"/>
      <c r="CG7" s="160"/>
      <c r="CH7" s="160"/>
      <c r="CI7" s="160"/>
      <c r="CJ7" s="160"/>
      <c r="CK7" s="160"/>
      <c r="CL7" s="160"/>
      <c r="CM7" s="160"/>
      <c r="CN7" s="160"/>
      <c r="CO7" s="160"/>
      <c r="CP7" s="160"/>
      <c r="CQ7" s="160"/>
      <c r="CR7" s="160"/>
      <c r="CS7" s="160"/>
      <c r="CT7" s="160"/>
      <c r="CU7" s="160"/>
      <c r="CV7" s="160"/>
      <c r="CW7" s="160"/>
      <c r="CX7" s="160"/>
      <c r="CY7" s="160"/>
      <c r="CZ7" s="160"/>
      <c r="DA7" s="160"/>
      <c r="DB7" s="160"/>
      <c r="DC7" s="160"/>
      <c r="DD7" s="160"/>
      <c r="DE7" s="160"/>
      <c r="DF7" s="160"/>
      <c r="DG7" s="160"/>
      <c r="DH7" s="160"/>
      <c r="DI7" s="160"/>
      <c r="DJ7" s="160"/>
      <c r="DK7" s="160"/>
      <c r="DL7" s="160"/>
      <c r="DM7" s="160"/>
      <c r="DN7" s="160"/>
      <c r="DO7" s="160"/>
      <c r="DP7" s="160"/>
      <c r="DQ7" s="160"/>
      <c r="DR7" s="160"/>
      <c r="DS7" s="160"/>
      <c r="DT7" s="160"/>
      <c r="DU7" s="160"/>
      <c r="DV7" s="160"/>
      <c r="DW7" s="160"/>
      <c r="DX7" s="160"/>
      <c r="DY7" s="160"/>
      <c r="DZ7" s="160"/>
      <c r="EA7" s="160"/>
      <c r="EB7" s="160"/>
      <c r="EC7" s="160"/>
      <c r="ED7" s="160"/>
      <c r="EE7" s="160"/>
      <c r="EF7" s="160"/>
      <c r="EG7" s="160"/>
      <c r="EH7" s="160"/>
      <c r="EI7" s="160"/>
      <c r="EJ7" s="160"/>
      <c r="EK7" s="160"/>
      <c r="EL7" s="160"/>
      <c r="EM7" s="160"/>
      <c r="EN7" s="160"/>
      <c r="EO7" s="160"/>
      <c r="EP7" s="160"/>
      <c r="EQ7" s="160"/>
      <c r="ER7" s="160"/>
      <c r="ES7" s="160"/>
      <c r="ET7" s="160"/>
      <c r="EU7" s="160"/>
      <c r="EV7" s="160"/>
      <c r="EW7" s="160"/>
      <c r="EX7" s="160"/>
      <c r="EY7" s="160"/>
      <c r="EZ7" s="160"/>
      <c r="FA7" s="160"/>
      <c r="FB7" s="160"/>
      <c r="FC7" s="160"/>
      <c r="FD7" s="160"/>
      <c r="FE7" s="160"/>
      <c r="FF7" s="160"/>
      <c r="FG7" s="160"/>
      <c r="FH7" s="160"/>
      <c r="FI7" s="160"/>
      <c r="FJ7" s="160"/>
      <c r="FK7" s="160"/>
      <c r="FL7" s="160"/>
      <c r="FM7" s="160"/>
      <c r="FN7" s="160"/>
      <c r="FO7" s="160"/>
      <c r="FP7" s="160"/>
    </row>
    <row r="8" spans="1:214" s="161" customFormat="1" ht="30.75" customHeight="1" x14ac:dyDescent="0.25">
      <c r="A8" s="195"/>
      <c r="B8" s="97"/>
      <c r="C8" s="97"/>
      <c r="D8" s="97"/>
      <c r="E8" s="189"/>
      <c r="F8" s="197"/>
      <c r="G8" s="111"/>
      <c r="H8" s="111"/>
      <c r="I8" s="111"/>
      <c r="J8" s="198"/>
      <c r="K8" s="187"/>
      <c r="L8" s="157"/>
      <c r="M8" s="157"/>
      <c r="N8" s="157"/>
      <c r="O8" s="157"/>
      <c r="P8" s="158"/>
      <c r="Q8" s="159"/>
      <c r="R8" s="159"/>
      <c r="S8" s="159"/>
      <c r="T8" s="159"/>
      <c r="U8" s="159"/>
      <c r="V8" s="159"/>
      <c r="W8" s="159"/>
      <c r="X8" s="160"/>
      <c r="Y8" s="160"/>
      <c r="Z8" s="160"/>
      <c r="AA8" s="160"/>
      <c r="AB8" s="160"/>
      <c r="AC8" s="160"/>
      <c r="AD8" s="160"/>
      <c r="AE8" s="160"/>
      <c r="AF8" s="160"/>
      <c r="AG8" s="160"/>
      <c r="AH8" s="160"/>
      <c r="AI8" s="160"/>
      <c r="AJ8" s="160"/>
      <c r="AK8" s="160"/>
      <c r="AL8" s="160"/>
      <c r="AM8" s="160"/>
      <c r="AN8" s="160"/>
      <c r="AO8" s="160"/>
      <c r="AP8" s="160"/>
      <c r="AQ8" s="160"/>
      <c r="AR8" s="160"/>
      <c r="AS8" s="160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0"/>
      <c r="BE8" s="160"/>
      <c r="BF8" s="160"/>
      <c r="BG8" s="160"/>
      <c r="BH8" s="160"/>
      <c r="BI8" s="160"/>
      <c r="BJ8" s="160"/>
      <c r="BK8" s="160"/>
      <c r="BL8" s="160"/>
      <c r="BM8" s="160"/>
      <c r="BN8" s="160"/>
      <c r="BO8" s="160"/>
      <c r="BP8" s="160"/>
      <c r="BQ8" s="160"/>
      <c r="BR8" s="160"/>
      <c r="BS8" s="160"/>
      <c r="BT8" s="160"/>
      <c r="BU8" s="160"/>
      <c r="BV8" s="160"/>
      <c r="BW8" s="160"/>
      <c r="BX8" s="160"/>
      <c r="BY8" s="160"/>
      <c r="BZ8" s="160"/>
      <c r="CA8" s="160"/>
      <c r="CB8" s="160"/>
      <c r="CC8" s="160"/>
      <c r="CD8" s="160"/>
      <c r="CE8" s="160"/>
      <c r="CF8" s="160"/>
      <c r="CG8" s="160"/>
      <c r="CH8" s="160"/>
      <c r="CI8" s="160"/>
      <c r="CJ8" s="160"/>
      <c r="CK8" s="160"/>
      <c r="CL8" s="160"/>
      <c r="CM8" s="160"/>
      <c r="CN8" s="160"/>
      <c r="CO8" s="160"/>
      <c r="CP8" s="160"/>
      <c r="CQ8" s="160"/>
      <c r="CR8" s="160"/>
      <c r="CS8" s="160"/>
      <c r="CT8" s="160"/>
      <c r="CU8" s="160"/>
      <c r="CV8" s="160"/>
      <c r="CW8" s="160"/>
      <c r="CX8" s="160"/>
      <c r="CY8" s="160"/>
      <c r="CZ8" s="160"/>
      <c r="DA8" s="160"/>
      <c r="DB8" s="160"/>
      <c r="DC8" s="160"/>
      <c r="DD8" s="160"/>
      <c r="DE8" s="160"/>
      <c r="DF8" s="160"/>
      <c r="DG8" s="160"/>
      <c r="DH8" s="160"/>
      <c r="DI8" s="160"/>
      <c r="DJ8" s="160"/>
      <c r="DK8" s="160"/>
      <c r="DL8" s="160"/>
      <c r="DM8" s="160"/>
      <c r="DN8" s="160"/>
      <c r="DO8" s="160"/>
      <c r="DP8" s="160"/>
      <c r="DQ8" s="160"/>
      <c r="DR8" s="160"/>
      <c r="DS8" s="160"/>
      <c r="DT8" s="160"/>
      <c r="DU8" s="160"/>
      <c r="DV8" s="160"/>
      <c r="DW8" s="160"/>
      <c r="DX8" s="160"/>
      <c r="DY8" s="160"/>
      <c r="DZ8" s="160"/>
      <c r="EA8" s="160"/>
      <c r="EB8" s="160"/>
      <c r="EC8" s="160"/>
      <c r="ED8" s="160"/>
      <c r="EE8" s="160"/>
      <c r="EF8" s="160"/>
      <c r="EG8" s="160"/>
      <c r="EH8" s="160"/>
      <c r="EI8" s="160"/>
      <c r="EJ8" s="160"/>
      <c r="EK8" s="160"/>
      <c r="EL8" s="160"/>
      <c r="EM8" s="160"/>
      <c r="EN8" s="160"/>
      <c r="EO8" s="160"/>
      <c r="EP8" s="160"/>
      <c r="EQ8" s="160"/>
      <c r="ER8" s="160"/>
      <c r="ES8" s="160"/>
      <c r="ET8" s="160"/>
      <c r="EU8" s="160"/>
      <c r="EV8" s="160"/>
      <c r="EW8" s="160"/>
      <c r="EX8" s="160"/>
      <c r="EY8" s="160"/>
      <c r="EZ8" s="160"/>
      <c r="FA8" s="160"/>
      <c r="FB8" s="160"/>
      <c r="FC8" s="160"/>
      <c r="FD8" s="160"/>
      <c r="FE8" s="160"/>
      <c r="FF8" s="160"/>
      <c r="FG8" s="160"/>
      <c r="FH8" s="160"/>
      <c r="FI8" s="160"/>
      <c r="FJ8" s="160"/>
      <c r="FK8" s="160"/>
      <c r="FL8" s="160"/>
      <c r="FM8" s="160"/>
      <c r="FN8" s="160"/>
      <c r="FO8" s="160"/>
      <c r="FP8" s="160"/>
    </row>
    <row r="9" spans="1:214" s="161" customFormat="1" ht="30.75" customHeight="1" x14ac:dyDescent="0.25">
      <c r="A9" s="129" t="s">
        <v>104</v>
      </c>
      <c r="B9" s="125" t="s">
        <v>90</v>
      </c>
      <c r="C9" s="126" t="s">
        <v>89</v>
      </c>
      <c r="D9" s="127" t="s">
        <v>15</v>
      </c>
      <c r="E9" s="128" t="s">
        <v>92</v>
      </c>
      <c r="F9" s="129" t="s">
        <v>104</v>
      </c>
      <c r="G9" s="125" t="s">
        <v>90</v>
      </c>
      <c r="H9" s="126" t="s">
        <v>89</v>
      </c>
      <c r="I9" s="127" t="s">
        <v>15</v>
      </c>
      <c r="J9" s="128" t="s">
        <v>92</v>
      </c>
      <c r="K9" s="187"/>
      <c r="L9" s="157"/>
      <c r="M9" s="157"/>
      <c r="N9" s="157"/>
      <c r="O9" s="157"/>
      <c r="P9" s="158"/>
      <c r="Q9" s="159"/>
      <c r="R9" s="159"/>
      <c r="S9" s="159"/>
      <c r="T9" s="159"/>
      <c r="U9" s="159"/>
      <c r="V9" s="159"/>
      <c r="W9" s="159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60"/>
      <c r="BC9" s="160"/>
      <c r="BD9" s="160"/>
      <c r="BE9" s="160"/>
      <c r="BF9" s="160"/>
      <c r="BG9" s="160"/>
      <c r="BH9" s="160"/>
      <c r="BI9" s="160"/>
      <c r="BJ9" s="160"/>
      <c r="BK9" s="160"/>
      <c r="BL9" s="160"/>
      <c r="BM9" s="160"/>
      <c r="BN9" s="160"/>
      <c r="BO9" s="160"/>
      <c r="BP9" s="160"/>
      <c r="BQ9" s="160"/>
      <c r="BR9" s="160"/>
      <c r="BS9" s="160"/>
      <c r="BT9" s="160"/>
      <c r="BU9" s="160"/>
      <c r="BV9" s="160"/>
      <c r="BW9" s="160"/>
      <c r="BX9" s="160"/>
      <c r="BY9" s="160"/>
      <c r="BZ9" s="160"/>
      <c r="CA9" s="160"/>
      <c r="CB9" s="160"/>
      <c r="CC9" s="160"/>
      <c r="CD9" s="160"/>
      <c r="CE9" s="160"/>
      <c r="CF9" s="160"/>
      <c r="CG9" s="160"/>
      <c r="CH9" s="160"/>
      <c r="CI9" s="160"/>
      <c r="CJ9" s="160"/>
      <c r="CK9" s="160"/>
      <c r="CL9" s="160"/>
      <c r="CM9" s="160"/>
      <c r="CN9" s="160"/>
      <c r="CO9" s="160"/>
      <c r="CP9" s="160"/>
      <c r="CQ9" s="160"/>
      <c r="CR9" s="160"/>
      <c r="CS9" s="160"/>
      <c r="CT9" s="160"/>
      <c r="CU9" s="160"/>
      <c r="CV9" s="160"/>
      <c r="CW9" s="160"/>
      <c r="CX9" s="160"/>
      <c r="CY9" s="160"/>
      <c r="CZ9" s="160"/>
      <c r="DA9" s="160"/>
      <c r="DB9" s="160"/>
      <c r="DC9" s="160"/>
      <c r="DD9" s="160"/>
      <c r="DE9" s="160"/>
      <c r="DF9" s="160"/>
      <c r="DG9" s="160"/>
      <c r="DH9" s="160"/>
      <c r="DI9" s="160"/>
      <c r="DJ9" s="160"/>
      <c r="DK9" s="160"/>
      <c r="DL9" s="160"/>
      <c r="DM9" s="160"/>
      <c r="DN9" s="160"/>
      <c r="DO9" s="160"/>
      <c r="DP9" s="160"/>
      <c r="DQ9" s="160"/>
      <c r="DR9" s="160"/>
      <c r="DS9" s="160"/>
      <c r="DT9" s="160"/>
      <c r="DU9" s="160"/>
      <c r="DV9" s="160"/>
      <c r="DW9" s="160"/>
      <c r="DX9" s="160"/>
      <c r="DY9" s="160"/>
      <c r="DZ9" s="160"/>
      <c r="EA9" s="160"/>
      <c r="EB9" s="160"/>
      <c r="EC9" s="160"/>
      <c r="ED9" s="160"/>
      <c r="EE9" s="160"/>
      <c r="EF9" s="160"/>
      <c r="EG9" s="160"/>
      <c r="EH9" s="160"/>
      <c r="EI9" s="160"/>
      <c r="EJ9" s="160"/>
      <c r="EK9" s="160"/>
      <c r="EL9" s="160"/>
      <c r="EM9" s="160"/>
      <c r="EN9" s="160"/>
      <c r="EO9" s="160"/>
      <c r="EP9" s="160"/>
      <c r="EQ9" s="160"/>
      <c r="ER9" s="160"/>
      <c r="ES9" s="160"/>
      <c r="ET9" s="160"/>
      <c r="EU9" s="160"/>
      <c r="EV9" s="160"/>
      <c r="EW9" s="160"/>
      <c r="EX9" s="160"/>
      <c r="EY9" s="160"/>
      <c r="EZ9" s="160"/>
      <c r="FA9" s="160"/>
      <c r="FB9" s="160"/>
      <c r="FC9" s="160"/>
      <c r="FD9" s="160"/>
      <c r="FE9" s="160"/>
      <c r="FF9" s="160"/>
      <c r="FG9" s="160"/>
      <c r="FH9" s="160"/>
      <c r="FI9" s="160"/>
      <c r="FJ9" s="160"/>
      <c r="FK9" s="160"/>
      <c r="FL9" s="160"/>
      <c r="FM9" s="160"/>
      <c r="FN9" s="160"/>
      <c r="FO9" s="160"/>
      <c r="FP9" s="160"/>
    </row>
    <row r="10" spans="1:214" s="103" customFormat="1" ht="18.75" x14ac:dyDescent="0.25">
      <c r="A10" s="151">
        <v>43585.259375000001</v>
      </c>
      <c r="B10" s="4">
        <v>20000</v>
      </c>
      <c r="C10" s="5"/>
      <c r="D10" s="122"/>
      <c r="E10" s="123"/>
      <c r="F10" s="151">
        <v>43585.259375000001</v>
      </c>
      <c r="G10" s="4">
        <v>20000</v>
      </c>
      <c r="H10" s="5"/>
      <c r="I10" s="97"/>
      <c r="J10" s="189"/>
      <c r="K10" s="187"/>
      <c r="L10" s="157"/>
      <c r="M10" s="157"/>
      <c r="N10" s="157"/>
      <c r="O10" s="157"/>
      <c r="P10" s="158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51">
        <v>43600.259398148148</v>
      </c>
      <c r="B11" s="4">
        <v>0</v>
      </c>
      <c r="C11" s="4">
        <v>1000</v>
      </c>
      <c r="D11" s="122">
        <f>(B10-C10)*0.03</f>
        <v>600</v>
      </c>
      <c r="E11" s="123">
        <v>600</v>
      </c>
      <c r="F11" s="151">
        <v>43600.259398148148</v>
      </c>
      <c r="G11" s="4"/>
      <c r="H11" s="4"/>
      <c r="I11" s="97">
        <v>600</v>
      </c>
      <c r="J11" s="189">
        <v>600</v>
      </c>
      <c r="K11" s="188"/>
      <c r="L11" s="114"/>
      <c r="M11" s="114"/>
      <c r="N11" s="114"/>
      <c r="O11" s="114"/>
      <c r="P11" s="115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43615.259699074071</v>
      </c>
      <c r="B12" s="4">
        <v>0</v>
      </c>
      <c r="C12" s="4">
        <v>1000</v>
      </c>
      <c r="D12" s="122">
        <f>(B10-C11)*0.03</f>
        <v>570</v>
      </c>
      <c r="E12" s="123">
        <v>570</v>
      </c>
      <c r="F12" s="151">
        <v>43615.259699074071</v>
      </c>
      <c r="G12" s="4"/>
      <c r="H12" s="4"/>
      <c r="I12" s="97"/>
      <c r="J12" s="189"/>
      <c r="K12" s="99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43600.259398148148</v>
      </c>
      <c r="B13" s="4">
        <v>0</v>
      </c>
      <c r="C13" s="4">
        <v>1000</v>
      </c>
      <c r="D13" s="122">
        <f>D12-(C12*0.03)</f>
        <v>540</v>
      </c>
      <c r="E13" s="123"/>
      <c r="F13" s="151">
        <v>43600.259398148148</v>
      </c>
      <c r="G13" s="4"/>
      <c r="H13" s="4"/>
      <c r="I13" s="97">
        <v>600</v>
      </c>
      <c r="J13" s="189">
        <v>600</v>
      </c>
      <c r="K13" s="99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43615.259699074071</v>
      </c>
      <c r="B14" s="4">
        <v>0</v>
      </c>
      <c r="C14" s="4">
        <v>1000</v>
      </c>
      <c r="D14" s="122">
        <f>D13-(C13*0.03)</f>
        <v>510</v>
      </c>
      <c r="E14" s="123"/>
      <c r="F14" s="151">
        <v>43615.259699074071</v>
      </c>
      <c r="G14" s="4"/>
      <c r="H14" s="4"/>
      <c r="I14" s="97">
        <v>600</v>
      </c>
      <c r="J14" s="189">
        <v>600</v>
      </c>
      <c r="K14" s="99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43600.259398148148</v>
      </c>
      <c r="B15" s="4">
        <v>0</v>
      </c>
      <c r="C15" s="4">
        <v>1000</v>
      </c>
      <c r="D15" s="122">
        <v>540</v>
      </c>
      <c r="E15" s="123"/>
      <c r="F15" s="151">
        <v>43600.259398148148</v>
      </c>
      <c r="G15" s="4"/>
      <c r="H15" s="4"/>
      <c r="I15" s="97">
        <v>600</v>
      </c>
      <c r="J15" s="189">
        <v>600</v>
      </c>
      <c r="K15" s="99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43615.259699074071</v>
      </c>
      <c r="B16" s="5">
        <v>0</v>
      </c>
      <c r="C16" s="4">
        <v>1000</v>
      </c>
      <c r="D16" s="122">
        <f>D15-(C15*0.03)</f>
        <v>510</v>
      </c>
      <c r="E16" s="123"/>
      <c r="F16" s="151">
        <v>43615.259699074071</v>
      </c>
      <c r="G16" s="4"/>
      <c r="H16" s="4"/>
      <c r="I16" s="97"/>
      <c r="J16" s="189"/>
      <c r="K16" s="99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43600.259398148148</v>
      </c>
      <c r="B17" s="5">
        <v>0</v>
      </c>
      <c r="C17" s="4">
        <v>1000</v>
      </c>
      <c r="D17" s="122">
        <f>D16-(C16*0.03)</f>
        <v>480</v>
      </c>
      <c r="E17" s="123"/>
      <c r="F17" s="151">
        <v>43600.259398148148</v>
      </c>
      <c r="G17" s="4"/>
      <c r="H17" s="4"/>
      <c r="I17" s="97"/>
      <c r="J17" s="189"/>
      <c r="K17" s="99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43615.259699074071</v>
      </c>
      <c r="B18" s="5">
        <v>0</v>
      </c>
      <c r="C18" s="4">
        <v>500</v>
      </c>
      <c r="D18" s="122">
        <f>D17-(C17*0.03)</f>
        <v>450</v>
      </c>
      <c r="E18" s="123"/>
      <c r="F18" s="151">
        <v>43615.259699074071</v>
      </c>
      <c r="G18" s="5">
        <v>0</v>
      </c>
      <c r="H18" s="4">
        <v>5000</v>
      </c>
      <c r="I18" s="97"/>
      <c r="J18" s="189"/>
      <c r="K18" s="99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43600.259398148148</v>
      </c>
      <c r="B19" s="5">
        <v>0</v>
      </c>
      <c r="C19" s="4">
        <v>2000</v>
      </c>
      <c r="D19" s="122">
        <f>D18-(C18*0.03)</f>
        <v>435</v>
      </c>
      <c r="E19" s="123"/>
      <c r="F19" s="151">
        <v>43600.259398148148</v>
      </c>
      <c r="G19" s="5">
        <v>0</v>
      </c>
      <c r="H19" s="4"/>
      <c r="I19" s="97">
        <v>450</v>
      </c>
      <c r="J19" s="189">
        <v>450</v>
      </c>
      <c r="K19" s="99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43600.259398148148</v>
      </c>
      <c r="B20" s="4">
        <v>0</v>
      </c>
      <c r="C20" s="4"/>
      <c r="D20" s="122">
        <f t="shared" ref="D20:D43" si="0">IF(A20&gt;1,D19-(C19*0.03),"")</f>
        <v>375</v>
      </c>
      <c r="E20" s="123"/>
      <c r="F20" s="151">
        <v>43615.259699074071</v>
      </c>
      <c r="G20" s="4">
        <v>0</v>
      </c>
      <c r="H20" s="4"/>
      <c r="I20" s="97">
        <v>450</v>
      </c>
      <c r="J20" s="189">
        <v>450</v>
      </c>
      <c r="K20" s="99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43600.259398148148</v>
      </c>
      <c r="B21" s="4">
        <v>0</v>
      </c>
      <c r="C21" s="4"/>
      <c r="D21" s="122">
        <f t="shared" si="0"/>
        <v>375</v>
      </c>
      <c r="E21" s="123"/>
      <c r="F21" s="151">
        <v>43600.259398148148</v>
      </c>
      <c r="G21" s="4">
        <v>0</v>
      </c>
      <c r="H21" s="4"/>
      <c r="I21" s="97"/>
      <c r="J21" s="189"/>
      <c r="K21" s="99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43600.259398148148</v>
      </c>
      <c r="B22" s="4">
        <v>15000</v>
      </c>
      <c r="C22" s="4"/>
      <c r="D22" s="122">
        <f t="shared" si="0"/>
        <v>375</v>
      </c>
      <c r="E22" s="123"/>
      <c r="F22" s="151">
        <v>43615.259699074071</v>
      </c>
      <c r="G22" s="4">
        <v>0</v>
      </c>
      <c r="H22" s="4"/>
      <c r="I22" s="97"/>
      <c r="J22" s="189"/>
      <c r="K22" s="99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43600.259398148148</v>
      </c>
      <c r="B23" s="4">
        <v>0</v>
      </c>
      <c r="C23" s="4"/>
      <c r="D23" s="122">
        <f t="shared" si="0"/>
        <v>375</v>
      </c>
      <c r="E23" s="123"/>
      <c r="F23" s="151">
        <v>43600.259398148148</v>
      </c>
      <c r="G23" s="4">
        <v>2000</v>
      </c>
      <c r="H23" s="4"/>
      <c r="I23" s="97"/>
      <c r="J23" s="189"/>
      <c r="K23" s="99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/>
      <c r="B24" s="4">
        <v>0</v>
      </c>
      <c r="C24" s="4"/>
      <c r="D24" s="122" t="str">
        <f t="shared" si="0"/>
        <v/>
      </c>
      <c r="E24" s="123"/>
      <c r="F24" s="151">
        <v>43615.259699074071</v>
      </c>
      <c r="G24" s="4">
        <v>0</v>
      </c>
      <c r="H24" s="4"/>
      <c r="I24" s="97">
        <v>510</v>
      </c>
      <c r="J24" s="189">
        <v>510</v>
      </c>
      <c r="K24" s="99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/>
      <c r="B25" s="4">
        <v>0</v>
      </c>
      <c r="C25" s="4"/>
      <c r="D25" s="122" t="str">
        <f t="shared" si="0"/>
        <v/>
      </c>
      <c r="E25" s="123"/>
      <c r="F25" s="151">
        <v>43600.259398148148</v>
      </c>
      <c r="G25" s="4">
        <v>0</v>
      </c>
      <c r="H25" s="4"/>
      <c r="I25" s="97"/>
      <c r="J25" s="189"/>
      <c r="K25" s="99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/>
      <c r="B26" s="5">
        <v>0</v>
      </c>
      <c r="C26" s="4"/>
      <c r="D26" s="122" t="str">
        <f t="shared" si="0"/>
        <v/>
      </c>
      <c r="E26" s="123"/>
      <c r="F26" s="151">
        <v>43615.259699074071</v>
      </c>
      <c r="G26" s="4">
        <v>0</v>
      </c>
      <c r="H26" s="4"/>
      <c r="I26" s="97"/>
      <c r="J26" s="189"/>
      <c r="K26" s="99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51"/>
      <c r="B27" s="5">
        <v>0</v>
      </c>
      <c r="C27" s="4"/>
      <c r="D27" s="122" t="str">
        <f t="shared" si="0"/>
        <v/>
      </c>
      <c r="E27" s="123"/>
      <c r="F27" s="151">
        <v>43600.259398148148</v>
      </c>
      <c r="G27" s="5">
        <v>0</v>
      </c>
      <c r="H27" s="4"/>
      <c r="I27" s="97">
        <v>1500</v>
      </c>
      <c r="J27" s="189">
        <v>1500</v>
      </c>
      <c r="K27" s="99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51"/>
      <c r="B28" s="5">
        <v>0</v>
      </c>
      <c r="C28" s="4"/>
      <c r="D28" s="122" t="str">
        <f t="shared" si="0"/>
        <v/>
      </c>
      <c r="E28" s="123"/>
      <c r="F28" s="151">
        <v>43615.259699074071</v>
      </c>
      <c r="G28" s="5">
        <v>0</v>
      </c>
      <c r="H28" s="4"/>
      <c r="I28" s="97"/>
      <c r="J28" s="189"/>
      <c r="K28" s="99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5">
        <v>0</v>
      </c>
      <c r="C29" s="4"/>
      <c r="D29" s="122" t="str">
        <f t="shared" si="0"/>
        <v/>
      </c>
      <c r="E29" s="123"/>
      <c r="F29" s="151">
        <v>43600.259398148148</v>
      </c>
      <c r="G29" s="5">
        <v>0</v>
      </c>
      <c r="H29" s="4">
        <v>2000</v>
      </c>
      <c r="I29" s="97"/>
      <c r="J29" s="189"/>
      <c r="K29" s="99"/>
      <c r="L29" s="97"/>
      <c r="M29" s="97"/>
      <c r="N29" s="97"/>
      <c r="O29" s="97"/>
      <c r="P29" s="108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5">
        <v>0</v>
      </c>
      <c r="C30" s="4"/>
      <c r="D30" s="122" t="str">
        <f t="shared" si="0"/>
        <v/>
      </c>
      <c r="E30" s="123"/>
      <c r="F30" s="151">
        <v>43615.259699074071</v>
      </c>
      <c r="G30" s="4">
        <v>0</v>
      </c>
      <c r="H30" s="4"/>
      <c r="I30" s="97">
        <v>900</v>
      </c>
      <c r="J30" s="189">
        <v>900</v>
      </c>
      <c r="K30" s="100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5">
        <v>0</v>
      </c>
      <c r="C31" s="4"/>
      <c r="D31" s="122" t="str">
        <f t="shared" si="0"/>
        <v/>
      </c>
      <c r="E31" s="123"/>
      <c r="F31" s="151">
        <v>43600.259398148148</v>
      </c>
      <c r="G31" s="4">
        <v>0</v>
      </c>
      <c r="H31" s="4"/>
      <c r="I31" s="97">
        <v>1500</v>
      </c>
      <c r="J31" s="189">
        <v>1500</v>
      </c>
      <c r="K31" s="100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5">
        <v>0</v>
      </c>
      <c r="C32" s="4"/>
      <c r="D32" s="122" t="str">
        <f t="shared" si="0"/>
        <v/>
      </c>
      <c r="E32" s="123"/>
      <c r="F32" s="151">
        <v>43615.259699074071</v>
      </c>
      <c r="G32" s="4"/>
      <c r="H32" s="4"/>
      <c r="I32" s="4"/>
      <c r="J32" s="90"/>
      <c r="K32" s="100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5">
        <v>0</v>
      </c>
      <c r="C33" s="4"/>
      <c r="D33" s="122" t="str">
        <f t="shared" si="0"/>
        <v/>
      </c>
      <c r="E33" s="123"/>
      <c r="F33" s="151">
        <v>43600.259398148148</v>
      </c>
      <c r="G33" s="4"/>
      <c r="H33" s="4"/>
      <c r="I33" s="4"/>
      <c r="J33" s="90"/>
      <c r="K33" s="100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5">
        <v>0</v>
      </c>
      <c r="C34" s="4"/>
      <c r="D34" s="122" t="str">
        <f t="shared" si="0"/>
        <v/>
      </c>
      <c r="E34" s="123"/>
      <c r="F34" s="151">
        <v>43615.259699074071</v>
      </c>
      <c r="G34" s="4"/>
      <c r="H34" s="4"/>
      <c r="I34" s="4"/>
      <c r="J34" s="90"/>
      <c r="K34" s="100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5">
        <v>0</v>
      </c>
      <c r="C35" s="4"/>
      <c r="D35" s="122" t="str">
        <f t="shared" si="0"/>
        <v/>
      </c>
      <c r="E35" s="123"/>
      <c r="F35" s="151">
        <v>43600.259398148148</v>
      </c>
      <c r="G35" s="4"/>
      <c r="H35" s="4"/>
      <c r="I35" s="4"/>
      <c r="J35" s="90"/>
      <c r="K35" s="100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5">
        <v>0</v>
      </c>
      <c r="C36" s="4"/>
      <c r="D36" s="122" t="str">
        <f t="shared" si="0"/>
        <v/>
      </c>
      <c r="E36" s="123"/>
      <c r="F36" s="151">
        <v>43615.259699074071</v>
      </c>
      <c r="G36" s="4"/>
      <c r="H36" s="4"/>
      <c r="I36" s="4"/>
      <c r="J36" s="90"/>
      <c r="K36" s="100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5">
        <v>0</v>
      </c>
      <c r="C37" s="4"/>
      <c r="D37" s="122" t="str">
        <f t="shared" si="0"/>
        <v/>
      </c>
      <c r="E37" s="123"/>
      <c r="F37" s="151">
        <v>43600.259398148148</v>
      </c>
      <c r="G37" s="4"/>
      <c r="H37" s="4"/>
      <c r="I37" s="4"/>
      <c r="J37" s="90"/>
      <c r="K37" s="100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5">
        <v>0</v>
      </c>
      <c r="C38" s="4"/>
      <c r="D38" s="122" t="str">
        <f t="shared" si="0"/>
        <v/>
      </c>
      <c r="E38" s="123"/>
      <c r="F38" s="151">
        <v>43615.259699074071</v>
      </c>
      <c r="G38" s="4"/>
      <c r="H38" s="4"/>
      <c r="I38" s="4"/>
      <c r="J38" s="90"/>
      <c r="K38" s="100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5">
        <v>0</v>
      </c>
      <c r="C39" s="4"/>
      <c r="D39" s="122" t="str">
        <f t="shared" si="0"/>
        <v/>
      </c>
      <c r="E39" s="123"/>
      <c r="F39" s="151">
        <v>43600.259398148148</v>
      </c>
      <c r="G39" s="106"/>
      <c r="H39" s="106"/>
      <c r="I39" s="106"/>
      <c r="J39" s="190"/>
      <c r="K39" s="100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5">
        <v>0</v>
      </c>
      <c r="C40" s="4"/>
      <c r="D40" s="122" t="str">
        <f t="shared" si="0"/>
        <v/>
      </c>
      <c r="E40" s="123"/>
      <c r="F40" s="151">
        <v>43615.259699074071</v>
      </c>
      <c r="G40" s="4"/>
      <c r="H40" s="4"/>
      <c r="I40" s="4"/>
      <c r="J40" s="90"/>
      <c r="K40" s="100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5">
        <v>0</v>
      </c>
      <c r="C41" s="4"/>
      <c r="D41" s="122" t="str">
        <f t="shared" si="0"/>
        <v/>
      </c>
      <c r="E41" s="123"/>
      <c r="F41" s="151">
        <v>43600.259398148148</v>
      </c>
      <c r="G41" s="4"/>
      <c r="H41" s="4"/>
      <c r="I41" s="4"/>
      <c r="J41" s="90"/>
      <c r="K41" s="100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5">
        <v>0</v>
      </c>
      <c r="C42" s="4"/>
      <c r="D42" s="122" t="str">
        <f t="shared" si="0"/>
        <v/>
      </c>
      <c r="E42" s="123"/>
      <c r="F42" s="151">
        <v>43615.259699074071</v>
      </c>
      <c r="G42" s="4"/>
      <c r="H42" s="4"/>
      <c r="I42" s="4"/>
      <c r="J42" s="90"/>
      <c r="K42" s="100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152"/>
      <c r="B43" s="118">
        <v>0</v>
      </c>
      <c r="C43" s="94"/>
      <c r="D43" s="186" t="str">
        <f t="shared" si="0"/>
        <v/>
      </c>
      <c r="E43" s="124"/>
      <c r="F43" s="152"/>
      <c r="G43" s="94"/>
      <c r="H43" s="94"/>
      <c r="I43" s="94"/>
      <c r="J43" s="95"/>
      <c r="K43" s="100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21</v>
      </c>
      <c r="D100">
        <f>SUM(E100,H100)</f>
        <v>39133</v>
      </c>
      <c r="E100">
        <f>SUM(B10:B95)</f>
        <v>35000</v>
      </c>
      <c r="F100">
        <f>SUM(C10:C95)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SUM(F10:F95)</f>
        <v>1439039.5649305559</v>
      </c>
      <c r="F101">
        <f>SUM(G10:G95)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16</v>
      </c>
      <c r="D102">
        <f>SUM(E102,H102)</f>
        <v>7731</v>
      </c>
      <c r="E102">
        <f>SUM(J4:J95)</f>
        <v>7720</v>
      </c>
      <c r="F102">
        <f>SUM(K4:K95)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SUM(N4:N95)</f>
        <v>14</v>
      </c>
      <c r="F103">
        <f>SUM(O4:O95)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D5" sqref="D5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61" customFormat="1" ht="30.75" customHeight="1" thickBot="1" x14ac:dyDescent="0.3">
      <c r="A1" s="179" t="s">
        <v>87</v>
      </c>
      <c r="B1" s="176"/>
      <c r="C1" s="154"/>
      <c r="D1" s="154"/>
      <c r="E1" s="155"/>
      <c r="F1" s="179" t="s">
        <v>88</v>
      </c>
      <c r="G1" s="177"/>
      <c r="H1" s="156"/>
      <c r="I1" s="157"/>
      <c r="J1" s="157"/>
      <c r="K1" s="157"/>
      <c r="L1" s="157"/>
      <c r="M1" s="157"/>
      <c r="N1" s="157"/>
      <c r="O1" s="157"/>
      <c r="P1" s="158"/>
      <c r="Q1" s="159"/>
      <c r="R1" s="159"/>
      <c r="S1" s="159"/>
      <c r="T1" s="159"/>
      <c r="U1" s="159"/>
      <c r="V1" s="159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160"/>
      <c r="AX1" s="160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  <c r="BZ1" s="160"/>
      <c r="CA1" s="160"/>
      <c r="CB1" s="160"/>
      <c r="CC1" s="160"/>
      <c r="CD1" s="160"/>
      <c r="CE1" s="160"/>
      <c r="CF1" s="160"/>
      <c r="CG1" s="160"/>
      <c r="CH1" s="160"/>
      <c r="CI1" s="160"/>
      <c r="CJ1" s="160"/>
      <c r="CK1" s="160"/>
      <c r="CL1" s="160"/>
      <c r="CM1" s="160"/>
      <c r="CN1" s="160"/>
      <c r="CO1" s="160"/>
      <c r="CP1" s="160"/>
      <c r="CQ1" s="160"/>
      <c r="CR1" s="160"/>
      <c r="CS1" s="160"/>
      <c r="CT1" s="160"/>
      <c r="CU1" s="160"/>
      <c r="CV1" s="160"/>
      <c r="CW1" s="160"/>
      <c r="CX1" s="160"/>
      <c r="CY1" s="160"/>
      <c r="CZ1" s="160"/>
      <c r="DA1" s="160"/>
      <c r="DB1" s="160"/>
      <c r="DC1" s="160"/>
      <c r="DD1" s="160"/>
      <c r="DE1" s="160"/>
      <c r="DF1" s="160"/>
      <c r="DG1" s="160"/>
      <c r="DH1" s="160"/>
      <c r="DI1" s="160"/>
      <c r="DJ1" s="160"/>
      <c r="DK1" s="160"/>
      <c r="DL1" s="160"/>
      <c r="DM1" s="160"/>
      <c r="DN1" s="160"/>
      <c r="DO1" s="160"/>
      <c r="DP1" s="160"/>
      <c r="DQ1" s="160"/>
      <c r="DR1" s="160"/>
      <c r="DS1" s="160"/>
      <c r="DT1" s="160"/>
      <c r="DU1" s="160"/>
      <c r="DV1" s="160"/>
      <c r="DW1" s="160"/>
      <c r="DX1" s="160"/>
      <c r="DY1" s="160"/>
      <c r="DZ1" s="160"/>
      <c r="EA1" s="160"/>
      <c r="EB1" s="160"/>
      <c r="EC1" s="160"/>
      <c r="ED1" s="160"/>
      <c r="EE1" s="160"/>
      <c r="EF1" s="160"/>
      <c r="EG1" s="160"/>
      <c r="EH1" s="160"/>
      <c r="EI1" s="160"/>
      <c r="EJ1" s="160"/>
      <c r="EK1" s="160"/>
      <c r="EL1" s="160"/>
      <c r="EM1" s="160"/>
      <c r="EN1" s="160"/>
      <c r="EO1" s="160"/>
      <c r="EP1" s="160"/>
      <c r="EQ1" s="160"/>
      <c r="ER1" s="160"/>
      <c r="ES1" s="160"/>
      <c r="ET1" s="160"/>
      <c r="EU1" s="160"/>
      <c r="EV1" s="160"/>
      <c r="EW1" s="160"/>
      <c r="EX1" s="160"/>
      <c r="EY1" s="160"/>
      <c r="EZ1" s="160"/>
      <c r="FA1" s="160"/>
      <c r="FB1" s="160"/>
      <c r="FC1" s="160"/>
      <c r="FD1" s="160"/>
      <c r="FE1" s="160"/>
      <c r="FF1" s="160"/>
      <c r="FG1" s="160"/>
      <c r="FH1" s="160"/>
      <c r="FI1" s="160"/>
      <c r="FJ1" s="160"/>
      <c r="FK1" s="160"/>
      <c r="FL1" s="160"/>
      <c r="FM1" s="160"/>
      <c r="FN1" s="160"/>
      <c r="FO1" s="160"/>
      <c r="FP1" s="160"/>
    </row>
    <row r="2" spans="1:214" s="161" customFormat="1" ht="30.75" customHeight="1" x14ac:dyDescent="0.25">
      <c r="A2" s="178" t="s">
        <v>91</v>
      </c>
      <c r="B2" s="162">
        <f>B12</f>
        <v>20000</v>
      </c>
      <c r="C2" s="156"/>
      <c r="D2" s="156"/>
      <c r="E2" s="163"/>
      <c r="F2" s="178" t="s">
        <v>91</v>
      </c>
      <c r="G2" s="162">
        <f>G12</f>
        <v>20000</v>
      </c>
      <c r="H2" s="156"/>
      <c r="I2" s="157"/>
      <c r="J2" s="157"/>
      <c r="K2" s="157"/>
      <c r="L2" s="157"/>
      <c r="M2" s="157"/>
      <c r="N2" s="157"/>
      <c r="O2" s="157"/>
      <c r="P2" s="158"/>
      <c r="Q2" s="159"/>
      <c r="R2" s="159"/>
      <c r="S2" s="159"/>
      <c r="T2" s="159"/>
      <c r="U2" s="159"/>
      <c r="V2" s="159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</row>
    <row r="3" spans="1:214" s="161" customFormat="1" ht="30.75" customHeight="1" x14ac:dyDescent="0.25">
      <c r="A3" s="164" t="s">
        <v>90</v>
      </c>
      <c r="B3" s="165">
        <f>SUM(B12:B62)</f>
        <v>20000</v>
      </c>
      <c r="C3" s="156"/>
      <c r="D3" s="156"/>
      <c r="E3" s="163"/>
      <c r="F3" s="164" t="s">
        <v>90</v>
      </c>
      <c r="G3" s="165">
        <f>SUM(G12:G62)</f>
        <v>22007</v>
      </c>
      <c r="H3" s="156"/>
      <c r="I3" s="157"/>
      <c r="J3" s="157"/>
      <c r="K3" s="157"/>
      <c r="L3" s="157"/>
      <c r="M3" s="157"/>
      <c r="N3" s="157"/>
      <c r="O3" s="157"/>
      <c r="P3" s="158"/>
      <c r="Q3" s="159"/>
      <c r="R3" s="159"/>
      <c r="S3" s="159"/>
      <c r="T3" s="159"/>
      <c r="U3" s="159"/>
      <c r="V3" s="159"/>
      <c r="W3" s="160"/>
      <c r="X3" s="160"/>
      <c r="Y3" s="160"/>
      <c r="Z3" s="160"/>
      <c r="AA3" s="160"/>
      <c r="AB3" s="160"/>
      <c r="AC3" s="160"/>
      <c r="AD3" s="160"/>
      <c r="AE3" s="160"/>
      <c r="AF3" s="160"/>
      <c r="AG3" s="160"/>
      <c r="AH3" s="160"/>
      <c r="AI3" s="160"/>
      <c r="AJ3" s="160"/>
      <c r="AK3" s="160"/>
      <c r="AL3" s="160"/>
      <c r="AM3" s="160"/>
      <c r="AN3" s="160"/>
      <c r="AO3" s="160"/>
      <c r="AP3" s="160"/>
      <c r="AQ3" s="160"/>
      <c r="AR3" s="160"/>
      <c r="AS3" s="160"/>
      <c r="AT3" s="160"/>
      <c r="AU3" s="160"/>
      <c r="AV3" s="160"/>
      <c r="AW3" s="160"/>
      <c r="AX3" s="160"/>
      <c r="AY3" s="160"/>
      <c r="AZ3" s="160"/>
      <c r="BA3" s="160"/>
      <c r="BB3" s="160"/>
      <c r="BC3" s="160"/>
      <c r="BD3" s="160"/>
      <c r="BE3" s="160"/>
      <c r="BF3" s="160"/>
      <c r="BG3" s="160"/>
      <c r="BH3" s="160"/>
      <c r="BI3" s="160"/>
      <c r="BJ3" s="160"/>
      <c r="BK3" s="160"/>
      <c r="BL3" s="160"/>
      <c r="BM3" s="160"/>
      <c r="BN3" s="160"/>
      <c r="BO3" s="160"/>
      <c r="BP3" s="160"/>
      <c r="BQ3" s="160"/>
      <c r="BR3" s="160"/>
      <c r="BS3" s="160"/>
      <c r="BT3" s="160"/>
      <c r="BU3" s="160"/>
      <c r="BV3" s="160"/>
      <c r="BW3" s="160"/>
      <c r="BX3" s="160"/>
      <c r="BY3" s="160"/>
      <c r="BZ3" s="160"/>
      <c r="CA3" s="160"/>
      <c r="CB3" s="160"/>
      <c r="CC3" s="160"/>
      <c r="CD3" s="160"/>
      <c r="CE3" s="160"/>
      <c r="CF3" s="160"/>
      <c r="CG3" s="160"/>
      <c r="CH3" s="160"/>
      <c r="CI3" s="160"/>
      <c r="CJ3" s="160"/>
      <c r="CK3" s="160"/>
      <c r="CL3" s="160"/>
      <c r="CM3" s="160"/>
      <c r="CN3" s="160"/>
      <c r="CO3" s="160"/>
      <c r="CP3" s="160"/>
      <c r="CQ3" s="160"/>
      <c r="CR3" s="160"/>
      <c r="CS3" s="160"/>
      <c r="CT3" s="160"/>
      <c r="CU3" s="160"/>
      <c r="CV3" s="160"/>
      <c r="CW3" s="160"/>
      <c r="CX3" s="160"/>
      <c r="CY3" s="160"/>
      <c r="CZ3" s="160"/>
      <c r="DA3" s="160"/>
      <c r="DB3" s="160"/>
      <c r="DC3" s="160"/>
      <c r="DD3" s="160"/>
      <c r="DE3" s="160"/>
      <c r="DF3" s="160"/>
      <c r="DG3" s="160"/>
      <c r="DH3" s="160"/>
      <c r="DI3" s="160"/>
      <c r="DJ3" s="160"/>
      <c r="DK3" s="160"/>
      <c r="DL3" s="160"/>
      <c r="DM3" s="160"/>
      <c r="DN3" s="160"/>
      <c r="DO3" s="160"/>
      <c r="DP3" s="160"/>
      <c r="DQ3" s="160"/>
      <c r="DR3" s="160"/>
      <c r="DS3" s="160"/>
      <c r="DT3" s="160"/>
      <c r="DU3" s="160"/>
      <c r="DV3" s="160"/>
      <c r="DW3" s="160"/>
      <c r="DX3" s="160"/>
      <c r="DY3" s="160"/>
      <c r="DZ3" s="160"/>
      <c r="EA3" s="160"/>
      <c r="EB3" s="160"/>
      <c r="EC3" s="160"/>
      <c r="ED3" s="160"/>
      <c r="EE3" s="160"/>
      <c r="EF3" s="160"/>
      <c r="EG3" s="160"/>
      <c r="EH3" s="160"/>
      <c r="EI3" s="160"/>
      <c r="EJ3" s="160"/>
      <c r="EK3" s="160"/>
      <c r="EL3" s="160"/>
      <c r="EM3" s="160"/>
      <c r="EN3" s="160"/>
      <c r="EO3" s="160"/>
      <c r="EP3" s="160"/>
      <c r="EQ3" s="160"/>
      <c r="ER3" s="160"/>
      <c r="ES3" s="160"/>
      <c r="ET3" s="160"/>
      <c r="EU3" s="160"/>
      <c r="EV3" s="160"/>
      <c r="EW3" s="160"/>
      <c r="EX3" s="160"/>
      <c r="EY3" s="160"/>
      <c r="EZ3" s="160"/>
      <c r="FA3" s="160"/>
      <c r="FB3" s="160"/>
      <c r="FC3" s="160"/>
      <c r="FD3" s="160"/>
      <c r="FE3" s="160"/>
      <c r="FF3" s="160"/>
      <c r="FG3" s="160"/>
      <c r="FH3" s="160"/>
      <c r="FI3" s="160"/>
      <c r="FJ3" s="160"/>
      <c r="FK3" s="160"/>
      <c r="FL3" s="160"/>
      <c r="FM3" s="160"/>
      <c r="FN3" s="160"/>
      <c r="FO3" s="160"/>
      <c r="FP3" s="160"/>
    </row>
    <row r="4" spans="1:214" s="161" customFormat="1" ht="30.75" customHeight="1" x14ac:dyDescent="0.25">
      <c r="A4" s="166" t="s">
        <v>96</v>
      </c>
      <c r="B4" s="167">
        <f>SUM(C12:C48)</f>
        <v>9500</v>
      </c>
      <c r="C4" s="156"/>
      <c r="D4" s="156"/>
      <c r="E4" s="163"/>
      <c r="F4" s="166" t="s">
        <v>96</v>
      </c>
      <c r="G4" s="167">
        <f>SUM(H12:H48)</f>
        <v>7000</v>
      </c>
      <c r="H4" s="156"/>
      <c r="I4" s="157"/>
      <c r="J4" s="157"/>
      <c r="K4" s="157"/>
      <c r="L4" s="157"/>
      <c r="M4" s="157"/>
      <c r="N4" s="157"/>
      <c r="O4" s="157"/>
      <c r="P4" s="158"/>
      <c r="Q4" s="159"/>
      <c r="R4" s="159"/>
      <c r="S4" s="159"/>
      <c r="T4" s="159"/>
      <c r="U4" s="159"/>
      <c r="V4" s="159"/>
      <c r="W4" s="159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0"/>
      <c r="CJ4" s="160"/>
      <c r="CK4" s="160"/>
      <c r="CL4" s="160"/>
      <c r="CM4" s="160"/>
      <c r="CN4" s="160"/>
      <c r="CO4" s="160"/>
      <c r="CP4" s="160"/>
      <c r="CQ4" s="160"/>
      <c r="CR4" s="160"/>
      <c r="CS4" s="160"/>
      <c r="CT4" s="160"/>
      <c r="CU4" s="160"/>
      <c r="CV4" s="160"/>
      <c r="CW4" s="160"/>
      <c r="CX4" s="160"/>
      <c r="CY4" s="160"/>
      <c r="CZ4" s="160"/>
      <c r="DA4" s="160"/>
      <c r="DB4" s="160"/>
      <c r="DC4" s="160"/>
      <c r="DD4" s="160"/>
      <c r="DE4" s="160"/>
      <c r="DF4" s="160"/>
      <c r="DG4" s="160"/>
      <c r="DH4" s="160"/>
      <c r="DI4" s="160"/>
      <c r="DJ4" s="160"/>
      <c r="DK4" s="160"/>
      <c r="DL4" s="160"/>
      <c r="DM4" s="160"/>
      <c r="DN4" s="160"/>
      <c r="DO4" s="160"/>
      <c r="DP4" s="160"/>
      <c r="DQ4" s="160"/>
      <c r="DR4" s="160"/>
      <c r="DS4" s="160"/>
      <c r="DT4" s="160"/>
      <c r="DU4" s="160"/>
      <c r="DV4" s="160"/>
      <c r="DW4" s="160"/>
      <c r="DX4" s="160"/>
      <c r="DY4" s="160"/>
      <c r="DZ4" s="160"/>
      <c r="EA4" s="160"/>
      <c r="EB4" s="160"/>
      <c r="EC4" s="160"/>
      <c r="ED4" s="160"/>
      <c r="EE4" s="160"/>
      <c r="EF4" s="160"/>
      <c r="EG4" s="160"/>
      <c r="EH4" s="160"/>
      <c r="EI4" s="160"/>
      <c r="EJ4" s="160"/>
      <c r="EK4" s="160"/>
      <c r="EL4" s="160"/>
      <c r="EM4" s="160"/>
      <c r="EN4" s="160"/>
      <c r="EO4" s="160"/>
      <c r="EP4" s="160"/>
      <c r="EQ4" s="160"/>
      <c r="ER4" s="160"/>
      <c r="ES4" s="160"/>
      <c r="ET4" s="160"/>
      <c r="EU4" s="160"/>
      <c r="EV4" s="160"/>
      <c r="EW4" s="160"/>
      <c r="EX4" s="160"/>
      <c r="EY4" s="160"/>
      <c r="EZ4" s="160"/>
      <c r="FA4" s="160"/>
      <c r="FB4" s="160"/>
      <c r="FC4" s="160"/>
      <c r="FD4" s="160"/>
      <c r="FE4" s="160"/>
      <c r="FF4" s="160"/>
      <c r="FG4" s="160"/>
      <c r="FH4" s="160"/>
      <c r="FI4" s="160"/>
      <c r="FJ4" s="160"/>
      <c r="FK4" s="160"/>
      <c r="FL4" s="160"/>
      <c r="FM4" s="160"/>
      <c r="FN4" s="160"/>
      <c r="FO4" s="160"/>
      <c r="FP4" s="160"/>
    </row>
    <row r="5" spans="1:214" s="161" customFormat="1" ht="30.75" customHeight="1" x14ac:dyDescent="0.25">
      <c r="A5" s="168" t="s">
        <v>93</v>
      </c>
      <c r="B5" s="169">
        <f>SUM(B2:B3) - B4</f>
        <v>30500</v>
      </c>
      <c r="C5" s="156"/>
      <c r="D5" s="156"/>
      <c r="E5" s="163"/>
      <c r="F5" s="168" t="s">
        <v>93</v>
      </c>
      <c r="G5" s="169">
        <f>SUM(G2:G3) - G4</f>
        <v>35007</v>
      </c>
      <c r="H5" s="156"/>
      <c r="I5" s="157"/>
      <c r="J5" s="157"/>
      <c r="K5" s="157"/>
      <c r="L5" s="157"/>
      <c r="M5" s="157"/>
      <c r="N5" s="157"/>
      <c r="O5" s="157"/>
      <c r="P5" s="158"/>
      <c r="Q5" s="159"/>
      <c r="R5" s="159"/>
      <c r="S5" s="159"/>
      <c r="T5" s="159"/>
      <c r="U5" s="159"/>
      <c r="V5" s="159"/>
      <c r="W5" s="159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0"/>
      <c r="BM5" s="160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0"/>
      <c r="BZ5" s="160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0"/>
      <c r="CM5" s="160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0"/>
      <c r="CZ5" s="160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0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60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160"/>
      <c r="EN5" s="160"/>
      <c r="EO5" s="160"/>
      <c r="EP5" s="160"/>
      <c r="EQ5" s="160"/>
      <c r="ER5" s="160"/>
      <c r="ES5" s="160"/>
      <c r="ET5" s="160"/>
      <c r="EU5" s="160"/>
      <c r="EV5" s="160"/>
      <c r="EW5" s="160"/>
      <c r="EX5" s="160"/>
      <c r="EY5" s="160"/>
      <c r="EZ5" s="160"/>
      <c r="FA5" s="160"/>
      <c r="FB5" s="160"/>
      <c r="FC5" s="160"/>
      <c r="FD5" s="160"/>
      <c r="FE5" s="160"/>
      <c r="FF5" s="160"/>
      <c r="FG5" s="160"/>
      <c r="FH5" s="160"/>
      <c r="FI5" s="160"/>
      <c r="FJ5" s="160"/>
      <c r="FK5" s="160"/>
      <c r="FL5" s="160"/>
      <c r="FM5" s="160"/>
      <c r="FN5" s="160"/>
      <c r="FO5" s="160"/>
      <c r="FP5" s="160"/>
    </row>
    <row r="6" spans="1:214" s="161" customFormat="1" ht="30.75" customHeight="1" x14ac:dyDescent="0.25">
      <c r="A6" s="170" t="s">
        <v>15</v>
      </c>
      <c r="B6" s="171">
        <f>SUM(D12:D46)</f>
        <v>5385</v>
      </c>
      <c r="C6" s="156"/>
      <c r="D6" s="156"/>
      <c r="E6" s="163"/>
      <c r="F6" s="170" t="s">
        <v>15</v>
      </c>
      <c r="G6" s="171">
        <f>SUM(I12:I46)</f>
        <v>7710</v>
      </c>
      <c r="H6" s="156"/>
      <c r="I6" s="157"/>
      <c r="J6" s="157"/>
      <c r="K6" s="157"/>
      <c r="L6" s="157"/>
      <c r="M6" s="157"/>
      <c r="N6" s="157"/>
      <c r="O6" s="157"/>
      <c r="P6" s="158"/>
      <c r="Q6" s="159"/>
      <c r="R6" s="159"/>
      <c r="S6" s="159"/>
      <c r="T6" s="159"/>
      <c r="U6" s="159"/>
      <c r="V6" s="159"/>
      <c r="W6" s="159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  <c r="AZ6" s="160"/>
      <c r="BA6" s="160"/>
      <c r="BB6" s="160"/>
      <c r="BC6" s="160"/>
      <c r="BD6" s="160"/>
      <c r="BE6" s="160"/>
      <c r="BF6" s="160"/>
      <c r="BG6" s="160"/>
      <c r="BH6" s="160"/>
      <c r="BI6" s="160"/>
      <c r="BJ6" s="160"/>
      <c r="BK6" s="160"/>
      <c r="BL6" s="160"/>
      <c r="BM6" s="160"/>
      <c r="BN6" s="160"/>
      <c r="BO6" s="160"/>
      <c r="BP6" s="160"/>
      <c r="BQ6" s="160"/>
      <c r="BR6" s="160"/>
      <c r="BS6" s="160"/>
      <c r="BT6" s="160"/>
      <c r="BU6" s="160"/>
      <c r="BV6" s="160"/>
      <c r="BW6" s="160"/>
      <c r="BX6" s="160"/>
      <c r="BY6" s="160"/>
      <c r="BZ6" s="160"/>
      <c r="CA6" s="160"/>
      <c r="CB6" s="160"/>
      <c r="CC6" s="160"/>
      <c r="CD6" s="160"/>
      <c r="CE6" s="160"/>
      <c r="CF6" s="160"/>
      <c r="CG6" s="160"/>
      <c r="CH6" s="160"/>
      <c r="CI6" s="160"/>
      <c r="CJ6" s="160"/>
      <c r="CK6" s="160"/>
      <c r="CL6" s="160"/>
      <c r="CM6" s="160"/>
      <c r="CN6" s="160"/>
      <c r="CO6" s="160"/>
      <c r="CP6" s="160"/>
      <c r="CQ6" s="160"/>
      <c r="CR6" s="160"/>
      <c r="CS6" s="160"/>
      <c r="CT6" s="160"/>
      <c r="CU6" s="160"/>
      <c r="CV6" s="160"/>
      <c r="CW6" s="160"/>
      <c r="CX6" s="160"/>
      <c r="CY6" s="160"/>
      <c r="CZ6" s="160"/>
      <c r="DA6" s="160"/>
      <c r="DB6" s="160"/>
      <c r="DC6" s="160"/>
      <c r="DD6" s="160"/>
      <c r="DE6" s="160"/>
      <c r="DF6" s="160"/>
      <c r="DG6" s="160"/>
      <c r="DH6" s="160"/>
      <c r="DI6" s="160"/>
      <c r="DJ6" s="160"/>
      <c r="DK6" s="160"/>
      <c r="DL6" s="160"/>
      <c r="DM6" s="160"/>
      <c r="DN6" s="160"/>
      <c r="DO6" s="160"/>
      <c r="DP6" s="160"/>
      <c r="DQ6" s="160"/>
      <c r="DR6" s="160"/>
      <c r="DS6" s="160"/>
      <c r="DT6" s="160"/>
      <c r="DU6" s="160"/>
      <c r="DV6" s="160"/>
      <c r="DW6" s="160"/>
      <c r="DX6" s="160"/>
      <c r="DY6" s="160"/>
      <c r="DZ6" s="160"/>
      <c r="EA6" s="160"/>
      <c r="EB6" s="160"/>
      <c r="EC6" s="160"/>
      <c r="ED6" s="160"/>
      <c r="EE6" s="160"/>
      <c r="EF6" s="160"/>
      <c r="EG6" s="160"/>
      <c r="EH6" s="160"/>
      <c r="EI6" s="160"/>
      <c r="EJ6" s="160"/>
      <c r="EK6" s="160"/>
      <c r="EL6" s="160"/>
      <c r="EM6" s="160"/>
      <c r="EN6" s="160"/>
      <c r="EO6" s="160"/>
      <c r="EP6" s="160"/>
      <c r="EQ6" s="160"/>
      <c r="ER6" s="160"/>
      <c r="ES6" s="160"/>
      <c r="ET6" s="160"/>
      <c r="EU6" s="160"/>
      <c r="EV6" s="160"/>
      <c r="EW6" s="160"/>
      <c r="EX6" s="160"/>
      <c r="EY6" s="160"/>
      <c r="EZ6" s="160"/>
      <c r="FA6" s="160"/>
      <c r="FB6" s="160"/>
      <c r="FC6" s="160"/>
      <c r="FD6" s="160"/>
      <c r="FE6" s="160"/>
      <c r="FF6" s="160"/>
      <c r="FG6" s="160"/>
      <c r="FH6" s="160"/>
      <c r="FI6" s="160"/>
      <c r="FJ6" s="160"/>
      <c r="FK6" s="160"/>
      <c r="FL6" s="160"/>
      <c r="FM6" s="160"/>
      <c r="FN6" s="160"/>
      <c r="FO6" s="160"/>
      <c r="FP6" s="160"/>
    </row>
    <row r="7" spans="1:214" s="161" customFormat="1" ht="30.75" customHeight="1" x14ac:dyDescent="0.25">
      <c r="A7" s="172" t="s">
        <v>86</v>
      </c>
      <c r="B7" s="173">
        <f>SUM(E12:E46)</f>
        <v>1170</v>
      </c>
      <c r="C7" s="156"/>
      <c r="D7" s="156"/>
      <c r="E7" s="163"/>
      <c r="F7" s="172" t="s">
        <v>86</v>
      </c>
      <c r="G7" s="173">
        <f>SUM(J12:J46)</f>
        <v>7710</v>
      </c>
      <c r="H7" s="156"/>
      <c r="I7" s="157"/>
      <c r="J7" s="157"/>
      <c r="K7" s="157"/>
      <c r="L7" s="157"/>
      <c r="M7" s="157"/>
      <c r="N7" s="157"/>
      <c r="O7" s="157"/>
      <c r="P7" s="158"/>
      <c r="Q7" s="159"/>
      <c r="R7" s="159"/>
      <c r="S7" s="159"/>
      <c r="T7" s="159"/>
      <c r="U7" s="159"/>
      <c r="V7" s="159"/>
      <c r="W7" s="159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  <c r="AZ7" s="160"/>
      <c r="BA7" s="160"/>
      <c r="BB7" s="160"/>
      <c r="BC7" s="160"/>
      <c r="BD7" s="160"/>
      <c r="BE7" s="160"/>
      <c r="BF7" s="160"/>
      <c r="BG7" s="160"/>
      <c r="BH7" s="160"/>
      <c r="BI7" s="160"/>
      <c r="BJ7" s="160"/>
      <c r="BK7" s="160"/>
      <c r="BL7" s="160"/>
      <c r="BM7" s="160"/>
      <c r="BN7" s="160"/>
      <c r="BO7" s="160"/>
      <c r="BP7" s="160"/>
      <c r="BQ7" s="160"/>
      <c r="BR7" s="160"/>
      <c r="BS7" s="160"/>
      <c r="BT7" s="160"/>
      <c r="BU7" s="160"/>
      <c r="BV7" s="160"/>
      <c r="BW7" s="160"/>
      <c r="BX7" s="160"/>
      <c r="BY7" s="160"/>
      <c r="BZ7" s="160"/>
      <c r="CA7" s="160"/>
      <c r="CB7" s="160"/>
      <c r="CC7" s="160"/>
      <c r="CD7" s="160"/>
      <c r="CE7" s="160"/>
      <c r="CF7" s="160"/>
      <c r="CG7" s="160"/>
      <c r="CH7" s="160"/>
      <c r="CI7" s="160"/>
      <c r="CJ7" s="160"/>
      <c r="CK7" s="160"/>
      <c r="CL7" s="160"/>
      <c r="CM7" s="160"/>
      <c r="CN7" s="160"/>
      <c r="CO7" s="160"/>
      <c r="CP7" s="160"/>
      <c r="CQ7" s="160"/>
      <c r="CR7" s="160"/>
      <c r="CS7" s="160"/>
      <c r="CT7" s="160"/>
      <c r="CU7" s="160"/>
      <c r="CV7" s="160"/>
      <c r="CW7" s="160"/>
      <c r="CX7" s="160"/>
      <c r="CY7" s="160"/>
      <c r="CZ7" s="160"/>
      <c r="DA7" s="160"/>
      <c r="DB7" s="160"/>
      <c r="DC7" s="160"/>
      <c r="DD7" s="160"/>
      <c r="DE7" s="160"/>
      <c r="DF7" s="160"/>
      <c r="DG7" s="160"/>
      <c r="DH7" s="160"/>
      <c r="DI7" s="160"/>
      <c r="DJ7" s="160"/>
      <c r="DK7" s="160"/>
      <c r="DL7" s="160"/>
      <c r="DM7" s="160"/>
      <c r="DN7" s="160"/>
      <c r="DO7" s="160"/>
      <c r="DP7" s="160"/>
      <c r="DQ7" s="160"/>
      <c r="DR7" s="160"/>
      <c r="DS7" s="160"/>
      <c r="DT7" s="160"/>
      <c r="DU7" s="160"/>
      <c r="DV7" s="160"/>
      <c r="DW7" s="160"/>
      <c r="DX7" s="160"/>
      <c r="DY7" s="160"/>
      <c r="DZ7" s="160"/>
      <c r="EA7" s="160"/>
      <c r="EB7" s="160"/>
      <c r="EC7" s="160"/>
      <c r="ED7" s="160"/>
      <c r="EE7" s="160"/>
      <c r="EF7" s="160"/>
      <c r="EG7" s="160"/>
      <c r="EH7" s="160"/>
      <c r="EI7" s="160"/>
      <c r="EJ7" s="160"/>
      <c r="EK7" s="160"/>
      <c r="EL7" s="160"/>
      <c r="EM7" s="160"/>
      <c r="EN7" s="160"/>
      <c r="EO7" s="160"/>
      <c r="EP7" s="160"/>
      <c r="EQ7" s="160"/>
      <c r="ER7" s="160"/>
      <c r="ES7" s="160"/>
      <c r="ET7" s="160"/>
      <c r="EU7" s="160"/>
      <c r="EV7" s="160"/>
      <c r="EW7" s="160"/>
      <c r="EX7" s="160"/>
      <c r="EY7" s="160"/>
      <c r="EZ7" s="160"/>
      <c r="FA7" s="160"/>
      <c r="FB7" s="160"/>
      <c r="FC7" s="160"/>
      <c r="FD7" s="160"/>
      <c r="FE7" s="160"/>
      <c r="FF7" s="160"/>
      <c r="FG7" s="160"/>
      <c r="FH7" s="160"/>
      <c r="FI7" s="160"/>
      <c r="FJ7" s="160"/>
      <c r="FK7" s="160"/>
      <c r="FL7" s="160"/>
      <c r="FM7" s="160"/>
      <c r="FN7" s="160"/>
      <c r="FO7" s="160"/>
      <c r="FP7" s="160"/>
    </row>
    <row r="8" spans="1:214" s="161" customFormat="1" ht="30.75" customHeight="1" x14ac:dyDescent="0.25">
      <c r="A8" s="168" t="s">
        <v>16</v>
      </c>
      <c r="B8" s="169">
        <f>B6-B7</f>
        <v>4215</v>
      </c>
      <c r="C8" s="156"/>
      <c r="D8" s="156"/>
      <c r="E8" s="163"/>
      <c r="F8" s="168" t="s">
        <v>16</v>
      </c>
      <c r="G8" s="169">
        <f>G6-G7</f>
        <v>0</v>
      </c>
      <c r="H8" s="156"/>
      <c r="I8" s="157"/>
      <c r="J8" s="157"/>
      <c r="K8" s="157"/>
      <c r="L8" s="157"/>
      <c r="M8" s="157"/>
      <c r="N8" s="157"/>
      <c r="O8" s="157"/>
      <c r="P8" s="158"/>
      <c r="Q8" s="159"/>
      <c r="R8" s="159"/>
      <c r="S8" s="159"/>
      <c r="T8" s="159"/>
      <c r="U8" s="159"/>
      <c r="V8" s="159"/>
      <c r="W8" s="159"/>
      <c r="X8" s="160"/>
      <c r="Y8" s="160"/>
      <c r="Z8" s="160"/>
      <c r="AA8" s="160"/>
      <c r="AB8" s="160"/>
      <c r="AC8" s="160"/>
      <c r="AD8" s="160"/>
      <c r="AE8" s="160"/>
      <c r="AF8" s="160"/>
      <c r="AG8" s="160"/>
      <c r="AH8" s="160"/>
      <c r="AI8" s="160"/>
      <c r="AJ8" s="160"/>
      <c r="AK8" s="160"/>
      <c r="AL8" s="160"/>
      <c r="AM8" s="160"/>
      <c r="AN8" s="160"/>
      <c r="AO8" s="160"/>
      <c r="AP8" s="160"/>
      <c r="AQ8" s="160"/>
      <c r="AR8" s="160"/>
      <c r="AS8" s="160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0"/>
      <c r="BE8" s="160"/>
      <c r="BF8" s="160"/>
      <c r="BG8" s="160"/>
      <c r="BH8" s="160"/>
      <c r="BI8" s="160"/>
      <c r="BJ8" s="160"/>
      <c r="BK8" s="160"/>
      <c r="BL8" s="160"/>
      <c r="BM8" s="160"/>
      <c r="BN8" s="160"/>
      <c r="BO8" s="160"/>
      <c r="BP8" s="160"/>
      <c r="BQ8" s="160"/>
      <c r="BR8" s="160"/>
      <c r="BS8" s="160"/>
      <c r="BT8" s="160"/>
      <c r="BU8" s="160"/>
      <c r="BV8" s="160"/>
      <c r="BW8" s="160"/>
      <c r="BX8" s="160"/>
      <c r="BY8" s="160"/>
      <c r="BZ8" s="160"/>
      <c r="CA8" s="160"/>
      <c r="CB8" s="160"/>
      <c r="CC8" s="160"/>
      <c r="CD8" s="160"/>
      <c r="CE8" s="160"/>
      <c r="CF8" s="160"/>
      <c r="CG8" s="160"/>
      <c r="CH8" s="160"/>
      <c r="CI8" s="160"/>
      <c r="CJ8" s="160"/>
      <c r="CK8" s="160"/>
      <c r="CL8" s="160"/>
      <c r="CM8" s="160"/>
      <c r="CN8" s="160"/>
      <c r="CO8" s="160"/>
      <c r="CP8" s="160"/>
      <c r="CQ8" s="160"/>
      <c r="CR8" s="160"/>
      <c r="CS8" s="160"/>
      <c r="CT8" s="160"/>
      <c r="CU8" s="160"/>
      <c r="CV8" s="160"/>
      <c r="CW8" s="160"/>
      <c r="CX8" s="160"/>
      <c r="CY8" s="160"/>
      <c r="CZ8" s="160"/>
      <c r="DA8" s="160"/>
      <c r="DB8" s="160"/>
      <c r="DC8" s="160"/>
      <c r="DD8" s="160"/>
      <c r="DE8" s="160"/>
      <c r="DF8" s="160"/>
      <c r="DG8" s="160"/>
      <c r="DH8" s="160"/>
      <c r="DI8" s="160"/>
      <c r="DJ8" s="160"/>
      <c r="DK8" s="160"/>
      <c r="DL8" s="160"/>
      <c r="DM8" s="160"/>
      <c r="DN8" s="160"/>
      <c r="DO8" s="160"/>
      <c r="DP8" s="160"/>
      <c r="DQ8" s="160"/>
      <c r="DR8" s="160"/>
      <c r="DS8" s="160"/>
      <c r="DT8" s="160"/>
      <c r="DU8" s="160"/>
      <c r="DV8" s="160"/>
      <c r="DW8" s="160"/>
      <c r="DX8" s="160"/>
      <c r="DY8" s="160"/>
      <c r="DZ8" s="160"/>
      <c r="EA8" s="160"/>
      <c r="EB8" s="160"/>
      <c r="EC8" s="160"/>
      <c r="ED8" s="160"/>
      <c r="EE8" s="160"/>
      <c r="EF8" s="160"/>
      <c r="EG8" s="160"/>
      <c r="EH8" s="160"/>
      <c r="EI8" s="160"/>
      <c r="EJ8" s="160"/>
      <c r="EK8" s="160"/>
      <c r="EL8" s="160"/>
      <c r="EM8" s="160"/>
      <c r="EN8" s="160"/>
      <c r="EO8" s="160"/>
      <c r="EP8" s="160"/>
      <c r="EQ8" s="160"/>
      <c r="ER8" s="160"/>
      <c r="ES8" s="160"/>
      <c r="ET8" s="160"/>
      <c r="EU8" s="160"/>
      <c r="EV8" s="160"/>
      <c r="EW8" s="160"/>
      <c r="EX8" s="160"/>
      <c r="EY8" s="160"/>
      <c r="EZ8" s="160"/>
      <c r="FA8" s="160"/>
      <c r="FB8" s="160"/>
      <c r="FC8" s="160"/>
      <c r="FD8" s="160"/>
      <c r="FE8" s="160"/>
      <c r="FF8" s="160"/>
      <c r="FG8" s="160"/>
      <c r="FH8" s="160"/>
      <c r="FI8" s="160"/>
      <c r="FJ8" s="160"/>
      <c r="FK8" s="160"/>
      <c r="FL8" s="160"/>
      <c r="FM8" s="160"/>
      <c r="FN8" s="160"/>
      <c r="FO8" s="160"/>
      <c r="FP8" s="160"/>
    </row>
    <row r="9" spans="1:214" s="161" customFormat="1" ht="30.75" customHeight="1" x14ac:dyDescent="0.25">
      <c r="A9" s="174" t="s">
        <v>85</v>
      </c>
      <c r="B9" s="175">
        <f>B5 + B8</f>
        <v>34715</v>
      </c>
      <c r="C9" s="157"/>
      <c r="D9" s="157"/>
      <c r="E9" s="163"/>
      <c r="F9" s="174" t="s">
        <v>85</v>
      </c>
      <c r="G9" s="175">
        <f>G5 + G8</f>
        <v>35007</v>
      </c>
      <c r="H9" s="157"/>
      <c r="I9" s="157"/>
      <c r="J9" s="157"/>
      <c r="K9" s="157"/>
      <c r="L9" s="157"/>
      <c r="M9" s="157"/>
      <c r="N9" s="157"/>
      <c r="O9" s="157"/>
      <c r="P9" s="158"/>
      <c r="Q9" s="159"/>
      <c r="R9" s="159"/>
      <c r="S9" s="159"/>
      <c r="T9" s="159"/>
      <c r="U9" s="159"/>
      <c r="V9" s="159"/>
      <c r="W9" s="159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60"/>
      <c r="BC9" s="160"/>
      <c r="BD9" s="160"/>
      <c r="BE9" s="160"/>
      <c r="BF9" s="160"/>
      <c r="BG9" s="160"/>
      <c r="BH9" s="160"/>
      <c r="BI9" s="160"/>
      <c r="BJ9" s="160"/>
      <c r="BK9" s="160"/>
      <c r="BL9" s="160"/>
      <c r="BM9" s="160"/>
      <c r="BN9" s="160"/>
      <c r="BO9" s="160"/>
      <c r="BP9" s="160"/>
      <c r="BQ9" s="160"/>
      <c r="BR9" s="160"/>
      <c r="BS9" s="160"/>
      <c r="BT9" s="160"/>
      <c r="BU9" s="160"/>
      <c r="BV9" s="160"/>
      <c r="BW9" s="160"/>
      <c r="BX9" s="160"/>
      <c r="BY9" s="160"/>
      <c r="BZ9" s="160"/>
      <c r="CA9" s="160"/>
      <c r="CB9" s="160"/>
      <c r="CC9" s="160"/>
      <c r="CD9" s="160"/>
      <c r="CE9" s="160"/>
      <c r="CF9" s="160"/>
      <c r="CG9" s="160"/>
      <c r="CH9" s="160"/>
      <c r="CI9" s="160"/>
      <c r="CJ9" s="160"/>
      <c r="CK9" s="160"/>
      <c r="CL9" s="160"/>
      <c r="CM9" s="160"/>
      <c r="CN9" s="160"/>
      <c r="CO9" s="160"/>
      <c r="CP9" s="160"/>
      <c r="CQ9" s="160"/>
      <c r="CR9" s="160"/>
      <c r="CS9" s="160"/>
      <c r="CT9" s="160"/>
      <c r="CU9" s="160"/>
      <c r="CV9" s="160"/>
      <c r="CW9" s="160"/>
      <c r="CX9" s="160"/>
      <c r="CY9" s="160"/>
      <c r="CZ9" s="160"/>
      <c r="DA9" s="160"/>
      <c r="DB9" s="160"/>
      <c r="DC9" s="160"/>
      <c r="DD9" s="160"/>
      <c r="DE9" s="160"/>
      <c r="DF9" s="160"/>
      <c r="DG9" s="160"/>
      <c r="DH9" s="160"/>
      <c r="DI9" s="160"/>
      <c r="DJ9" s="160"/>
      <c r="DK9" s="160"/>
      <c r="DL9" s="160"/>
      <c r="DM9" s="160"/>
      <c r="DN9" s="160"/>
      <c r="DO9" s="160"/>
      <c r="DP9" s="160"/>
      <c r="DQ9" s="160"/>
      <c r="DR9" s="160"/>
      <c r="DS9" s="160"/>
      <c r="DT9" s="160"/>
      <c r="DU9" s="160"/>
      <c r="DV9" s="160"/>
      <c r="DW9" s="160"/>
      <c r="DX9" s="160"/>
      <c r="DY9" s="160"/>
      <c r="DZ9" s="160"/>
      <c r="EA9" s="160"/>
      <c r="EB9" s="160"/>
      <c r="EC9" s="160"/>
      <c r="ED9" s="160"/>
      <c r="EE9" s="160"/>
      <c r="EF9" s="160"/>
      <c r="EG9" s="160"/>
      <c r="EH9" s="160"/>
      <c r="EI9" s="160"/>
      <c r="EJ9" s="160"/>
      <c r="EK9" s="160"/>
      <c r="EL9" s="160"/>
      <c r="EM9" s="160"/>
      <c r="EN9" s="160"/>
      <c r="EO9" s="160"/>
      <c r="EP9" s="160"/>
      <c r="EQ9" s="160"/>
      <c r="ER9" s="160"/>
      <c r="ES9" s="160"/>
      <c r="ET9" s="160"/>
      <c r="EU9" s="160"/>
      <c r="EV9" s="160"/>
      <c r="EW9" s="160"/>
      <c r="EX9" s="160"/>
      <c r="EY9" s="160"/>
      <c r="EZ9" s="160"/>
      <c r="FA9" s="160"/>
      <c r="FB9" s="160"/>
      <c r="FC9" s="160"/>
      <c r="FD9" s="160"/>
      <c r="FE9" s="160"/>
      <c r="FF9" s="160"/>
      <c r="FG9" s="160"/>
      <c r="FH9" s="160"/>
      <c r="FI9" s="160"/>
      <c r="FJ9" s="160"/>
      <c r="FK9" s="160"/>
      <c r="FL9" s="160"/>
      <c r="FM9" s="160"/>
      <c r="FN9" s="160"/>
      <c r="FO9" s="160"/>
      <c r="FP9" s="160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43585.259375000001</v>
      </c>
      <c r="B12" s="4">
        <v>20000</v>
      </c>
      <c r="C12" s="5"/>
      <c r="D12" s="122"/>
      <c r="E12" s="123"/>
      <c r="F12" s="151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51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51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51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51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43600.259398148148</v>
      </c>
      <c r="B17" s="4">
        <v>0</v>
      </c>
      <c r="C17" s="4">
        <v>1000</v>
      </c>
      <c r="D17" s="122">
        <v>540</v>
      </c>
      <c r="E17" s="123"/>
      <c r="F17" s="151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51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51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51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51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51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43600.259398148148</v>
      </c>
      <c r="B23" s="4">
        <v>0</v>
      </c>
      <c r="C23" s="4"/>
      <c r="D23" s="122">
        <f t="shared" si="0"/>
        <v>375</v>
      </c>
      <c r="E23" s="123"/>
      <c r="F23" s="151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/>
      <c r="B24" s="4">
        <v>0</v>
      </c>
      <c r="C24" s="4"/>
      <c r="D24" s="122" t="str">
        <f t="shared" si="0"/>
        <v/>
      </c>
      <c r="E24" s="123"/>
      <c r="F24" s="151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/>
      <c r="B25" s="4">
        <v>0</v>
      </c>
      <c r="C25" s="4"/>
      <c r="D25" s="122" t="str">
        <f t="shared" si="0"/>
        <v/>
      </c>
      <c r="E25" s="123"/>
      <c r="F25" s="151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/>
      <c r="B26" s="4">
        <v>0</v>
      </c>
      <c r="C26" s="4"/>
      <c r="D26" s="122" t="str">
        <f t="shared" si="0"/>
        <v/>
      </c>
      <c r="E26" s="123"/>
      <c r="F26" s="151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51"/>
      <c r="B27" s="4">
        <v>0</v>
      </c>
      <c r="C27" s="4"/>
      <c r="D27" s="122" t="str">
        <f t="shared" si="0"/>
        <v/>
      </c>
      <c r="E27" s="123"/>
      <c r="F27" s="151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51"/>
      <c r="B28" s="5">
        <v>0</v>
      </c>
      <c r="C28" s="4"/>
      <c r="D28" s="122" t="str">
        <f t="shared" si="0"/>
        <v/>
      </c>
      <c r="E28" s="123"/>
      <c r="F28" s="151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5">
        <v>0</v>
      </c>
      <c r="C29" s="4"/>
      <c r="D29" s="122" t="str">
        <f t="shared" si="0"/>
        <v/>
      </c>
      <c r="E29" s="123"/>
      <c r="F29" s="151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5">
        <v>0</v>
      </c>
      <c r="C30" s="4"/>
      <c r="D30" s="122" t="str">
        <f t="shared" si="0"/>
        <v/>
      </c>
      <c r="E30" s="123"/>
      <c r="F30" s="151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5">
        <v>0</v>
      </c>
      <c r="C31" s="4"/>
      <c r="D31" s="122" t="str">
        <f t="shared" si="0"/>
        <v/>
      </c>
      <c r="E31" s="123"/>
      <c r="F31" s="151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5">
        <v>0</v>
      </c>
      <c r="C32" s="4"/>
      <c r="D32" s="122" t="str">
        <f t="shared" si="0"/>
        <v/>
      </c>
      <c r="E32" s="123"/>
      <c r="F32" s="151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5">
        <v>0</v>
      </c>
      <c r="C33" s="4"/>
      <c r="D33" s="122" t="str">
        <f t="shared" si="0"/>
        <v/>
      </c>
      <c r="E33" s="123"/>
      <c r="F33" s="151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5">
        <v>0</v>
      </c>
      <c r="C34" s="4"/>
      <c r="D34" s="122" t="str">
        <f t="shared" si="0"/>
        <v/>
      </c>
      <c r="E34" s="123"/>
      <c r="F34" s="151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5">
        <v>0</v>
      </c>
      <c r="C35" s="4"/>
      <c r="D35" s="122" t="str">
        <f t="shared" si="0"/>
        <v/>
      </c>
      <c r="E35" s="123"/>
      <c r="F35" s="151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5">
        <v>0</v>
      </c>
      <c r="C36" s="4"/>
      <c r="D36" s="122" t="str">
        <f t="shared" si="0"/>
        <v/>
      </c>
      <c r="E36" s="123"/>
      <c r="F36" s="151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5">
        <v>0</v>
      </c>
      <c r="C37" s="4"/>
      <c r="D37" s="122" t="str">
        <f t="shared" si="0"/>
        <v/>
      </c>
      <c r="E37" s="123"/>
      <c r="F37" s="151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5">
        <v>0</v>
      </c>
      <c r="C38" s="4"/>
      <c r="D38" s="122" t="str">
        <f t="shared" si="0"/>
        <v/>
      </c>
      <c r="E38" s="123"/>
      <c r="F38" s="151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5">
        <v>0</v>
      </c>
      <c r="C39" s="4"/>
      <c r="D39" s="122" t="str">
        <f t="shared" si="0"/>
        <v/>
      </c>
      <c r="E39" s="123"/>
      <c r="F39" s="151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5">
        <v>0</v>
      </c>
      <c r="C40" s="4"/>
      <c r="D40" s="122" t="str">
        <f t="shared" si="0"/>
        <v/>
      </c>
      <c r="E40" s="123"/>
      <c r="F40" s="151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5">
        <v>0</v>
      </c>
      <c r="C41" s="4"/>
      <c r="D41" s="122" t="str">
        <f t="shared" si="0"/>
        <v/>
      </c>
      <c r="E41" s="123"/>
      <c r="F41" s="151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5">
        <v>0</v>
      </c>
      <c r="C42" s="4"/>
      <c r="D42" s="122" t="str">
        <f t="shared" si="0"/>
        <v/>
      </c>
      <c r="E42" s="123"/>
      <c r="F42" s="151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51"/>
      <c r="B43" s="5">
        <v>0</v>
      </c>
      <c r="C43" s="4"/>
      <c r="D43" s="122" t="str">
        <f t="shared" si="0"/>
        <v/>
      </c>
      <c r="E43" s="123"/>
      <c r="F43" s="151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51"/>
      <c r="B44" s="5">
        <v>0</v>
      </c>
      <c r="C44" s="4"/>
      <c r="D44" s="122" t="str">
        <f t="shared" si="0"/>
        <v/>
      </c>
      <c r="E44" s="123"/>
      <c r="F44" s="151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52"/>
      <c r="B45" s="118">
        <v>0</v>
      </c>
      <c r="C45" s="94"/>
      <c r="D45" s="122" t="str">
        <f t="shared" si="0"/>
        <v/>
      </c>
      <c r="E45" s="124"/>
      <c r="F45" s="152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workbookViewId="0">
      <selection activeCell="E23" sqref="E23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35" t="s">
        <v>79</v>
      </c>
      <c r="G2" s="235"/>
      <c r="H2" s="235"/>
      <c r="I2" s="235"/>
      <c r="J2" s="235"/>
      <c r="K2" s="14"/>
      <c r="L2" s="14"/>
      <c r="M2" s="30"/>
      <c r="O2" s="30"/>
      <c r="P2" s="32"/>
      <c r="Q2" s="32"/>
      <c r="R2" s="202" t="s">
        <v>80</v>
      </c>
      <c r="S2" s="202"/>
      <c r="T2" s="202"/>
      <c r="U2" s="202"/>
      <c r="V2" s="202"/>
      <c r="W2" s="202"/>
      <c r="X2" s="32"/>
      <c r="Y2" s="32"/>
      <c r="Z2" s="30"/>
      <c r="AB2" s="73"/>
      <c r="AC2" s="32"/>
      <c r="AD2" s="32"/>
      <c r="AE2" s="202" t="s">
        <v>70</v>
      </c>
      <c r="AF2" s="202"/>
      <c r="AG2" s="202"/>
      <c r="AH2" s="202"/>
      <c r="AI2" s="202"/>
      <c r="AJ2" s="202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35"/>
      <c r="G3" s="235"/>
      <c r="H3" s="235"/>
      <c r="I3" s="235"/>
      <c r="J3" s="235"/>
      <c r="K3" s="14"/>
      <c r="L3" s="14"/>
      <c r="M3" s="30"/>
      <c r="O3" s="30"/>
      <c r="P3" s="32"/>
      <c r="Q3" s="32"/>
      <c r="R3" s="216"/>
      <c r="S3" s="216"/>
      <c r="T3" s="216"/>
      <c r="U3" s="216"/>
      <c r="V3" s="216"/>
      <c r="W3" s="216"/>
      <c r="X3" s="32"/>
      <c r="Y3" s="32"/>
      <c r="Z3" s="30"/>
      <c r="AB3" s="73"/>
      <c r="AC3" s="32"/>
      <c r="AD3" s="32"/>
      <c r="AE3" s="203"/>
      <c r="AF3" s="203"/>
      <c r="AG3" s="203"/>
      <c r="AH3" s="203"/>
      <c r="AI3" s="203"/>
      <c r="AJ3" s="203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36">
        <f>U4+AH6+AH10</f>
        <v>2223000</v>
      </c>
      <c r="G4" s="237"/>
      <c r="H4" s="237"/>
      <c r="I4" s="237"/>
      <c r="J4" s="238"/>
      <c r="L4" s="14"/>
      <c r="M4" s="30"/>
      <c r="O4" s="30"/>
      <c r="P4" s="32"/>
      <c r="Q4" s="204" t="s">
        <v>59</v>
      </c>
      <c r="R4" s="205"/>
      <c r="S4" s="205"/>
      <c r="T4" s="206"/>
      <c r="U4" s="210">
        <f>U7 +U10</f>
        <v>1143000</v>
      </c>
      <c r="V4" s="211"/>
      <c r="W4" s="211"/>
      <c r="X4" s="212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39"/>
      <c r="G5" s="240"/>
      <c r="H5" s="240"/>
      <c r="I5" s="240"/>
      <c r="J5" s="241"/>
      <c r="K5" s="14"/>
      <c r="L5" s="14"/>
      <c r="M5" s="30"/>
      <c r="O5" s="30"/>
      <c r="P5" s="32"/>
      <c r="Q5" s="207"/>
      <c r="R5" s="208"/>
      <c r="S5" s="208"/>
      <c r="T5" s="209"/>
      <c r="U5" s="213"/>
      <c r="V5" s="214"/>
      <c r="W5" s="214"/>
      <c r="X5" s="215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49"/>
      <c r="W6" s="248"/>
      <c r="X6" s="32"/>
      <c r="Y6" s="32"/>
      <c r="Z6" s="30"/>
      <c r="AB6" s="73"/>
      <c r="AC6" s="32"/>
      <c r="AD6" s="204" t="s">
        <v>69</v>
      </c>
      <c r="AE6" s="205"/>
      <c r="AF6" s="205"/>
      <c r="AG6" s="206"/>
      <c r="AH6" s="210">
        <v>980000</v>
      </c>
      <c r="AI6" s="211"/>
      <c r="AJ6" s="211"/>
      <c r="AK6" s="212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42" t="s">
        <v>54</v>
      </c>
      <c r="R7" s="243"/>
      <c r="S7" s="243"/>
      <c r="T7" s="244"/>
      <c r="U7" s="210">
        <v>243000</v>
      </c>
      <c r="V7" s="211"/>
      <c r="W7" s="211"/>
      <c r="X7" s="212"/>
      <c r="Y7" s="32"/>
      <c r="Z7" s="30"/>
      <c r="AB7" s="73"/>
      <c r="AC7" s="32"/>
      <c r="AD7" s="207"/>
      <c r="AE7" s="208"/>
      <c r="AF7" s="208"/>
      <c r="AG7" s="209"/>
      <c r="AH7" s="213"/>
      <c r="AI7" s="214"/>
      <c r="AJ7" s="214"/>
      <c r="AK7" s="215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45"/>
      <c r="R8" s="246"/>
      <c r="S8" s="246"/>
      <c r="T8" s="247"/>
      <c r="U8" s="213"/>
      <c r="V8" s="214"/>
      <c r="W8" s="214"/>
      <c r="X8" s="215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48"/>
      <c r="W9" s="248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42" t="s">
        <v>55</v>
      </c>
      <c r="R10" s="243"/>
      <c r="S10" s="243"/>
      <c r="T10" s="244"/>
      <c r="U10" s="210">
        <f>SUM(U13,U15,U17)</f>
        <v>900000</v>
      </c>
      <c r="V10" s="211"/>
      <c r="W10" s="211"/>
      <c r="X10" s="212"/>
      <c r="Y10" s="32"/>
      <c r="Z10" s="30"/>
      <c r="AB10" s="73"/>
      <c r="AC10" s="32"/>
      <c r="AD10" s="223" t="s">
        <v>77</v>
      </c>
      <c r="AE10" s="224"/>
      <c r="AF10" s="224"/>
      <c r="AG10" s="225"/>
      <c r="AH10" s="210">
        <v>100000</v>
      </c>
      <c r="AI10" s="211"/>
      <c r="AJ10" s="211"/>
      <c r="AK10" s="212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45"/>
      <c r="R11" s="246"/>
      <c r="S11" s="246"/>
      <c r="T11" s="247"/>
      <c r="U11" s="213"/>
      <c r="V11" s="214"/>
      <c r="W11" s="214"/>
      <c r="X11" s="215"/>
      <c r="Y11" s="32"/>
      <c r="Z11" s="30"/>
      <c r="AB11" s="73"/>
      <c r="AC11" s="32"/>
      <c r="AD11" s="226"/>
      <c r="AE11" s="227"/>
      <c r="AF11" s="227"/>
      <c r="AG11" s="228"/>
      <c r="AH11" s="232"/>
      <c r="AI11" s="233"/>
      <c r="AJ11" s="233"/>
      <c r="AK11" s="234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229"/>
      <c r="AE12" s="230"/>
      <c r="AF12" s="230"/>
      <c r="AG12" s="231"/>
      <c r="AH12" s="213"/>
      <c r="AI12" s="214"/>
      <c r="AJ12" s="214"/>
      <c r="AK12" s="215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17" t="s">
        <v>58</v>
      </c>
      <c r="S13" s="218"/>
      <c r="T13" s="219"/>
      <c r="U13" s="220">
        <v>300000</v>
      </c>
      <c r="V13" s="221"/>
      <c r="W13" s="222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17" t="s">
        <v>56</v>
      </c>
      <c r="S15" s="218"/>
      <c r="T15" s="219"/>
      <c r="U15" s="220">
        <v>300000</v>
      </c>
      <c r="V15" s="221"/>
      <c r="W15" s="222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17" t="s">
        <v>57</v>
      </c>
      <c r="S17" s="218"/>
      <c r="T17" s="219"/>
      <c r="U17" s="220">
        <v>300000</v>
      </c>
      <c r="V17" s="221"/>
      <c r="W17" s="222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  <mergeCell ref="AE2:AJ3"/>
    <mergeCell ref="AD6:AG7"/>
    <mergeCell ref="AH6:AK7"/>
    <mergeCell ref="R2:W3"/>
    <mergeCell ref="R13:T13"/>
    <mergeCell ref="U13:W13"/>
    <mergeCell ref="AD10:AG12"/>
    <mergeCell ref="AH10:AK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I22" sqref="I22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258" t="s">
        <v>64</v>
      </c>
      <c r="B1" s="259"/>
      <c r="C1" s="259"/>
      <c r="D1" s="259"/>
      <c r="E1" s="259"/>
      <c r="F1" s="259"/>
      <c r="G1" s="259"/>
      <c r="H1" s="259"/>
      <c r="I1" s="260"/>
    </row>
    <row r="2" spans="1:9" ht="15.75" thickBot="1" x14ac:dyDescent="0.3">
      <c r="A2" s="261"/>
      <c r="B2" s="262"/>
      <c r="C2" s="262"/>
      <c r="D2" s="262"/>
      <c r="E2" s="262"/>
      <c r="F2" s="263"/>
      <c r="G2" s="263"/>
      <c r="H2" s="263"/>
      <c r="I2" s="264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265" t="s">
        <v>78</v>
      </c>
      <c r="G3" s="266"/>
      <c r="H3" s="266"/>
      <c r="I3" s="267"/>
    </row>
    <row r="4" spans="1:9" ht="15.75" thickBot="1" x14ac:dyDescent="0.3">
      <c r="A4" s="44" t="str">
        <f>Savings!C2</f>
        <v>ken</v>
      </c>
      <c r="B4" s="70">
        <f>Savings!C16</f>
        <v>0.16427671426858256</v>
      </c>
      <c r="C4" s="71">
        <f>Savings!C17</f>
        <v>138096.75569916991</v>
      </c>
      <c r="D4" s="44">
        <v>200</v>
      </c>
      <c r="E4" s="75">
        <f>C4-D4</f>
        <v>137896.75569916991</v>
      </c>
      <c r="F4" s="268"/>
      <c r="G4" s="269"/>
      <c r="H4" s="269"/>
      <c r="I4" s="270"/>
    </row>
    <row r="5" spans="1:9" x14ac:dyDescent="0.25">
      <c r="A5" s="44" t="str">
        <f>Savings!D2</f>
        <v>gian</v>
      </c>
      <c r="B5" s="70">
        <f>Savings!D16</f>
        <v>1.112153355598304E-2</v>
      </c>
      <c r="C5" s="71">
        <f>Savings!D17</f>
        <v>9349.1503608338026</v>
      </c>
      <c r="D5" s="44">
        <v>200</v>
      </c>
      <c r="E5" s="75">
        <f t="shared" ref="E5:E28" si="0">C5-D5</f>
        <v>9149.1503608338026</v>
      </c>
      <c r="F5" s="271" t="s">
        <v>71</v>
      </c>
      <c r="G5" s="272"/>
      <c r="H5" s="272"/>
      <c r="I5" s="273"/>
    </row>
    <row r="6" spans="1:9" ht="15.75" thickBot="1" x14ac:dyDescent="0.3">
      <c r="A6" s="44" t="str">
        <f>Savings!E2</f>
        <v>donque</v>
      </c>
      <c r="B6" s="70">
        <f>Savings!E16</f>
        <v>3.1343997082445556E-2</v>
      </c>
      <c r="C6" s="71">
        <f>Savings!E17</f>
        <v>26348.860987401618</v>
      </c>
      <c r="D6" s="44">
        <v>200</v>
      </c>
      <c r="E6" s="75">
        <f t="shared" si="0"/>
        <v>26148.860987401618</v>
      </c>
      <c r="F6" s="274"/>
      <c r="G6" s="275"/>
      <c r="H6" s="275"/>
      <c r="I6" s="276"/>
    </row>
    <row r="7" spans="1:9" x14ac:dyDescent="0.25">
      <c r="A7" s="44" t="str">
        <f>Savings!F2</f>
        <v>bernard</v>
      </c>
      <c r="B7" s="70">
        <f>Savings!F16</f>
        <v>5.5166858596627837E-2</v>
      </c>
      <c r="C7" s="71">
        <f>Savings!F17</f>
        <v>46375.192176376244</v>
      </c>
      <c r="D7" s="44">
        <v>100</v>
      </c>
      <c r="E7" s="71">
        <f t="shared" si="0"/>
        <v>46275.192176376244</v>
      </c>
      <c r="F7" s="76"/>
      <c r="G7" s="76"/>
      <c r="H7" s="76"/>
      <c r="I7" s="76"/>
    </row>
    <row r="8" spans="1:9" x14ac:dyDescent="0.25">
      <c r="A8" s="44" t="str">
        <f>Savings!G2</f>
        <v>gina</v>
      </c>
      <c r="B8" s="70">
        <f>Savings!G16</f>
        <v>6.1183767051238458E-2</v>
      </c>
      <c r="C8" s="71">
        <f>Savings!G17</f>
        <v>51433.21601511784</v>
      </c>
      <c r="D8" s="44">
        <v>200</v>
      </c>
      <c r="E8" s="71">
        <f t="shared" si="0"/>
        <v>51233.21601511784</v>
      </c>
      <c r="F8" s="76"/>
      <c r="G8" s="76"/>
      <c r="H8" s="76"/>
      <c r="I8" s="76"/>
    </row>
    <row r="9" spans="1:9" x14ac:dyDescent="0.25">
      <c r="A9" s="44" t="str">
        <f>Savings!H2</f>
        <v>rowel</v>
      </c>
      <c r="B9" s="70">
        <f>Savings!H16</f>
        <v>3.7053708081373926E-2</v>
      </c>
      <c r="C9" s="71">
        <f>Savings!H17</f>
        <v>31148.643892985769</v>
      </c>
      <c r="D9" s="44">
        <v>200</v>
      </c>
      <c r="E9" s="71">
        <f t="shared" si="0"/>
        <v>30948.643892985769</v>
      </c>
      <c r="F9" s="76"/>
      <c r="G9" s="76"/>
      <c r="H9" s="76"/>
      <c r="I9" s="76"/>
    </row>
    <row r="10" spans="1:9" x14ac:dyDescent="0.25">
      <c r="A10" s="44" t="str">
        <f>Savings!I2</f>
        <v>leo j.</v>
      </c>
      <c r="B10" s="70">
        <f>Savings!I16</f>
        <v>0.10416567416151797</v>
      </c>
      <c r="C10" s="71">
        <f>Savings!I17</f>
        <v>87565.311498767653</v>
      </c>
      <c r="D10" s="44">
        <v>100</v>
      </c>
      <c r="E10" s="71">
        <f t="shared" si="0"/>
        <v>87465.311498767653</v>
      </c>
      <c r="F10" s="76"/>
      <c r="G10" s="76"/>
      <c r="H10" s="76"/>
      <c r="I10" s="76"/>
    </row>
    <row r="11" spans="1:9" x14ac:dyDescent="0.25">
      <c r="A11" s="44" t="str">
        <f>Savings!J2</f>
        <v>emman r.</v>
      </c>
      <c r="B11" s="70">
        <f>Savings!J16</f>
        <v>2.6470454559144271E-3</v>
      </c>
      <c r="C11" s="71">
        <f>Savings!J17</f>
        <v>2225.1990568326246</v>
      </c>
      <c r="D11" s="44">
        <v>200</v>
      </c>
      <c r="E11" s="71">
        <f t="shared" si="0"/>
        <v>2025.1990568326246</v>
      </c>
      <c r="F11" s="76"/>
      <c r="G11" s="76"/>
      <c r="H11" s="76"/>
      <c r="I11" s="76"/>
    </row>
    <row r="12" spans="1:9" x14ac:dyDescent="0.25">
      <c r="A12" s="44" t="str">
        <f>Savings!K2</f>
        <v>jeff</v>
      </c>
      <c r="B12" s="70">
        <f>Savings!K16</f>
        <v>9.161438560235069E-2</v>
      </c>
      <c r="C12" s="71">
        <f>Savings!K17</f>
        <v>77014.259040832068</v>
      </c>
      <c r="D12" s="44">
        <v>100</v>
      </c>
      <c r="E12" s="71">
        <f t="shared" si="0"/>
        <v>76914.259040832068</v>
      </c>
      <c r="F12" s="76"/>
      <c r="G12" s="76"/>
      <c r="H12" s="76"/>
      <c r="I12" s="76"/>
    </row>
    <row r="13" spans="1:9" ht="15.75" thickBot="1" x14ac:dyDescent="0.3">
      <c r="A13" s="44" t="str">
        <f>Savings!L2</f>
        <v>rubin</v>
      </c>
      <c r="B13" s="70">
        <f>Savings!L16</f>
        <v>2.714125114240765E-2</v>
      </c>
      <c r="C13" s="71">
        <f>Savings!L17</f>
        <v>22815.885654097856</v>
      </c>
      <c r="D13" s="44">
        <v>200</v>
      </c>
      <c r="E13" s="71">
        <f t="shared" si="0"/>
        <v>22615.885654097856</v>
      </c>
      <c r="F13" s="76"/>
      <c r="G13" s="76"/>
      <c r="H13" s="76"/>
      <c r="I13" s="76"/>
    </row>
    <row r="14" spans="1:9" x14ac:dyDescent="0.25">
      <c r="A14" s="44" t="str">
        <f>Savings!M2</f>
        <v>rommel c.</v>
      </c>
      <c r="B14" s="70">
        <f>Savings!M16</f>
        <v>2.7379452378097094E-2</v>
      </c>
      <c r="C14" s="71">
        <f>Savings!M17</f>
        <v>23016.125949861649</v>
      </c>
      <c r="D14" s="44">
        <v>200</v>
      </c>
      <c r="E14" s="75">
        <f t="shared" si="0"/>
        <v>22816.125949861649</v>
      </c>
      <c r="F14" s="250" t="s">
        <v>72</v>
      </c>
      <c r="G14" s="251"/>
      <c r="H14" s="277">
        <f>SUM(B4:B28)</f>
        <v>1.0000000000000002</v>
      </c>
      <c r="I14" s="278"/>
    </row>
    <row r="15" spans="1:9" ht="15.75" thickBot="1" x14ac:dyDescent="0.3">
      <c r="A15" s="44" t="str">
        <f>Savings!N2</f>
        <v>guilly</v>
      </c>
      <c r="B15" s="70">
        <f>Savings!N16</f>
        <v>1.4879089600353085E-2</v>
      </c>
      <c r="C15" s="71">
        <f>Savings!N17</f>
        <v>12507.883486192815</v>
      </c>
      <c r="D15" s="44">
        <v>200</v>
      </c>
      <c r="E15" s="75">
        <f t="shared" si="0"/>
        <v>12307.883486192815</v>
      </c>
      <c r="F15" s="252"/>
      <c r="G15" s="253"/>
      <c r="H15" s="279"/>
      <c r="I15" s="280"/>
    </row>
    <row r="16" spans="1:9" x14ac:dyDescent="0.25">
      <c r="A16" s="44" t="str">
        <f>Savings!O2</f>
        <v>edward</v>
      </c>
      <c r="B16" s="70">
        <f>Savings!O16</f>
        <v>3.2855342853716513E-3</v>
      </c>
      <c r="C16" s="71">
        <f>Savings!O17</f>
        <v>2761.935113983398</v>
      </c>
      <c r="D16" s="44">
        <v>200</v>
      </c>
      <c r="E16" s="75">
        <f t="shared" si="0"/>
        <v>2561.935113983398</v>
      </c>
      <c r="F16" s="250" t="s">
        <v>73</v>
      </c>
      <c r="G16" s="251"/>
      <c r="H16" s="254">
        <f>SUM(C4:C28)</f>
        <v>840635</v>
      </c>
      <c r="I16" s="255"/>
    </row>
    <row r="17" spans="1:9" ht="15.75" thickBot="1" x14ac:dyDescent="0.3">
      <c r="A17" s="44" t="str">
        <f>Savings!P2</f>
        <v>kc</v>
      </c>
      <c r="B17" s="70">
        <f>Savings!P16</f>
        <v>7.7045778991965226E-3</v>
      </c>
      <c r="C17" s="71">
        <f>Savings!P17</f>
        <v>6476.7378422910688</v>
      </c>
      <c r="D17" s="44">
        <v>200</v>
      </c>
      <c r="E17" s="75">
        <f t="shared" si="0"/>
        <v>6276.7378422910688</v>
      </c>
      <c r="F17" s="252"/>
      <c r="G17" s="253"/>
      <c r="H17" s="256"/>
      <c r="I17" s="257"/>
    </row>
    <row r="18" spans="1:9" x14ac:dyDescent="0.25">
      <c r="A18" s="44" t="str">
        <f>Savings!Q2</f>
        <v>paulo</v>
      </c>
      <c r="B18" s="70">
        <f>Savings!Q16</f>
        <v>0.11424295540380038</v>
      </c>
      <c r="C18" s="71">
        <f>Savings!Q17</f>
        <v>96036.626815873722</v>
      </c>
      <c r="D18" s="44">
        <v>200</v>
      </c>
      <c r="E18" s="71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0">
        <f>Savings!R16</f>
        <v>5.7496849994003903E-3</v>
      </c>
      <c r="C19" s="71">
        <f>Savings!R17</f>
        <v>4833.3864494709469</v>
      </c>
      <c r="D19" s="44">
        <v>200</v>
      </c>
      <c r="E19" s="71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0">
        <f>Savings!S16</f>
        <v>9.912840251299565E-2</v>
      </c>
      <c r="C20" s="71">
        <f>Savings!S17</f>
        <v>83330.804646512101</v>
      </c>
      <c r="D20" s="44">
        <v>200</v>
      </c>
      <c r="E20" s="71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0">
        <f>Savings!T16</f>
        <v>4.8277640789251043E-2</v>
      </c>
      <c r="C21" s="71">
        <f>Savings!T17</f>
        <v>40583.874564872051</v>
      </c>
      <c r="D21" s="44">
        <v>200</v>
      </c>
      <c r="E21" s="71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0">
        <f>Savings!U16</f>
        <v>1.4784904284172432E-2</v>
      </c>
      <c r="C22" s="71">
        <f>Savings!U17</f>
        <v>12428.708012925292</v>
      </c>
      <c r="D22" s="44">
        <v>200</v>
      </c>
      <c r="E22" s="71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0">
        <f>Savings!V16</f>
        <v>1.2594548093924664E-2</v>
      </c>
      <c r="C23" s="71">
        <f>Savings!V17</f>
        <v>10587.417936936359</v>
      </c>
      <c r="D23" s="44">
        <v>200</v>
      </c>
      <c r="E23" s="71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0">
        <f>Savings!W16</f>
        <v>1.6427671426858258E-2</v>
      </c>
      <c r="C24" s="71">
        <f>Savings!W17</f>
        <v>13809.675569916992</v>
      </c>
      <c r="D24" s="44">
        <v>200</v>
      </c>
      <c r="E24" s="71">
        <f t="shared" si="0"/>
        <v>13609.675569916992</v>
      </c>
      <c r="F24" s="41"/>
      <c r="G24" s="41"/>
      <c r="H24" s="41"/>
      <c r="I24" s="41"/>
    </row>
    <row r="25" spans="1:9" x14ac:dyDescent="0.25">
      <c r="A25" s="71" t="str">
        <f>Savings!X2</f>
        <v>kero</v>
      </c>
      <c r="B25" s="70">
        <f>Savings!X16</f>
        <v>2.0808383807353791E-2</v>
      </c>
      <c r="C25" s="71">
        <f>Savings!X17</f>
        <v>17492.255721894853</v>
      </c>
      <c r="D25" s="44">
        <v>200</v>
      </c>
      <c r="E25" s="71">
        <f t="shared" si="0"/>
        <v>17292.255721894853</v>
      </c>
    </row>
    <row r="26" spans="1:9" x14ac:dyDescent="0.25">
      <c r="A26" s="44" t="str">
        <f>Savings!Y2</f>
        <v>gef</v>
      </c>
      <c r="B26" s="70">
        <f>Savings!Y16</f>
        <v>2.0808383807353791E-2</v>
      </c>
      <c r="C26" s="71">
        <f>Savings!Y17</f>
        <v>17492.255721894853</v>
      </c>
      <c r="D26" s="44">
        <v>200</v>
      </c>
      <c r="E26" s="71">
        <f t="shared" si="0"/>
        <v>17292.255721894853</v>
      </c>
    </row>
    <row r="27" spans="1:9" x14ac:dyDescent="0.25">
      <c r="A27" s="44" t="str">
        <f>Savings!Z2</f>
        <v>alvin</v>
      </c>
      <c r="B27" s="70">
        <f>Savings!Z16</f>
        <v>8.2138357134291292E-3</v>
      </c>
      <c r="C27" s="71">
        <f>Savings!Z17</f>
        <v>6904.8377849584958</v>
      </c>
      <c r="D27" s="44">
        <v>200</v>
      </c>
      <c r="E27" s="71">
        <f t="shared" si="0"/>
        <v>6704.8377849584958</v>
      </c>
    </row>
    <row r="28" spans="1:9" x14ac:dyDescent="0.25">
      <c r="A28" s="44" t="str">
        <f>Savings!AA2</f>
        <v>gugu</v>
      </c>
      <c r="B28" s="70">
        <f>Savings!AA16</f>
        <v>0</v>
      </c>
      <c r="C28" s="71">
        <f>Savings!AA17</f>
        <v>0</v>
      </c>
      <c r="D28" s="44">
        <v>200</v>
      </c>
      <c r="E28" s="71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zoomScale="85" zoomScaleNormal="85" workbookViewId="0">
      <selection activeCell="M57" sqref="M57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opLeftCell="A34" zoomScale="85" zoomScaleNormal="85" workbookViewId="0">
      <selection activeCell="L70" sqref="L70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41">
        <v>2015</v>
      </c>
      <c r="B55" s="85"/>
      <c r="C55" s="102"/>
      <c r="D55" s="102"/>
      <c r="E55" s="111"/>
      <c r="F55" s="111"/>
    </row>
    <row r="56" spans="1:27" x14ac:dyDescent="0.25">
      <c r="A56" s="142" t="s">
        <v>94</v>
      </c>
      <c r="B56" s="85" t="s">
        <v>46</v>
      </c>
      <c r="C56" s="102"/>
      <c r="D56" s="102"/>
      <c r="E56" s="111"/>
      <c r="F56" s="111"/>
    </row>
    <row r="57" spans="1:27" x14ac:dyDescent="0.25">
      <c r="A57" s="143">
        <v>46021</v>
      </c>
      <c r="B57" s="85"/>
      <c r="C57" s="102"/>
      <c r="D57" s="102"/>
      <c r="E57" s="111"/>
      <c r="F57" s="111"/>
    </row>
    <row r="58" spans="1:27" x14ac:dyDescent="0.25">
      <c r="A58" s="143">
        <v>45672</v>
      </c>
      <c r="B58" s="85"/>
      <c r="C58" s="102"/>
      <c r="D58" s="102"/>
      <c r="E58" s="111"/>
      <c r="F58" s="111"/>
    </row>
    <row r="59" spans="1:27" x14ac:dyDescent="0.25">
      <c r="A59" s="143">
        <v>45687</v>
      </c>
      <c r="B59" s="85"/>
      <c r="C59" s="102"/>
      <c r="D59" s="102"/>
      <c r="E59" s="111"/>
      <c r="F59" s="111"/>
    </row>
    <row r="60" spans="1:27" x14ac:dyDescent="0.25">
      <c r="A60" s="143">
        <v>45703</v>
      </c>
      <c r="B60" s="85"/>
      <c r="C60" s="102"/>
      <c r="D60" s="102"/>
      <c r="E60" s="111"/>
      <c r="F60" s="111"/>
    </row>
    <row r="61" spans="1:27" x14ac:dyDescent="0.25">
      <c r="A61" s="143">
        <v>45716</v>
      </c>
      <c r="B61" s="85"/>
      <c r="C61" s="102"/>
      <c r="D61" s="102"/>
      <c r="E61" s="111"/>
      <c r="F61" s="111"/>
    </row>
    <row r="62" spans="1:27" x14ac:dyDescent="0.25">
      <c r="A62" s="143">
        <v>45731</v>
      </c>
      <c r="B62" s="85"/>
      <c r="C62" s="102"/>
      <c r="D62" s="102"/>
      <c r="E62" s="111"/>
      <c r="F62" s="111"/>
    </row>
    <row r="63" spans="1:27" x14ac:dyDescent="0.25">
      <c r="A63" s="143">
        <v>45746</v>
      </c>
      <c r="B63" s="85"/>
      <c r="C63" s="102"/>
      <c r="D63" s="102"/>
      <c r="E63" s="111"/>
      <c r="F63" s="111"/>
    </row>
    <row r="64" spans="1:27" x14ac:dyDescent="0.25">
      <c r="A64" s="143">
        <v>45762</v>
      </c>
      <c r="B64" s="85"/>
      <c r="C64" s="102"/>
      <c r="D64" s="102"/>
      <c r="E64" s="111"/>
      <c r="F64" s="111"/>
    </row>
    <row r="65" spans="1:32" x14ac:dyDescent="0.25">
      <c r="A65" s="143">
        <v>45777</v>
      </c>
      <c r="B65" s="85"/>
      <c r="C65" s="102"/>
      <c r="D65" s="102"/>
      <c r="E65" s="111"/>
      <c r="F65" s="111"/>
    </row>
    <row r="66" spans="1:32" x14ac:dyDescent="0.25">
      <c r="A66" s="143">
        <v>45792</v>
      </c>
      <c r="B66" s="85"/>
      <c r="C66" s="102"/>
      <c r="D66" s="102"/>
      <c r="E66" s="111"/>
      <c r="F66" s="111"/>
    </row>
    <row r="67" spans="1:32" x14ac:dyDescent="0.25">
      <c r="A67" s="143">
        <v>45807</v>
      </c>
      <c r="B67" s="85"/>
      <c r="C67" s="102"/>
      <c r="D67" s="102"/>
      <c r="E67" s="111"/>
      <c r="F67" s="111"/>
      <c r="AF67" s="1"/>
    </row>
    <row r="68" spans="1:32" x14ac:dyDescent="0.25">
      <c r="A68" s="143">
        <v>45823</v>
      </c>
      <c r="B68" s="85"/>
      <c r="C68" s="102"/>
      <c r="D68" s="102"/>
      <c r="E68" s="111"/>
      <c r="F68" s="111"/>
      <c r="AF68" s="1"/>
    </row>
    <row r="69" spans="1:32" x14ac:dyDescent="0.25">
      <c r="A69" s="144" t="s">
        <v>5</v>
      </c>
      <c r="B69" s="145">
        <f>SUM(B57:B68)</f>
        <v>0</v>
      </c>
      <c r="C69" s="102"/>
      <c r="D69" s="102"/>
      <c r="E69" s="111"/>
      <c r="F69" s="111"/>
      <c r="AF69" s="1"/>
    </row>
    <row r="70" spans="1:32" x14ac:dyDescent="0.25">
      <c r="A70" s="146" t="s">
        <v>61</v>
      </c>
      <c r="B70" s="147">
        <f>SUM(C69:AF69)</f>
        <v>0</v>
      </c>
      <c r="C70" s="102"/>
      <c r="D70" s="102"/>
      <c r="E70" s="111"/>
      <c r="F70" s="111"/>
      <c r="AF70" s="1"/>
    </row>
    <row r="71" spans="1:32" x14ac:dyDescent="0.25">
      <c r="A71" s="85" t="s">
        <v>95</v>
      </c>
      <c r="B71" s="148">
        <f>SUM(C71:AF71)</f>
        <v>0</v>
      </c>
      <c r="C71" s="102"/>
      <c r="D71" s="102"/>
      <c r="E71" s="111"/>
      <c r="F71" s="111"/>
      <c r="AF71" s="1"/>
    </row>
    <row r="72" spans="1:32" x14ac:dyDescent="0.25">
      <c r="A72" s="85"/>
      <c r="B72" s="149">
        <f>SUM(C70:AF70)</f>
        <v>0</v>
      </c>
      <c r="C72" s="102"/>
      <c r="D72" s="102"/>
      <c r="E72" s="111"/>
      <c r="F72" s="111"/>
    </row>
    <row r="73" spans="1:32" x14ac:dyDescent="0.25">
      <c r="A73" s="102"/>
      <c r="B73" s="102"/>
      <c r="C73" s="102"/>
      <c r="D73" s="102"/>
      <c r="E73" s="111"/>
      <c r="F73" s="111"/>
      <c r="AF73" s="1"/>
    </row>
    <row r="74" spans="1:32" x14ac:dyDescent="0.25">
      <c r="A74" s="102"/>
      <c r="B74" s="102"/>
      <c r="C74" s="102"/>
      <c r="D74" s="102"/>
      <c r="E74" s="111"/>
      <c r="F74" s="111"/>
      <c r="AF74" s="1"/>
    </row>
    <row r="75" spans="1:32" x14ac:dyDescent="0.25">
      <c r="A75" s="136"/>
      <c r="B75" s="102"/>
      <c r="C75" s="102"/>
      <c r="D75" s="102"/>
      <c r="E75" s="111"/>
      <c r="F75" s="111"/>
      <c r="AF75" s="1"/>
    </row>
    <row r="76" spans="1:32" x14ac:dyDescent="0.25">
      <c r="A76" s="136"/>
      <c r="B76" s="102"/>
      <c r="C76" s="102"/>
      <c r="D76" s="102"/>
      <c r="E76" s="111"/>
      <c r="F76" s="111"/>
      <c r="AF76" s="1"/>
    </row>
    <row r="77" spans="1:32" x14ac:dyDescent="0.25">
      <c r="A77" s="137"/>
      <c r="B77" s="111"/>
      <c r="C77" s="111"/>
      <c r="D77" s="111"/>
      <c r="E77" s="111"/>
      <c r="F77" s="111"/>
      <c r="AF77" s="1"/>
    </row>
    <row r="78" spans="1:32" x14ac:dyDescent="0.25">
      <c r="A78" s="137"/>
      <c r="B78" s="111"/>
      <c r="C78" s="111"/>
      <c r="D78" s="111"/>
      <c r="E78" s="111"/>
      <c r="F78" s="111"/>
      <c r="AF78" s="1"/>
    </row>
    <row r="79" spans="1:32" x14ac:dyDescent="0.25">
      <c r="A79" s="137"/>
      <c r="B79" s="111"/>
      <c r="C79" s="111"/>
      <c r="D79" s="111"/>
      <c r="E79" s="111"/>
      <c r="F79" s="111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A80" s="137"/>
      <c r="B80" s="111"/>
      <c r="C80" s="111"/>
      <c r="D80" s="111"/>
      <c r="E80" s="111"/>
      <c r="F80" s="111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A81" s="137"/>
      <c r="B81" s="111"/>
      <c r="C81" s="111"/>
      <c r="D81" s="111"/>
      <c r="E81" s="111"/>
      <c r="F81" s="111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A82" s="137"/>
      <c r="B82" s="111"/>
      <c r="C82" s="111"/>
      <c r="D82" s="111"/>
      <c r="E82" s="111"/>
      <c r="F82" s="111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A83" s="137"/>
      <c r="B83" s="111"/>
      <c r="C83" s="111"/>
      <c r="D83" s="111"/>
      <c r="E83" s="111"/>
      <c r="F83" s="111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A84" s="137"/>
      <c r="B84" s="111"/>
      <c r="C84" s="111"/>
      <c r="D84" s="111"/>
      <c r="E84" s="111"/>
      <c r="F84" s="111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A85" s="137"/>
      <c r="B85" s="111"/>
      <c r="C85" s="111"/>
      <c r="D85" s="111"/>
      <c r="E85" s="111"/>
      <c r="F85" s="111"/>
      <c r="G85" s="3"/>
      <c r="H85" s="3"/>
      <c r="I85" s="3"/>
      <c r="J85" s="3"/>
      <c r="AF85" s="1"/>
    </row>
    <row r="86" spans="1:32" x14ac:dyDescent="0.25">
      <c r="A86" s="137"/>
      <c r="B86" s="111"/>
      <c r="C86" s="111"/>
      <c r="D86" s="111"/>
      <c r="E86" s="111"/>
      <c r="F86" s="111"/>
      <c r="G86" s="3"/>
      <c r="H86" s="3"/>
      <c r="I86" s="3"/>
      <c r="J86" s="3"/>
      <c r="AF86" s="1"/>
    </row>
    <row r="87" spans="1:32" x14ac:dyDescent="0.25">
      <c r="A87" s="135"/>
      <c r="B87" s="111"/>
      <c r="C87" s="111"/>
      <c r="D87" s="111"/>
      <c r="E87" s="111"/>
      <c r="F87" s="111"/>
      <c r="G87" s="3"/>
      <c r="H87" s="3"/>
      <c r="I87" s="3"/>
      <c r="J87" s="3"/>
      <c r="AF87" s="1"/>
    </row>
    <row r="88" spans="1:32" x14ac:dyDescent="0.25">
      <c r="A88" s="135"/>
      <c r="B88" s="138"/>
      <c r="C88" s="111"/>
      <c r="D88" s="111"/>
      <c r="E88" s="111"/>
      <c r="F88" s="111"/>
      <c r="G88" s="3"/>
      <c r="H88" s="3"/>
      <c r="I88" s="3"/>
      <c r="J88" s="3"/>
      <c r="AF88" s="1"/>
    </row>
    <row r="89" spans="1:32" x14ac:dyDescent="0.25">
      <c r="A89" s="135"/>
      <c r="B89" s="139"/>
      <c r="C89" s="111"/>
      <c r="D89" s="111"/>
      <c r="E89" s="111"/>
      <c r="F89" s="111"/>
      <c r="G89" s="3"/>
      <c r="H89" s="3"/>
      <c r="I89" s="3"/>
      <c r="J89" s="3"/>
      <c r="AF89" s="1"/>
    </row>
    <row r="90" spans="1:32" x14ac:dyDescent="0.25">
      <c r="A90" s="135"/>
      <c r="B90" s="140"/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111"/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50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L8" sqref="L8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281" t="s">
        <v>81</v>
      </c>
      <c r="C1" s="282"/>
      <c r="D1" s="282"/>
      <c r="E1" s="282"/>
      <c r="F1" s="282"/>
      <c r="G1" s="282"/>
      <c r="H1" s="283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21</v>
      </c>
      <c r="C3" s="44" t="s">
        <v>49</v>
      </c>
      <c r="D3" s="44" t="s">
        <v>1</v>
      </c>
      <c r="E3" s="44">
        <f>COUNTA(B3:B80)</f>
        <v>26</v>
      </c>
      <c r="F3" s="44">
        <v>18</v>
      </c>
      <c r="G3" s="44">
        <f>COUNTA(C3:C36)</f>
        <v>4</v>
      </c>
      <c r="H3" s="89">
        <f>G3*F3</f>
        <v>72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22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23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24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25</v>
      </c>
      <c r="C7" s="44"/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26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27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28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29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20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30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31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32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33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34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35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36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37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6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0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38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39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40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43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8" t="s">
        <v>45</v>
      </c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>
        <v>123</v>
      </c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topLeftCell="A10"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284" t="s">
        <v>99</v>
      </c>
      <c r="C2" s="285"/>
      <c r="D2" s="285"/>
      <c r="E2" s="285"/>
      <c r="F2" s="285"/>
      <c r="G2" s="285"/>
      <c r="H2" s="285"/>
      <c r="I2" s="286"/>
      <c r="J2" s="112"/>
      <c r="K2" s="112"/>
    </row>
    <row r="3" spans="1:11" x14ac:dyDescent="0.25">
      <c r="A3" s="112"/>
      <c r="B3" s="287"/>
      <c r="C3" s="288"/>
      <c r="D3" s="288"/>
      <c r="E3" s="288"/>
      <c r="F3" s="288"/>
      <c r="G3" s="288"/>
      <c r="H3" s="288"/>
      <c r="I3" s="289"/>
      <c r="J3" s="112"/>
      <c r="K3" s="112"/>
    </row>
    <row r="4" spans="1:11" x14ac:dyDescent="0.25">
      <c r="A4" s="112"/>
      <c r="B4" s="287"/>
      <c r="C4" s="288"/>
      <c r="D4" s="288"/>
      <c r="E4" s="288"/>
      <c r="F4" s="288"/>
      <c r="G4" s="288"/>
      <c r="H4" s="288"/>
      <c r="I4" s="289"/>
      <c r="J4" s="112"/>
      <c r="K4" s="112"/>
    </row>
    <row r="5" spans="1:11" ht="15.75" thickBot="1" x14ac:dyDescent="0.3">
      <c r="A5" s="112"/>
      <c r="B5" s="290"/>
      <c r="C5" s="291"/>
      <c r="D5" s="291"/>
      <c r="E5" s="291"/>
      <c r="F5" s="291"/>
      <c r="G5" s="291"/>
      <c r="H5" s="291"/>
      <c r="I5" s="292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293" t="s">
        <v>103</v>
      </c>
      <c r="C19" s="294"/>
      <c r="D19" s="294"/>
      <c r="E19" s="294"/>
      <c r="F19" s="294"/>
      <c r="G19" s="294"/>
      <c r="H19" s="294"/>
      <c r="I19" s="295"/>
      <c r="J19" s="112"/>
      <c r="K19" s="112"/>
    </row>
    <row r="20" spans="1:11" ht="15.75" thickBot="1" x14ac:dyDescent="0.3">
      <c r="A20" s="112"/>
      <c r="B20" s="296"/>
      <c r="C20" s="297"/>
      <c r="D20" s="297"/>
      <c r="E20" s="297"/>
      <c r="F20" s="297"/>
      <c r="G20" s="297"/>
      <c r="H20" s="297"/>
      <c r="I20" s="298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284" t="s">
        <v>98</v>
      </c>
      <c r="C22" s="285"/>
      <c r="D22" s="285"/>
      <c r="E22" s="285"/>
      <c r="F22" s="285"/>
      <c r="G22" s="285"/>
      <c r="H22" s="285"/>
      <c r="I22" s="286"/>
      <c r="J22" s="112"/>
      <c r="K22" s="112"/>
    </row>
    <row r="23" spans="1:11" x14ac:dyDescent="0.25">
      <c r="A23" s="112"/>
      <c r="B23" s="287"/>
      <c r="C23" s="288"/>
      <c r="D23" s="288"/>
      <c r="E23" s="288"/>
      <c r="F23" s="288"/>
      <c r="G23" s="288"/>
      <c r="H23" s="288"/>
      <c r="I23" s="289"/>
      <c r="J23" s="112"/>
      <c r="K23" s="112"/>
    </row>
    <row r="24" spans="1:11" x14ac:dyDescent="0.25">
      <c r="A24" s="112"/>
      <c r="B24" s="287"/>
      <c r="C24" s="288"/>
      <c r="D24" s="288"/>
      <c r="E24" s="288"/>
      <c r="F24" s="288"/>
      <c r="G24" s="288"/>
      <c r="H24" s="288"/>
      <c r="I24" s="289"/>
      <c r="J24" s="112"/>
      <c r="K24" s="112"/>
    </row>
    <row r="25" spans="1:11" ht="15.75" thickBot="1" x14ac:dyDescent="0.3">
      <c r="A25" s="112"/>
      <c r="B25" s="290"/>
      <c r="C25" s="291"/>
      <c r="D25" s="291"/>
      <c r="E25" s="291"/>
      <c r="F25" s="291"/>
      <c r="G25" s="291"/>
      <c r="H25" s="291"/>
      <c r="I25" s="292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284" t="s">
        <v>100</v>
      </c>
      <c r="C44" s="285"/>
      <c r="D44" s="285"/>
      <c r="E44" s="285"/>
      <c r="F44" s="285"/>
      <c r="G44" s="285"/>
      <c r="H44" s="285"/>
      <c r="I44" s="286"/>
      <c r="J44" s="112"/>
      <c r="K44" s="112"/>
    </row>
    <row r="45" spans="1:11" x14ac:dyDescent="0.25">
      <c r="A45" s="112"/>
      <c r="B45" s="287"/>
      <c r="C45" s="288"/>
      <c r="D45" s="288"/>
      <c r="E45" s="288"/>
      <c r="F45" s="288"/>
      <c r="G45" s="288"/>
      <c r="H45" s="288"/>
      <c r="I45" s="289"/>
      <c r="J45" s="112"/>
      <c r="K45" s="112"/>
    </row>
    <row r="46" spans="1:11" x14ac:dyDescent="0.25">
      <c r="A46" s="112"/>
      <c r="B46" s="287"/>
      <c r="C46" s="288"/>
      <c r="D46" s="288"/>
      <c r="E46" s="288"/>
      <c r="F46" s="288"/>
      <c r="G46" s="288"/>
      <c r="H46" s="288"/>
      <c r="I46" s="289"/>
      <c r="J46" s="112"/>
      <c r="K46" s="112"/>
    </row>
    <row r="47" spans="1:11" ht="15.75" thickBot="1" x14ac:dyDescent="0.3">
      <c r="A47" s="112"/>
      <c r="B47" s="290"/>
      <c r="C47" s="291"/>
      <c r="D47" s="291"/>
      <c r="E47" s="291"/>
      <c r="F47" s="291"/>
      <c r="G47" s="291"/>
      <c r="H47" s="291"/>
      <c r="I47" s="292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284" t="s">
        <v>102</v>
      </c>
      <c r="C65" s="285"/>
      <c r="D65" s="285"/>
      <c r="E65" s="285"/>
      <c r="F65" s="285"/>
      <c r="G65" s="285"/>
      <c r="H65" s="285"/>
      <c r="I65" s="286"/>
      <c r="J65" s="112"/>
      <c r="K65" s="112"/>
    </row>
    <row r="66" spans="1:11" x14ac:dyDescent="0.25">
      <c r="A66" s="112"/>
      <c r="B66" s="287"/>
      <c r="C66" s="288"/>
      <c r="D66" s="288"/>
      <c r="E66" s="288"/>
      <c r="F66" s="288"/>
      <c r="G66" s="288"/>
      <c r="H66" s="288"/>
      <c r="I66" s="289"/>
      <c r="J66" s="112"/>
      <c r="K66" s="112"/>
    </row>
    <row r="67" spans="1:11" x14ac:dyDescent="0.25">
      <c r="A67" s="112"/>
      <c r="B67" s="287"/>
      <c r="C67" s="288"/>
      <c r="D67" s="288"/>
      <c r="E67" s="288"/>
      <c r="F67" s="288"/>
      <c r="G67" s="288"/>
      <c r="H67" s="288"/>
      <c r="I67" s="289"/>
      <c r="J67" s="112"/>
      <c r="K67" s="112"/>
    </row>
    <row r="68" spans="1:11" ht="15.75" thickBot="1" x14ac:dyDescent="0.3">
      <c r="A68" s="112"/>
      <c r="B68" s="290"/>
      <c r="C68" s="291"/>
      <c r="D68" s="291"/>
      <c r="E68" s="291"/>
      <c r="F68" s="291"/>
      <c r="G68" s="291"/>
      <c r="H68" s="291"/>
      <c r="I68" s="292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284" t="s">
        <v>101</v>
      </c>
      <c r="C74" s="285"/>
      <c r="D74" s="285"/>
      <c r="E74" s="285"/>
      <c r="F74" s="285"/>
      <c r="G74" s="285"/>
      <c r="H74" s="285"/>
      <c r="I74" s="286"/>
      <c r="J74" s="112"/>
      <c r="K74" s="112"/>
    </row>
    <row r="75" spans="1:11" x14ac:dyDescent="0.25">
      <c r="A75" s="112"/>
      <c r="B75" s="287"/>
      <c r="C75" s="288"/>
      <c r="D75" s="288"/>
      <c r="E75" s="288"/>
      <c r="F75" s="288"/>
      <c r="G75" s="288"/>
      <c r="H75" s="288"/>
      <c r="I75" s="289"/>
      <c r="J75" s="112"/>
      <c r="K75" s="112"/>
    </row>
    <row r="76" spans="1:11" x14ac:dyDescent="0.25">
      <c r="A76" s="112"/>
      <c r="B76" s="287"/>
      <c r="C76" s="288"/>
      <c r="D76" s="288"/>
      <c r="E76" s="288"/>
      <c r="F76" s="288"/>
      <c r="G76" s="288"/>
      <c r="H76" s="288"/>
      <c r="I76" s="289"/>
      <c r="J76" s="112"/>
      <c r="K76" s="112"/>
    </row>
    <row r="77" spans="1:11" ht="15.75" thickBot="1" x14ac:dyDescent="0.3">
      <c r="A77" s="112"/>
      <c r="B77" s="290"/>
      <c r="C77" s="291"/>
      <c r="D77" s="291"/>
      <c r="E77" s="291"/>
      <c r="F77" s="291"/>
      <c r="G77" s="291"/>
      <c r="H77" s="291"/>
      <c r="I77" s="292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Borrowers3</vt:lpstr>
      <vt:lpstr>Borrowers2</vt:lpstr>
      <vt:lpstr>Home</vt:lpstr>
      <vt:lpstr>Overview</vt:lpstr>
      <vt:lpstr>Savings2</vt:lpstr>
      <vt:lpstr>Savings</vt:lpstr>
      <vt:lpstr>Borrowers</vt:lpstr>
      <vt:lpstr>Revenues</vt:lpstr>
      <vt:lpstr>data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2025-05-08T06:49:14Z</dcterms:modified>
</cp:coreProperties>
</file>