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8_{DB83665B-2850-48AA-8062-0A47BB9A1175}" xr6:coauthVersionLast="47" xr6:coauthVersionMax="47" xr10:uidLastSave="{00000000-0000-0000-0000-000000000000}"/>
  <bookViews>
    <workbookView xWindow="14430" yWindow="345" windowWidth="14370" windowHeight="15225" tabRatio="593" activeTab="7" xr2:uid="{00000000-000D-0000-FFFF-FFFF00000000}"/>
  </bookViews>
  <sheets>
    <sheet name="Borrowers2" sheetId="9" r:id="rId1"/>
    <sheet name="Home" sheetId="1" r:id="rId2"/>
    <sheet name="Overview" sheetId="8" r:id="rId3"/>
    <sheet name="Savings2" sheetId="10" r:id="rId4"/>
    <sheet name="Savings" sheetId="2" r:id="rId5"/>
    <sheet name="Borrowers" sheetId="4" r:id="rId6"/>
    <sheet name="Revenues" sheetId="5" r:id="rId7"/>
    <sheet name="data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1" i="10" l="1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5" i="9"/>
  <c r="G9" i="9" s="1"/>
  <c r="G4" i="9"/>
  <c r="G3" i="9"/>
  <c r="G2" i="9"/>
  <c r="I51" i="10" l="1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9" i="9"/>
  <c r="B8" i="9"/>
  <c r="B7" i="9"/>
  <c r="B6" i="9"/>
  <c r="B3" i="9"/>
  <c r="B5" i="9"/>
  <c r="B4" i="9"/>
  <c r="B2" i="9"/>
  <c r="N34" i="10" l="1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D148" i="9" s="1"/>
  <c r="C148" i="9"/>
  <c r="H147" i="9"/>
  <c r="D147" i="9" s="1"/>
  <c r="F147" i="9"/>
  <c r="E147" i="9"/>
  <c r="C147" i="9"/>
  <c r="H146" i="9"/>
  <c r="D146" i="9" s="1"/>
  <c r="F146" i="9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H137" i="9"/>
  <c r="F137" i="9"/>
  <c r="E137" i="9"/>
  <c r="C137" i="9"/>
  <c r="F136" i="9"/>
  <c r="H136" i="9" s="1"/>
  <c r="D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H129" i="9"/>
  <c r="F129" i="9"/>
  <c r="E129" i="9"/>
  <c r="C129" i="9"/>
  <c r="F128" i="9"/>
  <c r="H128" i="9" s="1"/>
  <c r="D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H121" i="9"/>
  <c r="F121" i="9"/>
  <c r="E121" i="9"/>
  <c r="C121" i="9"/>
  <c r="F120" i="9"/>
  <c r="H120" i="9" s="1"/>
  <c r="D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H113" i="9"/>
  <c r="D113" i="9" s="1"/>
  <c r="F113" i="9"/>
  <c r="E113" i="9"/>
  <c r="C113" i="9"/>
  <c r="F112" i="9"/>
  <c r="H112" i="9" s="1"/>
  <c r="D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D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D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B54" i="2"/>
  <c r="R52" i="10" l="1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O52" i="10" l="1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L8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B52" i="2" s="1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C53" i="2" s="1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V17" i="2" l="1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B53" i="2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<sst xmlns="http://schemas.openxmlformats.org/spreadsheetml/2006/main" count="369" uniqueCount="95">
  <si>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</si>
  <si>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</si>
  <si>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</si>
  <si>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</si>
  <si>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</si>
  <si>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</si>
  <si>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</si>
  <si>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</si>
  <si>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</si>
  <si>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</si>
  <si>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</si>
  <si>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</si>
  <si>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</si>
  <si>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</si>
  <si>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</si>
  <si>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</si>
  <si>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</si>
  <si>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</si>
  <si>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</si>
  <si>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</si>
  <si>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</si>
  <si>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</si>
  <si>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</si>
  <si>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</si>
  <si>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</si>
  <si>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</si>
  <si>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</si>
  <si>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</si>
  <si>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</si>
  <si>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</si>
  <si>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</si>
  <si>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</si>
  <si>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</si>
  <si>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</si>
  <si>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</si>
  <si>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</si>
  <si>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</si>
  <si>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</si>
  <si>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</si>
  <si>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</si>
  <si>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</si>
  <si>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</si>
  <si>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</si>
  <si>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</si>
  <si>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</si>
  <si>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</si>
  <si>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</si>
  <si>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</si>
  <si>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</si>
  <si>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</si>
  <si>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</si>
  <si>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</si>
  <si>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</si>
  <si>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</si>
  <si>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</si>
  <si>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</si>
  <si>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</si>
  <si>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</si>
  <si>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</si>
  <si>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</si>
  <si>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</si>
  <si>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</si>
  <si>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</si>
  <si>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</si>
  <si>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</si>
  <si>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</si>
  <si>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</si>
  <si>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</si>
  <si>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</si>
  <si>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</si>
  <si>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</si>
  <si>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</si>
  <si>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</si>
  <si>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</si>
  <si>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</si>
  <si>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</si>
  <si>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</si>
  <si>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</si>
  <si>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</si>
  <si>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</si>
  <si>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</si>
  <si>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</si>
  <si>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</si>
  <si>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</si>
  <si>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</si>
  <si>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</si>
  <si>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</si>
  <si>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</si>
  <si>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</si>
  <si>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</si>
  <si>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</si>
  <si>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</si>
  <si>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</si>
  <si>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s</t>
  </si>
  <si>
    <t>Principal 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</si>
</sst>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6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6" borderId="42" xfId="0" applyFill="1" applyBorder="1"/>
    <xf numFmtId="0" fontId="0" fillId="0" borderId="43" xfId="0" applyBorder="1"/>
    <xf numFmtId="0" fontId="0" fillId="0" borderId="44" xfId="0" applyBorder="1"/>
    <xf numFmtId="0" fontId="0" fillId="4" borderId="23" xfId="0" applyFill="1" applyBorder="1"/>
    <xf numFmtId="164" fontId="0" fillId="0" borderId="30" xfId="0" applyNumberFormat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6" borderId="41" xfId="0" applyFill="1" applyBorder="1"/>
    <xf numFmtId="0" fontId="0" fillId="25" borderId="1" xfId="0" applyFill="1" applyBorder="1"/>
    <xf numFmtId="0" fontId="0" fillId="25" borderId="23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4" fillId="26" borderId="7" xfId="0" applyFont="1" applyFill="1" applyBorder="1"/>
    <xf numFmtId="0" fontId="4" fillId="27" borderId="7" xfId="0" applyFont="1" applyFill="1" applyBorder="1"/>
    <xf numFmtId="0" fontId="9" fillId="12" borderId="7" xfId="0" applyFont="1" applyFill="1" applyBorder="1"/>
    <xf numFmtId="0" fontId="9" fillId="12" borderId="1" xfId="0" applyFont="1" applyFill="1" applyBorder="1"/>
    <xf numFmtId="0" fontId="0" fillId="5" borderId="7" xfId="0" applyFill="1" applyBorder="1"/>
    <xf numFmtId="0" fontId="0" fillId="29" borderId="7" xfId="0" applyFill="1" applyBorder="1"/>
    <xf numFmtId="0" fontId="0" fillId="29" borderId="1" xfId="0" applyFill="1" applyBorder="1"/>
    <xf numFmtId="0" fontId="0" fillId="30" borderId="7" xfId="0" applyFill="1" applyBorder="1"/>
    <xf numFmtId="0" fontId="0" fillId="30" borderId="1" xfId="0" applyFill="1" applyBorder="1"/>
    <xf numFmtId="0" fontId="2" fillId="2" borderId="7" xfId="0" applyFont="1" applyFill="1" applyBorder="1"/>
    <xf numFmtId="0" fontId="2" fillId="2" borderId="1" xfId="0" applyFont="1" applyFill="1" applyBorder="1"/>
    <xf numFmtId="22" fontId="0" fillId="31" borderId="7" xfId="0" applyNumberFormat="1" applyFill="1" applyBorder="1"/>
    <xf numFmtId="164" fontId="0" fillId="31" borderId="7" xfId="0" applyNumberFormat="1" applyFill="1" applyBorder="1"/>
    <xf numFmtId="164" fontId="2" fillId="31" borderId="7" xfId="0" applyNumberFormat="1" applyFont="1" applyFill="1" applyBorder="1" applyAlignment="1">
      <alignment horizontal="center"/>
    </xf>
    <xf numFmtId="164" fontId="2" fillId="31" borderId="40" xfId="0" applyNumberFormat="1" applyFont="1" applyFill="1" applyBorder="1" applyAlignment="1">
      <alignment horizontal="center"/>
    </xf>
    <xf numFmtId="22" fontId="0" fillId="31" borderId="18" xfId="0" applyNumberFormat="1" applyFill="1" applyBorder="1"/>
    <xf numFmtId="164" fontId="0" fillId="31" borderId="18" xfId="0" applyNumberFormat="1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16" fontId="0" fillId="0" borderId="0" xfId="0" applyNumberFormat="1" applyFill="1" applyBorder="1" applyAlignment="1">
      <alignment horizontal="center" vertical="center"/>
    </xf>
    <xf numFmtId="16" fontId="2" fillId="0" borderId="0" xfId="0" applyNumberFormat="1" applyFont="1" applyFill="1" applyBorder="1"/>
    <xf numFmtId="0" fontId="20" fillId="0" borderId="0" xfId="0" applyFont="1" applyFill="1" applyBorder="1"/>
    <xf numFmtId="4" fontId="20" fillId="0" borderId="0" xfId="0" applyNumberFormat="1" applyFont="1" applyFill="1" applyBorder="1"/>
    <xf numFmtId="10" fontId="19" fillId="0" borderId="0" xfId="0" applyNumberFormat="1" applyFont="1" applyFill="1" applyBorder="1"/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A25" sqref="A25"/>
    </sheetView>
  </sheetViews>
  <sheetFormatPr defaultRowHeight="15" x14ac:dyDescent="0.25"/>
  <cols>
    <col min="1" max="1" width="20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1.5703125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x14ac:dyDescent="0.25">
      <c r="A1" s="118" t="s">
        <v>87</v>
      </c>
      <c r="B1" s="119"/>
      <c r="C1" s="119"/>
      <c r="D1" s="119"/>
      <c r="E1" s="120"/>
      <c r="F1" s="126" t="s">
        <v>88</v>
      </c>
      <c r="G1" s="4"/>
      <c r="H1" s="4"/>
      <c r="I1" s="97"/>
      <c r="J1" s="97"/>
      <c r="K1" s="97"/>
      <c r="L1" s="97"/>
      <c r="M1" s="97"/>
      <c r="N1" s="97"/>
      <c r="O1" s="97"/>
      <c r="P1" s="108"/>
      <c r="Q1" s="111"/>
      <c r="R1" s="111"/>
      <c r="S1" s="111"/>
      <c r="T1" s="111"/>
      <c r="U1" s="111"/>
      <c r="V1" s="111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</row>
    <row r="2" spans="1:214" x14ac:dyDescent="0.25">
      <c r="A2" s="140" t="s">
        <v>91</v>
      </c>
      <c r="B2" s="98">
        <f>B12</f>
        <v>10000</v>
      </c>
      <c r="C2" s="4"/>
      <c r="D2" s="4"/>
      <c r="E2" s="90"/>
      <c r="F2" s="140" t="s">
        <v>91</v>
      </c>
      <c r="G2" s="98">
        <f>G12</f>
        <v>20000</v>
      </c>
      <c r="H2" s="4"/>
      <c r="I2" s="97"/>
      <c r="J2" s="97"/>
      <c r="K2" s="97"/>
      <c r="L2" s="97"/>
      <c r="M2" s="97"/>
      <c r="N2" s="97"/>
      <c r="O2" s="97"/>
      <c r="P2" s="108"/>
      <c r="Q2" s="111"/>
      <c r="R2" s="111"/>
      <c r="S2" s="111"/>
      <c r="T2" s="111"/>
      <c r="U2" s="111"/>
      <c r="V2" s="111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</row>
    <row r="3" spans="1:214" x14ac:dyDescent="0.25">
      <c r="A3" s="136" t="s">
        <v>90</v>
      </c>
      <c r="B3" s="131">
        <f>SUM(B12:B62)</f>
        <v>30000</v>
      </c>
      <c r="C3" s="4"/>
      <c r="D3" s="4"/>
      <c r="E3" s="90"/>
      <c r="F3" s="136" t="s">
        <v>90</v>
      </c>
      <c r="G3" s="131">
        <f>SUM(G12:G62)</f>
        <v>22007</v>
      </c>
      <c r="H3" s="4"/>
      <c r="I3" s="97"/>
      <c r="J3" s="97"/>
      <c r="K3" s="97"/>
      <c r="L3" s="97"/>
      <c r="M3" s="97"/>
      <c r="N3" s="97"/>
      <c r="O3" s="97"/>
      <c r="P3" s="108"/>
      <c r="Q3" s="111"/>
      <c r="R3" s="111"/>
      <c r="S3" s="111"/>
      <c r="T3" s="111"/>
      <c r="U3" s="111"/>
      <c r="V3" s="111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</row>
    <row r="4" spans="1:214" x14ac:dyDescent="0.25">
      <c r="A4" s="137" t="s">
        <v>89</v>
      </c>
      <c r="B4" s="132">
        <f>SUM(C12:C48)</f>
        <v>5000</v>
      </c>
      <c r="C4" s="4"/>
      <c r="D4" s="4"/>
      <c r="E4" s="90"/>
      <c r="F4" s="137" t="s">
        <v>89</v>
      </c>
      <c r="G4" s="132">
        <f>SUM(H12:H48)</f>
        <v>7000</v>
      </c>
      <c r="H4" s="4"/>
      <c r="I4" s="97"/>
      <c r="J4" s="97"/>
      <c r="K4" s="97"/>
      <c r="L4" s="97"/>
      <c r="M4" s="97"/>
      <c r="N4" s="97"/>
      <c r="O4" s="97"/>
      <c r="P4" s="108"/>
      <c r="Q4" s="111"/>
      <c r="R4" s="111"/>
      <c r="S4" s="111"/>
      <c r="T4" s="111"/>
      <c r="U4" s="111"/>
      <c r="V4" s="111"/>
      <c r="W4" s="111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</row>
    <row r="5" spans="1:214" ht="15.75" customHeight="1" x14ac:dyDescent="0.25">
      <c r="A5" s="138" t="s">
        <v>94</v>
      </c>
      <c r="B5" s="139">
        <f>SUM(B2:B3) - B4</f>
        <v>35000</v>
      </c>
      <c r="C5" s="4"/>
      <c r="D5" s="4"/>
      <c r="E5" s="90"/>
      <c r="F5" s="138" t="s">
        <v>94</v>
      </c>
      <c r="G5" s="139">
        <f>SUM(G2:G3) - G4</f>
        <v>35007</v>
      </c>
      <c r="H5" s="4"/>
      <c r="I5" s="97"/>
      <c r="J5" s="97"/>
      <c r="K5" s="97"/>
      <c r="L5" s="97"/>
      <c r="M5" s="97"/>
      <c r="N5" s="97"/>
      <c r="O5" s="97"/>
      <c r="P5" s="108"/>
      <c r="Q5" s="111"/>
      <c r="R5" s="111"/>
      <c r="S5" s="111"/>
      <c r="T5" s="111"/>
      <c r="U5" s="111"/>
      <c r="V5" s="111"/>
      <c r="W5" s="111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</row>
    <row r="6" spans="1:214" x14ac:dyDescent="0.25">
      <c r="A6" s="141" t="s">
        <v>15</v>
      </c>
      <c r="B6" s="142">
        <f>SUM(D12:D46)</f>
        <v>6570</v>
      </c>
      <c r="C6" s="4"/>
      <c r="D6" s="4"/>
      <c r="E6" s="90"/>
      <c r="F6" s="141" t="s">
        <v>15</v>
      </c>
      <c r="G6" s="142">
        <f>SUM(I12:I46)</f>
        <v>7710</v>
      </c>
      <c r="H6" s="4"/>
      <c r="I6" s="97"/>
      <c r="J6" s="97"/>
      <c r="K6" s="97"/>
      <c r="L6" s="97"/>
      <c r="M6" s="97"/>
      <c r="N6" s="97"/>
      <c r="O6" s="97"/>
      <c r="P6" s="108"/>
      <c r="Q6" s="111"/>
      <c r="R6" s="111"/>
      <c r="S6" s="111"/>
      <c r="T6" s="111"/>
      <c r="U6" s="111"/>
      <c r="V6" s="111"/>
      <c r="W6" s="111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</row>
    <row r="7" spans="1:214" x14ac:dyDescent="0.25">
      <c r="A7" s="143" t="s">
        <v>86</v>
      </c>
      <c r="B7" s="144">
        <f>SUM(E12:E46)</f>
        <v>3870</v>
      </c>
      <c r="C7" s="4"/>
      <c r="D7" s="4"/>
      <c r="E7" s="90"/>
      <c r="F7" s="143" t="s">
        <v>86</v>
      </c>
      <c r="G7" s="144">
        <f>SUM(J12:J46)</f>
        <v>7710</v>
      </c>
      <c r="H7" s="4"/>
      <c r="I7" s="97"/>
      <c r="J7" s="97"/>
      <c r="K7" s="97"/>
      <c r="L7" s="97"/>
      <c r="M7" s="97"/>
      <c r="N7" s="97"/>
      <c r="O7" s="97"/>
      <c r="P7" s="108"/>
      <c r="Q7" s="111"/>
      <c r="R7" s="111"/>
      <c r="S7" s="111"/>
      <c r="T7" s="111"/>
      <c r="U7" s="111"/>
      <c r="V7" s="111"/>
      <c r="W7" s="111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</row>
    <row r="8" spans="1:214" x14ac:dyDescent="0.25">
      <c r="A8" s="138" t="s">
        <v>16</v>
      </c>
      <c r="B8" s="139">
        <f>B6-B7</f>
        <v>2700</v>
      </c>
      <c r="C8" s="4"/>
      <c r="D8" s="4"/>
      <c r="E8" s="90"/>
      <c r="F8" s="138" t="s">
        <v>16</v>
      </c>
      <c r="G8" s="139">
        <f>G6-G7</f>
        <v>0</v>
      </c>
      <c r="H8" s="4"/>
      <c r="I8" s="97"/>
      <c r="J8" s="97"/>
      <c r="K8" s="97"/>
      <c r="L8" s="97"/>
      <c r="M8" s="97"/>
      <c r="N8" s="97"/>
      <c r="O8" s="97"/>
      <c r="P8" s="108"/>
      <c r="Q8" s="111"/>
      <c r="R8" s="111"/>
      <c r="S8" s="111"/>
      <c r="T8" s="111"/>
      <c r="U8" s="111"/>
      <c r="V8" s="111"/>
      <c r="W8" s="111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</row>
    <row r="9" spans="1:214" x14ac:dyDescent="0.25">
      <c r="A9" s="145" t="s">
        <v>85</v>
      </c>
      <c r="B9" s="146">
        <f>B5 + B8</f>
        <v>37700</v>
      </c>
      <c r="C9" s="97"/>
      <c r="D9" s="97"/>
      <c r="E9" s="90"/>
      <c r="F9" s="145" t="s">
        <v>85</v>
      </c>
      <c r="G9" s="146">
        <f>G5 + G8</f>
        <v>35007</v>
      </c>
      <c r="H9" s="97"/>
      <c r="I9" s="97"/>
      <c r="J9" s="97"/>
      <c r="K9" s="97"/>
      <c r="L9" s="97"/>
      <c r="M9" s="97"/>
      <c r="N9" s="97"/>
      <c r="O9" s="97"/>
      <c r="P9" s="108"/>
      <c r="Q9" s="111"/>
      <c r="R9" s="111"/>
      <c r="S9" s="111"/>
      <c r="T9" s="111"/>
      <c r="U9" s="111"/>
      <c r="V9" s="111"/>
      <c r="W9" s="111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</row>
    <row r="10" spans="1:214" s="103" customFormat="1" x14ac:dyDescent="0.25">
      <c r="A10" s="124"/>
      <c r="B10" s="114"/>
      <c r="C10" s="114"/>
      <c r="D10" s="114"/>
      <c r="E10" s="125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35" t="s">
        <v>13</v>
      </c>
      <c r="B11" s="131" t="s">
        <v>90</v>
      </c>
      <c r="C11" s="132" t="s">
        <v>89</v>
      </c>
      <c r="D11" s="133" t="s">
        <v>15</v>
      </c>
      <c r="E11" s="134" t="s">
        <v>92</v>
      </c>
      <c r="F11" s="135" t="s">
        <v>13</v>
      </c>
      <c r="G11" s="131" t="s">
        <v>90</v>
      </c>
      <c r="H11" s="132" t="s">
        <v>89</v>
      </c>
      <c r="I11" s="133" t="s">
        <v>15</v>
      </c>
      <c r="J11" s="134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47">
        <v>43586.259375000001</v>
      </c>
      <c r="B12" s="4">
        <v>10000</v>
      </c>
      <c r="C12" s="5"/>
      <c r="D12" s="127"/>
      <c r="E12" s="129"/>
      <c r="F12" s="151">
        <v>43587.187615740739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47">
        <v>43600.259398148148</v>
      </c>
      <c r="B13" s="4">
        <v>0</v>
      </c>
      <c r="C13" s="4"/>
      <c r="D13" s="127">
        <v>300</v>
      </c>
      <c r="E13" s="129">
        <v>300</v>
      </c>
      <c r="F13" s="151">
        <v>43587.195613425924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47">
        <v>43615.259699074071</v>
      </c>
      <c r="B14" s="4">
        <v>0</v>
      </c>
      <c r="C14" s="4"/>
      <c r="D14" s="127"/>
      <c r="E14" s="129"/>
      <c r="F14" s="151">
        <v>43587.206620370373</v>
      </c>
      <c r="G14" s="4"/>
      <c r="H14" s="4"/>
      <c r="I14" s="97"/>
      <c r="J14" s="97"/>
      <c r="K14" s="97"/>
      <c r="L14" s="97"/>
      <c r="M14" s="97"/>
      <c r="N14" s="97" t="s">
        <v>93</v>
      </c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47">
        <v>43586.260092592594</v>
      </c>
      <c r="B15" s="4"/>
      <c r="C15" s="4"/>
      <c r="D15" s="127">
        <v>300</v>
      </c>
      <c r="E15" s="129">
        <v>300</v>
      </c>
      <c r="F15" s="151">
        <v>43587.206643518519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47">
        <v>43586.26017361111</v>
      </c>
      <c r="B16" s="4"/>
      <c r="C16" s="4"/>
      <c r="D16" s="127"/>
      <c r="E16" s="129"/>
      <c r="F16" s="151">
        <v>43587.206666666665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47">
        <v>43586.260243055556</v>
      </c>
      <c r="B17" s="4">
        <v>0</v>
      </c>
      <c r="C17" s="4">
        <v>3000</v>
      </c>
      <c r="D17" s="127"/>
      <c r="E17" s="129"/>
      <c r="F17" s="151">
        <v>43587.206666666665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47">
        <v>43586.260254629633</v>
      </c>
      <c r="B18" s="5">
        <v>0</v>
      </c>
      <c r="C18" s="4"/>
      <c r="D18" s="127">
        <v>210</v>
      </c>
      <c r="E18" s="129">
        <v>210</v>
      </c>
      <c r="F18" s="151">
        <v>43587.206712962965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47">
        <v>43586.260347222225</v>
      </c>
      <c r="B19" s="5">
        <v>0</v>
      </c>
      <c r="C19" s="4"/>
      <c r="D19" s="127"/>
      <c r="E19" s="129"/>
      <c r="F19" s="151">
        <v>43587.206747685188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47">
        <v>43586.952615740738</v>
      </c>
      <c r="B20" s="5"/>
      <c r="C20" s="4"/>
      <c r="D20" s="127">
        <v>210</v>
      </c>
      <c r="E20" s="129">
        <v>210</v>
      </c>
      <c r="F20" s="151">
        <v>43587.206805555557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47">
        <v>43586.952766203707</v>
      </c>
      <c r="B21" s="5"/>
      <c r="C21" s="4"/>
      <c r="D21" s="127"/>
      <c r="E21" s="129"/>
      <c r="F21" s="151">
        <v>43587.206817129627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47">
        <v>43586.952800925923</v>
      </c>
      <c r="B22" s="4"/>
      <c r="C22" s="4"/>
      <c r="D22" s="127">
        <v>210</v>
      </c>
      <c r="E22" s="129">
        <v>210</v>
      </c>
      <c r="F22" s="151">
        <v>43587.20684027778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47">
        <v>43586.958854166667</v>
      </c>
      <c r="B23" s="4"/>
      <c r="C23" s="4"/>
      <c r="D23" s="127"/>
      <c r="E23" s="129"/>
      <c r="F23" s="151">
        <v>43587.206863425927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47">
        <v>43586.958958333336</v>
      </c>
      <c r="B24" s="4"/>
      <c r="C24" s="4"/>
      <c r="D24" s="127">
        <v>210</v>
      </c>
      <c r="E24" s="129">
        <v>210</v>
      </c>
      <c r="F24" s="151">
        <v>43587.206886574073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47">
        <v>43586.959027777775</v>
      </c>
      <c r="B25" s="4"/>
      <c r="C25" s="4"/>
      <c r="D25" s="127"/>
      <c r="E25" s="129"/>
      <c r="F25" s="151">
        <v>43587.206932870373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47">
        <v>43586.961481481485</v>
      </c>
      <c r="B26" s="4"/>
      <c r="C26" s="4"/>
      <c r="D26" s="127">
        <v>210</v>
      </c>
      <c r="E26" s="129">
        <v>210</v>
      </c>
      <c r="F26" s="151">
        <v>43587.206944444442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47">
        <v>43586.961539351854</v>
      </c>
      <c r="B27" s="4"/>
      <c r="C27" s="4"/>
      <c r="D27" s="127"/>
      <c r="E27" s="129"/>
      <c r="F27" s="151">
        <v>43587.206979166665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48">
        <v>43586.961597222224</v>
      </c>
      <c r="B28" s="5"/>
      <c r="C28" s="4"/>
      <c r="D28" s="127">
        <v>210</v>
      </c>
      <c r="E28" s="129">
        <v>210</v>
      </c>
      <c r="F28" s="151">
        <v>43587.206979166665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49">
        <v>43586.961863425924</v>
      </c>
      <c r="B29" s="5"/>
      <c r="C29" s="4"/>
      <c r="D29" s="127"/>
      <c r="E29" s="129"/>
      <c r="F29" s="152">
        <v>43587.18712962963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49">
        <v>43586.962094907409</v>
      </c>
      <c r="B30" s="5"/>
      <c r="C30" s="4"/>
      <c r="D30" s="127">
        <v>210</v>
      </c>
      <c r="E30" s="129">
        <v>210</v>
      </c>
      <c r="F30" s="152">
        <v>43587.187175925923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49">
        <v>43586.971516203703</v>
      </c>
      <c r="B31" s="5"/>
      <c r="C31" s="4"/>
      <c r="D31" s="127"/>
      <c r="E31" s="129"/>
      <c r="F31" s="152">
        <v>43587.187476851854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49">
        <v>43586.971550925926</v>
      </c>
      <c r="B32" s="5"/>
      <c r="C32" s="4"/>
      <c r="D32" s="127">
        <v>210</v>
      </c>
      <c r="E32" s="129">
        <v>210</v>
      </c>
      <c r="F32" s="152">
        <v>43587.1875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49">
        <v>43586.971550925926</v>
      </c>
      <c r="B33" s="5"/>
      <c r="C33" s="4"/>
      <c r="D33" s="127">
        <v>210</v>
      </c>
      <c r="E33" s="129">
        <v>210</v>
      </c>
      <c r="F33" s="152">
        <v>43587.1875462963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49">
        <v>43586.971562500003</v>
      </c>
      <c r="B34" s="5"/>
      <c r="C34" s="4"/>
      <c r="D34" s="127">
        <v>210</v>
      </c>
      <c r="E34" s="129">
        <v>210</v>
      </c>
      <c r="F34" s="152"/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49">
        <v>43586.971620370372</v>
      </c>
      <c r="B35" s="5"/>
      <c r="C35" s="4"/>
      <c r="D35" s="127"/>
      <c r="E35" s="129"/>
      <c r="F35" s="117"/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49">
        <v>43587.008402777778</v>
      </c>
      <c r="B36" s="5"/>
      <c r="C36" s="4"/>
      <c r="D36" s="127">
        <v>210</v>
      </c>
      <c r="E36" s="129">
        <v>210</v>
      </c>
      <c r="F36" s="117"/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49">
        <v>43587.178761574076</v>
      </c>
      <c r="B37" s="5"/>
      <c r="C37" s="4"/>
      <c r="D37" s="127"/>
      <c r="E37" s="129"/>
      <c r="F37" s="117"/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49">
        <v>43587.186921296299</v>
      </c>
      <c r="B38" s="5"/>
      <c r="C38" s="4"/>
      <c r="D38" s="127">
        <v>210</v>
      </c>
      <c r="E38" s="129">
        <v>210</v>
      </c>
      <c r="F38" s="117"/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49">
        <v>43587.187326388892</v>
      </c>
      <c r="B39" s="5">
        <v>0</v>
      </c>
      <c r="C39" s="4">
        <v>2000</v>
      </c>
      <c r="D39" s="127"/>
      <c r="E39" s="129"/>
      <c r="F39" s="117"/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49">
        <v>43587.187372685185</v>
      </c>
      <c r="B40" s="5">
        <v>0</v>
      </c>
      <c r="C40" s="4"/>
      <c r="D40" s="127"/>
      <c r="E40" s="129"/>
      <c r="F40" s="117"/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49">
        <v>45708.459594907406</v>
      </c>
      <c r="B41" s="5">
        <v>20000</v>
      </c>
      <c r="C41" s="4"/>
      <c r="D41" s="127"/>
      <c r="E41" s="129"/>
      <c r="F41" s="122"/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49">
        <v>45708.45994212963</v>
      </c>
      <c r="B42" s="5">
        <v>0</v>
      </c>
      <c r="C42" s="4"/>
      <c r="D42" s="127">
        <v>750</v>
      </c>
      <c r="E42" s="129">
        <v>750</v>
      </c>
      <c r="F42" s="117"/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49">
        <v>45708.459988425922</v>
      </c>
      <c r="B43" s="5">
        <v>0</v>
      </c>
      <c r="C43" s="4"/>
      <c r="D43" s="127">
        <v>750</v>
      </c>
      <c r="E43" s="129"/>
      <c r="F43" s="117"/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49">
        <v>45708.460011574076</v>
      </c>
      <c r="B44" s="5">
        <v>0</v>
      </c>
      <c r="C44" s="4"/>
      <c r="D44" s="127">
        <v>750</v>
      </c>
      <c r="E44" s="129"/>
      <c r="F44" s="117"/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50">
        <v>45708.460104166668</v>
      </c>
      <c r="B45" s="121">
        <v>0</v>
      </c>
      <c r="C45" s="94"/>
      <c r="D45" s="128">
        <v>1200</v>
      </c>
      <c r="E45" s="130"/>
      <c r="F45" s="117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23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45</v>
      </c>
      <c r="D100">
        <f>SUM(E100,H100)</f>
        <v>29633</v>
      </c>
      <c r="E100">
        <f>SUM(B12:B95)</f>
        <v>30000</v>
      </c>
      <c r="F100">
        <f>SUM(C12:C95)</f>
        <v>5003</v>
      </c>
      <c r="G100">
        <v>5370</v>
      </c>
      <c r="H100">
        <f>F100-G100</f>
        <v>-367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17</v>
      </c>
      <c r="D101">
        <f>SUM(E101,H101)</f>
        <v>977121.42216435191</v>
      </c>
      <c r="E101">
        <f>SUM(F12:F95)</f>
        <v>958924.42216435191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0"/>
        <v>77</v>
      </c>
      <c r="E109">
        <f>SUM(AL3:AL95)</f>
        <v>38</v>
      </c>
      <c r="F109">
        <f>SUM(AM3:AM95)</f>
        <v>39</v>
      </c>
      <c r="H109">
        <f t="shared" si="1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0"/>
        <v>85</v>
      </c>
      <c r="E110">
        <f>SUM(AP3:AP95)</f>
        <v>42</v>
      </c>
      <c r="F110">
        <f>SUM(AQ3:AQ95)</f>
        <v>43</v>
      </c>
      <c r="H110">
        <f t="shared" si="1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0"/>
        <v>93</v>
      </c>
      <c r="E111">
        <f>SUM(AT3:AT95)</f>
        <v>46</v>
      </c>
      <c r="F111">
        <f>SUM(AU3:AU95)</f>
        <v>47</v>
      </c>
      <c r="H111">
        <f t="shared" si="1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0"/>
        <v>101</v>
      </c>
      <c r="E112">
        <f>SUM(AX3:AX95)</f>
        <v>50</v>
      </c>
      <c r="F112">
        <f>SUM(AY3:AY95)</f>
        <v>51</v>
      </c>
      <c r="H112">
        <f t="shared" si="1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0"/>
        <v>109</v>
      </c>
      <c r="E113">
        <f>SUM(BB3:BB95)</f>
        <v>54</v>
      </c>
      <c r="F113">
        <f>SUM(BC3:BC95)</f>
        <v>55</v>
      </c>
      <c r="H113">
        <f t="shared" si="1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0"/>
        <v>117</v>
      </c>
      <c r="E114">
        <f>SUM(BF3:BF95)</f>
        <v>58</v>
      </c>
      <c r="F114">
        <f>SUM(BG3:BG95)</f>
        <v>59</v>
      </c>
      <c r="H114">
        <f t="shared" si="1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0"/>
        <v>125</v>
      </c>
      <c r="E115">
        <f>SUM(BJ3:BJ95)</f>
        <v>62</v>
      </c>
      <c r="F115">
        <f>SUM(BK3:BK95)</f>
        <v>63</v>
      </c>
      <c r="H115">
        <f t="shared" si="1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0"/>
        <v>133</v>
      </c>
      <c r="E116">
        <f>SUM(BN3:BN95)</f>
        <v>66</v>
      </c>
      <c r="F116">
        <f>SUM(BO3:BO95)</f>
        <v>67</v>
      </c>
      <c r="H116">
        <f t="shared" si="1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0"/>
        <v>141</v>
      </c>
      <c r="E117">
        <f>SUM(BR3:BR95)</f>
        <v>70</v>
      </c>
      <c r="F117">
        <f>SUM(BS3:BS95)</f>
        <v>71</v>
      </c>
      <c r="H117">
        <f t="shared" si="1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0"/>
        <v>149</v>
      </c>
      <c r="E118">
        <f>SUM(BV3:BV95)</f>
        <v>74</v>
      </c>
      <c r="F118">
        <f>SUM(BW3:BW95)</f>
        <v>75</v>
      </c>
      <c r="H118">
        <f t="shared" si="1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0"/>
        <v>157</v>
      </c>
      <c r="E119">
        <f>SUM(BZ3:BZ95)</f>
        <v>78</v>
      </c>
      <c r="F119">
        <f>SUM(CA3:CA95)</f>
        <v>79</v>
      </c>
      <c r="H119">
        <f t="shared" si="1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0"/>
        <v>165</v>
      </c>
      <c r="E120">
        <f>SUM(CD3:CD95)</f>
        <v>82</v>
      </c>
      <c r="F120">
        <f>SUM(CE3:CE95)</f>
        <v>83</v>
      </c>
      <c r="H120">
        <f t="shared" si="1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0"/>
        <v>173</v>
      </c>
      <c r="E121">
        <f>SUM(CH3:CH95)</f>
        <v>86</v>
      </c>
      <c r="F121">
        <f>SUM(CI3:CI95)</f>
        <v>87</v>
      </c>
      <c r="H121">
        <f t="shared" si="1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0"/>
        <v>181</v>
      </c>
      <c r="E122">
        <f>SUM(CL3:CL95)</f>
        <v>90</v>
      </c>
      <c r="F122">
        <f>SUM(CM3:CM95)</f>
        <v>91</v>
      </c>
      <c r="H122">
        <f t="shared" si="1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0"/>
        <v>189</v>
      </c>
      <c r="E123">
        <f>SUM(CP3:CP95)</f>
        <v>94</v>
      </c>
      <c r="F123">
        <f>SUM(CQ3:CQ95)</f>
        <v>95</v>
      </c>
      <c r="H123">
        <f t="shared" si="1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0"/>
        <v>197</v>
      </c>
      <c r="E124">
        <f>SUM(CT3:CT95)</f>
        <v>98</v>
      </c>
      <c r="F124">
        <f>SUM(CU3:CU95)</f>
        <v>99</v>
      </c>
      <c r="H124">
        <f t="shared" si="1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0"/>
        <v>205</v>
      </c>
      <c r="E125">
        <f>SUM(CX3:CX95)</f>
        <v>102</v>
      </c>
      <c r="F125">
        <f>SUM(CY3:CY95)</f>
        <v>103</v>
      </c>
      <c r="H125">
        <f t="shared" si="1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0"/>
        <v>213</v>
      </c>
      <c r="E126">
        <f>SUM(DB3:DB95)</f>
        <v>106</v>
      </c>
      <c r="F126">
        <f>SUM(DC3:DC95)</f>
        <v>107</v>
      </c>
      <c r="H126">
        <f t="shared" si="1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0"/>
        <v>221</v>
      </c>
      <c r="E127">
        <f>SUM(DF3:DF95)</f>
        <v>110</v>
      </c>
      <c r="F127">
        <f>SUM(DG3:DG95)</f>
        <v>111</v>
      </c>
      <c r="H127">
        <f t="shared" si="1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0"/>
        <v>229</v>
      </c>
      <c r="E128">
        <f>SUM(DJ3:DJ95)</f>
        <v>114</v>
      </c>
      <c r="F128">
        <f>SUM(DK3:DK95)</f>
        <v>115</v>
      </c>
      <c r="H128">
        <f t="shared" si="1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0"/>
        <v>237</v>
      </c>
      <c r="E129">
        <f>SUM(DN3:DN95)</f>
        <v>118</v>
      </c>
      <c r="F129">
        <f>SUM(DO3:DO95)</f>
        <v>119</v>
      </c>
      <c r="H129">
        <f t="shared" si="1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0"/>
        <v>245</v>
      </c>
      <c r="E130">
        <f>SUM(DR3:DR95)</f>
        <v>122</v>
      </c>
      <c r="F130">
        <f>SUM(DS3:DS95)</f>
        <v>123</v>
      </c>
      <c r="H130">
        <f t="shared" si="1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0"/>
        <v>253</v>
      </c>
      <c r="E131">
        <f>SUM(DV3:DV95)</f>
        <v>126</v>
      </c>
      <c r="F131">
        <f>SUM(DW3:DW95)</f>
        <v>127</v>
      </c>
      <c r="H131">
        <f t="shared" ref="H131:H148" si="2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0"/>
        <v>257</v>
      </c>
      <c r="E132">
        <f>SUM(DX3:DX95)</f>
        <v>128</v>
      </c>
      <c r="F132">
        <f>SUM(DY3:DY95)</f>
        <v>129</v>
      </c>
      <c r="H132">
        <f t="shared" si="2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0"/>
        <v>269</v>
      </c>
      <c r="E133">
        <f>SUM(ED3:ED95)</f>
        <v>134</v>
      </c>
      <c r="F133">
        <f>SUM(EE3:EE95)</f>
        <v>135</v>
      </c>
      <c r="H133">
        <f t="shared" si="2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0"/>
        <v>277</v>
      </c>
      <c r="E134">
        <f>SUM(EH3:EH95)</f>
        <v>138</v>
      </c>
      <c r="F134">
        <f>SUM(EI3:EI95)</f>
        <v>139</v>
      </c>
      <c r="H134">
        <f t="shared" si="2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0"/>
        <v>285</v>
      </c>
      <c r="E135">
        <f>SUM(EL3:EL95)</f>
        <v>142</v>
      </c>
      <c r="F135">
        <f>SUM(EM3:EM95)</f>
        <v>143</v>
      </c>
      <c r="H135">
        <f t="shared" si="2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0"/>
        <v>293</v>
      </c>
      <c r="E136">
        <f>SUM(EP3:EP95)</f>
        <v>146</v>
      </c>
      <c r="F136">
        <f>SUM(EQ3:EQ95)</f>
        <v>147</v>
      </c>
      <c r="H136">
        <f t="shared" si="2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0"/>
        <v>301</v>
      </c>
      <c r="E137">
        <f>SUM(ET3:ET95)</f>
        <v>150</v>
      </c>
      <c r="F137">
        <f>SUM(EU3:EU95)</f>
        <v>151</v>
      </c>
      <c r="H137">
        <f t="shared" si="2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0"/>
        <v>309</v>
      </c>
      <c r="E138">
        <f>SUM(EX3:EX95)</f>
        <v>154</v>
      </c>
      <c r="F138">
        <f>SUM(EY3:EY95)</f>
        <v>155</v>
      </c>
      <c r="H138">
        <f t="shared" si="2"/>
        <v>155</v>
      </c>
    </row>
    <row r="139" spans="3:214" x14ac:dyDescent="0.25">
      <c r="C139">
        <f>COUNTA(FA1:FA95)</f>
        <v>1</v>
      </c>
      <c r="D139">
        <f t="shared" si="0"/>
        <v>317</v>
      </c>
      <c r="E139">
        <f>SUM(FB3:FB95)</f>
        <v>158</v>
      </c>
      <c r="F139">
        <f>SUM(FC3:FC95)</f>
        <v>159</v>
      </c>
      <c r="H139">
        <f t="shared" si="2"/>
        <v>159</v>
      </c>
    </row>
    <row r="140" spans="3:214" x14ac:dyDescent="0.25">
      <c r="C140">
        <f>COUNTA(FE1:FE95)</f>
        <v>1</v>
      </c>
      <c r="D140">
        <f t="shared" si="0"/>
        <v>325</v>
      </c>
      <c r="E140">
        <f>SUM(FF3:FF95)</f>
        <v>162</v>
      </c>
      <c r="F140">
        <f>SUM(FG3:FG95)</f>
        <v>163</v>
      </c>
      <c r="H140">
        <f t="shared" si="2"/>
        <v>163</v>
      </c>
    </row>
    <row r="141" spans="3:214" x14ac:dyDescent="0.25">
      <c r="C141">
        <f>COUNTA(FI1:FI95)</f>
        <v>1</v>
      </c>
      <c r="D141">
        <f t="shared" si="0"/>
        <v>333</v>
      </c>
      <c r="E141">
        <f>SUM(FJ3:FJ95)</f>
        <v>166</v>
      </c>
      <c r="F141">
        <f>SUM(FK3:FK95)</f>
        <v>167</v>
      </c>
      <c r="H141">
        <f t="shared" si="2"/>
        <v>167</v>
      </c>
    </row>
    <row r="142" spans="3:214" x14ac:dyDescent="0.25">
      <c r="C142">
        <f>COUNTA(FM1:FM95)</f>
        <v>1</v>
      </c>
      <c r="D142">
        <f t="shared" si="0"/>
        <v>341</v>
      </c>
      <c r="E142">
        <f>SUM(FN3:FN95)</f>
        <v>170</v>
      </c>
      <c r="F142">
        <f>SUM(FO3:FO95)</f>
        <v>171</v>
      </c>
      <c r="H142">
        <f t="shared" si="2"/>
        <v>171</v>
      </c>
    </row>
    <row r="143" spans="3:214" x14ac:dyDescent="0.25">
      <c r="C143">
        <f>COUNTA(FQ1:FQ95)</f>
        <v>1</v>
      </c>
      <c r="D143">
        <f t="shared" si="0"/>
        <v>349</v>
      </c>
      <c r="E143">
        <f>SUM(FR3:FR95)</f>
        <v>174</v>
      </c>
      <c r="F143">
        <f>SUM(FS3:FS95)</f>
        <v>175</v>
      </c>
      <c r="H143">
        <f t="shared" si="2"/>
        <v>175</v>
      </c>
    </row>
    <row r="144" spans="3:214" x14ac:dyDescent="0.25">
      <c r="C144">
        <f>COUNTA(FU1:FU95)</f>
        <v>1</v>
      </c>
      <c r="D144">
        <f t="shared" si="0"/>
        <v>357</v>
      </c>
      <c r="E144">
        <f>SUM(FV3:FV95)</f>
        <v>178</v>
      </c>
      <c r="F144">
        <f>SUM(FW3:FW95)</f>
        <v>179</v>
      </c>
      <c r="H144">
        <f t="shared" si="2"/>
        <v>179</v>
      </c>
    </row>
    <row r="145" spans="3:8" x14ac:dyDescent="0.25">
      <c r="C145">
        <f>COUNTA(FY1:FY95)</f>
        <v>1</v>
      </c>
      <c r="D145">
        <f t="shared" si="0"/>
        <v>365</v>
      </c>
      <c r="E145">
        <f>SUM(FZ3:FZ95)</f>
        <v>182</v>
      </c>
      <c r="F145">
        <f>SUM(GA3:GA95)</f>
        <v>183</v>
      </c>
      <c r="H145">
        <f t="shared" si="2"/>
        <v>183</v>
      </c>
    </row>
    <row r="146" spans="3:8" x14ac:dyDescent="0.25">
      <c r="C146">
        <f>COUNTA(GC1:GC95)</f>
        <v>1</v>
      </c>
      <c r="D146">
        <f t="shared" si="0"/>
        <v>373</v>
      </c>
      <c r="E146">
        <f>SUM(GD3:GD95)</f>
        <v>186</v>
      </c>
      <c r="F146">
        <f>SUM(GE3:GE95)</f>
        <v>187</v>
      </c>
      <c r="H146">
        <f t="shared" si="2"/>
        <v>187</v>
      </c>
    </row>
    <row r="147" spans="3:8" x14ac:dyDescent="0.25">
      <c r="C147">
        <f>COUNTA(GG1:GG95)</f>
        <v>1</v>
      </c>
      <c r="D147">
        <f t="shared" si="0"/>
        <v>381</v>
      </c>
      <c r="E147">
        <f>SUM(GH3:GH95)</f>
        <v>190</v>
      </c>
      <c r="F147">
        <f>SUM(GI3:GI95)</f>
        <v>191</v>
      </c>
      <c r="H147">
        <f t="shared" si="2"/>
        <v>191</v>
      </c>
    </row>
    <row r="148" spans="3:8" x14ac:dyDescent="0.25">
      <c r="C148">
        <f>COUNTA(GK1:GK95)</f>
        <v>1</v>
      </c>
      <c r="D148">
        <f t="shared" si="0"/>
        <v>389</v>
      </c>
      <c r="E148">
        <f>SUM(GL3:GL95)</f>
        <v>194</v>
      </c>
      <c r="F148">
        <f>SUM(GM3:GM95)</f>
        <v>195</v>
      </c>
      <c r="H148">
        <f t="shared" si="2"/>
        <v>195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opLeftCell="A4" workbookViewId="0">
      <selection activeCell="S26" sqref="S26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164" t="s">
        <v>79</v>
      </c>
      <c r="G2" s="164"/>
      <c r="H2" s="164"/>
      <c r="I2" s="164"/>
      <c r="J2" s="164"/>
      <c r="K2" s="14"/>
      <c r="L2" s="14"/>
      <c r="M2" s="30"/>
      <c r="O2" s="30"/>
      <c r="P2" s="32"/>
      <c r="Q2" s="32"/>
      <c r="R2" s="197" t="s">
        <v>80</v>
      </c>
      <c r="S2" s="197"/>
      <c r="T2" s="197"/>
      <c r="U2" s="197"/>
      <c r="V2" s="197"/>
      <c r="W2" s="197"/>
      <c r="X2" s="32"/>
      <c r="Y2" s="32"/>
      <c r="Z2" s="30"/>
      <c r="AB2" s="73"/>
      <c r="AC2" s="32"/>
      <c r="AD2" s="32"/>
      <c r="AE2" s="197" t="s">
        <v>70</v>
      </c>
      <c r="AF2" s="197"/>
      <c r="AG2" s="197"/>
      <c r="AH2" s="197"/>
      <c r="AI2" s="197"/>
      <c r="AJ2" s="197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164"/>
      <c r="G3" s="164"/>
      <c r="H3" s="164"/>
      <c r="I3" s="164"/>
      <c r="J3" s="164"/>
      <c r="K3" s="14"/>
      <c r="L3" s="14"/>
      <c r="M3" s="30"/>
      <c r="O3" s="30"/>
      <c r="P3" s="32"/>
      <c r="Q3" s="32"/>
      <c r="R3" s="199"/>
      <c r="S3" s="199"/>
      <c r="T3" s="199"/>
      <c r="U3" s="199"/>
      <c r="V3" s="199"/>
      <c r="W3" s="199"/>
      <c r="X3" s="32"/>
      <c r="Y3" s="32"/>
      <c r="Z3" s="30"/>
      <c r="AB3" s="73"/>
      <c r="AC3" s="32"/>
      <c r="AD3" s="32"/>
      <c r="AE3" s="198"/>
      <c r="AF3" s="198"/>
      <c r="AG3" s="198"/>
      <c r="AH3" s="198"/>
      <c r="AI3" s="198"/>
      <c r="AJ3" s="198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165">
        <f>U4+AH6+AH10</f>
        <v>2223000</v>
      </c>
      <c r="G4" s="166"/>
      <c r="H4" s="166"/>
      <c r="I4" s="166"/>
      <c r="J4" s="167"/>
      <c r="L4" s="14"/>
      <c r="M4" s="30"/>
      <c r="O4" s="30"/>
      <c r="P4" s="32"/>
      <c r="Q4" s="177" t="s">
        <v>59</v>
      </c>
      <c r="R4" s="178"/>
      <c r="S4" s="178"/>
      <c r="T4" s="179"/>
      <c r="U4" s="183">
        <f>U7 +U10</f>
        <v>1143000</v>
      </c>
      <c r="V4" s="184"/>
      <c r="W4" s="184"/>
      <c r="X4" s="185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168"/>
      <c r="G5" s="169"/>
      <c r="H5" s="169"/>
      <c r="I5" s="169"/>
      <c r="J5" s="170"/>
      <c r="K5" s="14"/>
      <c r="L5" s="14"/>
      <c r="M5" s="30"/>
      <c r="O5" s="30"/>
      <c r="P5" s="32"/>
      <c r="Q5" s="180"/>
      <c r="R5" s="181"/>
      <c r="S5" s="181"/>
      <c r="T5" s="182"/>
      <c r="U5" s="186"/>
      <c r="V5" s="187"/>
      <c r="W5" s="187"/>
      <c r="X5" s="188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196"/>
      <c r="W6" s="195"/>
      <c r="X6" s="32"/>
      <c r="Y6" s="32"/>
      <c r="Z6" s="30"/>
      <c r="AB6" s="73"/>
      <c r="AC6" s="32"/>
      <c r="AD6" s="177" t="s">
        <v>69</v>
      </c>
      <c r="AE6" s="178"/>
      <c r="AF6" s="178"/>
      <c r="AG6" s="179"/>
      <c r="AH6" s="183">
        <v>980000</v>
      </c>
      <c r="AI6" s="184"/>
      <c r="AJ6" s="184"/>
      <c r="AK6" s="185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89" t="s">
        <v>54</v>
      </c>
      <c r="R7" s="190"/>
      <c r="S7" s="190"/>
      <c r="T7" s="191"/>
      <c r="U7" s="183">
        <v>243000</v>
      </c>
      <c r="V7" s="184"/>
      <c r="W7" s="184"/>
      <c r="X7" s="185"/>
      <c r="Y7" s="32"/>
      <c r="Z7" s="30"/>
      <c r="AB7" s="73"/>
      <c r="AC7" s="32"/>
      <c r="AD7" s="180"/>
      <c r="AE7" s="181"/>
      <c r="AF7" s="181"/>
      <c r="AG7" s="182"/>
      <c r="AH7" s="186"/>
      <c r="AI7" s="187"/>
      <c r="AJ7" s="187"/>
      <c r="AK7" s="188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92"/>
      <c r="R8" s="193"/>
      <c r="S8" s="193"/>
      <c r="T8" s="194"/>
      <c r="U8" s="186"/>
      <c r="V8" s="187"/>
      <c r="W8" s="187"/>
      <c r="X8" s="188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195"/>
      <c r="W9" s="195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89" t="s">
        <v>55</v>
      </c>
      <c r="R10" s="190"/>
      <c r="S10" s="190"/>
      <c r="T10" s="191"/>
      <c r="U10" s="183">
        <f>SUM(U13,U15,U17)</f>
        <v>900000</v>
      </c>
      <c r="V10" s="184"/>
      <c r="W10" s="184"/>
      <c r="X10" s="185"/>
      <c r="Y10" s="32"/>
      <c r="Z10" s="30"/>
      <c r="AB10" s="73"/>
      <c r="AC10" s="32"/>
      <c r="AD10" s="200" t="s">
        <v>77</v>
      </c>
      <c r="AE10" s="201"/>
      <c r="AF10" s="201"/>
      <c r="AG10" s="202"/>
      <c r="AH10" s="183">
        <v>100000</v>
      </c>
      <c r="AI10" s="184"/>
      <c r="AJ10" s="184"/>
      <c r="AK10" s="185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92"/>
      <c r="R11" s="193"/>
      <c r="S11" s="193"/>
      <c r="T11" s="194"/>
      <c r="U11" s="186"/>
      <c r="V11" s="187"/>
      <c r="W11" s="187"/>
      <c r="X11" s="188"/>
      <c r="Y11" s="32"/>
      <c r="Z11" s="30"/>
      <c r="AB11" s="73"/>
      <c r="AC11" s="32"/>
      <c r="AD11" s="203"/>
      <c r="AE11" s="204"/>
      <c r="AF11" s="204"/>
      <c r="AG11" s="205"/>
      <c r="AH11" s="209"/>
      <c r="AI11" s="210"/>
      <c r="AJ11" s="210"/>
      <c r="AK11" s="211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06"/>
      <c r="AE12" s="207"/>
      <c r="AF12" s="207"/>
      <c r="AG12" s="208"/>
      <c r="AH12" s="186"/>
      <c r="AI12" s="187"/>
      <c r="AJ12" s="187"/>
      <c r="AK12" s="188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71" t="s">
        <v>58</v>
      </c>
      <c r="S13" s="172"/>
      <c r="T13" s="173"/>
      <c r="U13" s="174">
        <v>300000</v>
      </c>
      <c r="V13" s="175"/>
      <c r="W13" s="176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71" t="s">
        <v>56</v>
      </c>
      <c r="S15" s="172"/>
      <c r="T15" s="173"/>
      <c r="U15" s="174">
        <v>300000</v>
      </c>
      <c r="V15" s="175"/>
      <c r="W15" s="176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71" t="s">
        <v>57</v>
      </c>
      <c r="S17" s="172"/>
      <c r="T17" s="173"/>
      <c r="U17" s="174">
        <v>300000</v>
      </c>
      <c r="V17" s="175"/>
      <c r="W17" s="176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topLeftCell="A4" workbookViewId="0">
      <selection activeCell="C35" sqref="C35:C36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220" t="s">
        <v>64</v>
      </c>
      <c r="B1" s="221"/>
      <c r="C1" s="221"/>
      <c r="D1" s="221"/>
      <c r="E1" s="221"/>
      <c r="F1" s="221"/>
      <c r="G1" s="221"/>
      <c r="H1" s="221"/>
      <c r="I1" s="222"/>
    </row>
    <row r="2" spans="1:9" ht="15.75" thickBot="1" x14ac:dyDescent="0.3">
      <c r="A2" s="223"/>
      <c r="B2" s="224"/>
      <c r="C2" s="224"/>
      <c r="D2" s="224"/>
      <c r="E2" s="224"/>
      <c r="F2" s="225"/>
      <c r="G2" s="225"/>
      <c r="H2" s="225"/>
      <c r="I2" s="226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227" t="s">
        <v>78</v>
      </c>
      <c r="G3" s="228"/>
      <c r="H3" s="228"/>
      <c r="I3" s="229"/>
    </row>
    <row r="4" spans="1:9" ht="15.75" thickBot="1" x14ac:dyDescent="0.3">
      <c r="A4" s="44" t="str">
        <f>Savings!C2</f>
        <v>ken</v>
      </c>
      <c r="B4" s="70">
        <f>Savings!C16</f>
        <v>0.16427671426858256</v>
      </c>
      <c r="C4" s="71">
        <f>Savings!C17</f>
        <v>138096.75569916991</v>
      </c>
      <c r="D4" s="44">
        <v>200</v>
      </c>
      <c r="E4" s="75">
        <f>C4-D4</f>
        <v>137896.75569916991</v>
      </c>
      <c r="F4" s="230"/>
      <c r="G4" s="231"/>
      <c r="H4" s="231"/>
      <c r="I4" s="232"/>
    </row>
    <row r="5" spans="1:9" x14ac:dyDescent="0.25">
      <c r="A5" s="44" t="str">
        <f>Savings!D2</f>
        <v>gian</v>
      </c>
      <c r="B5" s="70">
        <f>Savings!D16</f>
        <v>1.112153355598304E-2</v>
      </c>
      <c r="C5" s="71">
        <f>Savings!D17</f>
        <v>9349.1503608338026</v>
      </c>
      <c r="D5" s="44">
        <v>200</v>
      </c>
      <c r="E5" s="75">
        <f t="shared" ref="E5:E28" si="0">C5-D5</f>
        <v>9149.1503608338026</v>
      </c>
      <c r="F5" s="233" t="s">
        <v>71</v>
      </c>
      <c r="G5" s="234"/>
      <c r="H5" s="234"/>
      <c r="I5" s="235"/>
    </row>
    <row r="6" spans="1:9" ht="15.75" thickBot="1" x14ac:dyDescent="0.3">
      <c r="A6" s="44" t="str">
        <f>Savings!E2</f>
        <v>donque</v>
      </c>
      <c r="B6" s="70">
        <f>Savings!E16</f>
        <v>3.1343997082445556E-2</v>
      </c>
      <c r="C6" s="71">
        <f>Savings!E17</f>
        <v>26348.860987401618</v>
      </c>
      <c r="D6" s="44">
        <v>200</v>
      </c>
      <c r="E6" s="75">
        <f t="shared" si="0"/>
        <v>26148.860987401618</v>
      </c>
      <c r="F6" s="236"/>
      <c r="G6" s="237"/>
      <c r="H6" s="237"/>
      <c r="I6" s="238"/>
    </row>
    <row r="7" spans="1:9" x14ac:dyDescent="0.25">
      <c r="A7" s="44" t="str">
        <f>Savings!F2</f>
        <v>bernard</v>
      </c>
      <c r="B7" s="70">
        <f>Savings!F16</f>
        <v>5.5166858596627837E-2</v>
      </c>
      <c r="C7" s="71">
        <f>Savings!F17</f>
        <v>46375.192176376244</v>
      </c>
      <c r="D7" s="44">
        <v>100</v>
      </c>
      <c r="E7" s="71">
        <f t="shared" si="0"/>
        <v>46275.192176376244</v>
      </c>
      <c r="F7" s="76"/>
      <c r="G7" s="76"/>
      <c r="H7" s="76"/>
      <c r="I7" s="76"/>
    </row>
    <row r="8" spans="1:9" x14ac:dyDescent="0.25">
      <c r="A8" s="44" t="str">
        <f>Savings!G2</f>
        <v>gina</v>
      </c>
      <c r="B8" s="70">
        <f>Savings!G16</f>
        <v>6.1183767051238458E-2</v>
      </c>
      <c r="C8" s="71">
        <f>Savings!G17</f>
        <v>51433.21601511784</v>
      </c>
      <c r="D8" s="44">
        <v>200</v>
      </c>
      <c r="E8" s="71">
        <f t="shared" si="0"/>
        <v>51233.21601511784</v>
      </c>
      <c r="F8" s="76"/>
      <c r="G8" s="76"/>
      <c r="H8" s="76"/>
      <c r="I8" s="76"/>
    </row>
    <row r="9" spans="1:9" x14ac:dyDescent="0.25">
      <c r="A9" s="44" t="str">
        <f>Savings!H2</f>
        <v>rowel</v>
      </c>
      <c r="B9" s="70">
        <f>Savings!H16</f>
        <v>3.7053708081373926E-2</v>
      </c>
      <c r="C9" s="71">
        <f>Savings!H17</f>
        <v>31148.643892985769</v>
      </c>
      <c r="D9" s="44">
        <v>200</v>
      </c>
      <c r="E9" s="71">
        <f t="shared" si="0"/>
        <v>30948.643892985769</v>
      </c>
      <c r="F9" s="76"/>
      <c r="G9" s="76"/>
      <c r="H9" s="76"/>
      <c r="I9" s="76"/>
    </row>
    <row r="10" spans="1:9" x14ac:dyDescent="0.25">
      <c r="A10" s="44" t="str">
        <f>Savings!I2</f>
        <v>leo j.</v>
      </c>
      <c r="B10" s="70">
        <f>Savings!I16</f>
        <v>0.10416567416151797</v>
      </c>
      <c r="C10" s="71">
        <f>Savings!I17</f>
        <v>87565.311498767653</v>
      </c>
      <c r="D10" s="44">
        <v>100</v>
      </c>
      <c r="E10" s="71">
        <f t="shared" si="0"/>
        <v>87465.311498767653</v>
      </c>
      <c r="F10" s="76"/>
      <c r="G10" s="76"/>
      <c r="H10" s="76"/>
      <c r="I10" s="76"/>
    </row>
    <row r="11" spans="1:9" x14ac:dyDescent="0.25">
      <c r="A11" s="44" t="str">
        <f>Savings!J2</f>
        <v>emman r.</v>
      </c>
      <c r="B11" s="70">
        <f>Savings!J16</f>
        <v>2.6470454559144271E-3</v>
      </c>
      <c r="C11" s="71">
        <f>Savings!J17</f>
        <v>2225.1990568326246</v>
      </c>
      <c r="D11" s="44">
        <v>200</v>
      </c>
      <c r="E11" s="71">
        <f t="shared" si="0"/>
        <v>2025.1990568326246</v>
      </c>
      <c r="F11" s="76"/>
      <c r="G11" s="76"/>
      <c r="H11" s="76"/>
      <c r="I11" s="76"/>
    </row>
    <row r="12" spans="1:9" x14ac:dyDescent="0.25">
      <c r="A12" s="44" t="str">
        <f>Savings!K2</f>
        <v>jeff</v>
      </c>
      <c r="B12" s="70">
        <f>Savings!K16</f>
        <v>9.161438560235069E-2</v>
      </c>
      <c r="C12" s="71">
        <f>Savings!K17</f>
        <v>77014.259040832068</v>
      </c>
      <c r="D12" s="44">
        <v>100</v>
      </c>
      <c r="E12" s="71">
        <f t="shared" si="0"/>
        <v>76914.259040832068</v>
      </c>
      <c r="F12" s="76"/>
      <c r="G12" s="76"/>
      <c r="H12" s="76"/>
      <c r="I12" s="76"/>
    </row>
    <row r="13" spans="1:9" ht="15.75" thickBot="1" x14ac:dyDescent="0.3">
      <c r="A13" s="44" t="str">
        <f>Savings!L2</f>
        <v>rubin</v>
      </c>
      <c r="B13" s="70">
        <f>Savings!L16</f>
        <v>2.714125114240765E-2</v>
      </c>
      <c r="C13" s="71">
        <f>Savings!L17</f>
        <v>22815.885654097856</v>
      </c>
      <c r="D13" s="44">
        <v>200</v>
      </c>
      <c r="E13" s="71">
        <f t="shared" si="0"/>
        <v>22615.885654097856</v>
      </c>
      <c r="F13" s="76"/>
      <c r="G13" s="76"/>
      <c r="H13" s="76"/>
      <c r="I13" s="76"/>
    </row>
    <row r="14" spans="1:9" x14ac:dyDescent="0.25">
      <c r="A14" s="44" t="str">
        <f>Savings!M2</f>
        <v>rommel c.</v>
      </c>
      <c r="B14" s="70">
        <f>Savings!M16</f>
        <v>2.7379452378097094E-2</v>
      </c>
      <c r="C14" s="71">
        <f>Savings!M17</f>
        <v>23016.125949861649</v>
      </c>
      <c r="D14" s="44">
        <v>200</v>
      </c>
      <c r="E14" s="75">
        <f t="shared" si="0"/>
        <v>22816.125949861649</v>
      </c>
      <c r="F14" s="212" t="s">
        <v>72</v>
      </c>
      <c r="G14" s="213"/>
      <c r="H14" s="239">
        <f>SUM(B4:B28)</f>
        <v>1.0000000000000002</v>
      </c>
      <c r="I14" s="240"/>
    </row>
    <row r="15" spans="1:9" ht="15.75" thickBot="1" x14ac:dyDescent="0.3">
      <c r="A15" s="44" t="str">
        <f>Savings!N2</f>
        <v>guilly</v>
      </c>
      <c r="B15" s="70">
        <f>Savings!N16</f>
        <v>1.4879089600353085E-2</v>
      </c>
      <c r="C15" s="71">
        <f>Savings!N17</f>
        <v>12507.883486192815</v>
      </c>
      <c r="D15" s="44">
        <v>200</v>
      </c>
      <c r="E15" s="75">
        <f t="shared" si="0"/>
        <v>12307.883486192815</v>
      </c>
      <c r="F15" s="214"/>
      <c r="G15" s="215"/>
      <c r="H15" s="241"/>
      <c r="I15" s="242"/>
    </row>
    <row r="16" spans="1:9" x14ac:dyDescent="0.25">
      <c r="A16" s="44" t="str">
        <f>Savings!O2</f>
        <v>edward</v>
      </c>
      <c r="B16" s="70">
        <f>Savings!O16</f>
        <v>3.2855342853716513E-3</v>
      </c>
      <c r="C16" s="71">
        <f>Savings!O17</f>
        <v>2761.935113983398</v>
      </c>
      <c r="D16" s="44">
        <v>200</v>
      </c>
      <c r="E16" s="75">
        <f t="shared" si="0"/>
        <v>2561.935113983398</v>
      </c>
      <c r="F16" s="212" t="s">
        <v>73</v>
      </c>
      <c r="G16" s="213"/>
      <c r="H16" s="216">
        <f>SUM(C4:C28)</f>
        <v>840635</v>
      </c>
      <c r="I16" s="217"/>
    </row>
    <row r="17" spans="1:9" ht="15.75" thickBot="1" x14ac:dyDescent="0.3">
      <c r="A17" s="44" t="str">
        <f>Savings!P2</f>
        <v>kc</v>
      </c>
      <c r="B17" s="70">
        <f>Savings!P16</f>
        <v>7.7045778991965226E-3</v>
      </c>
      <c r="C17" s="71">
        <f>Savings!P17</f>
        <v>6476.7378422910688</v>
      </c>
      <c r="D17" s="44">
        <v>200</v>
      </c>
      <c r="E17" s="75">
        <f t="shared" si="0"/>
        <v>6276.7378422910688</v>
      </c>
      <c r="F17" s="214"/>
      <c r="G17" s="215"/>
      <c r="H17" s="218"/>
      <c r="I17" s="219"/>
    </row>
    <row r="18" spans="1:9" x14ac:dyDescent="0.25">
      <c r="A18" s="44" t="str">
        <f>Savings!Q2</f>
        <v>paulo</v>
      </c>
      <c r="B18" s="70">
        <f>Savings!Q16</f>
        <v>0.11424295540380038</v>
      </c>
      <c r="C18" s="71">
        <f>Savings!Q17</f>
        <v>96036.626815873722</v>
      </c>
      <c r="D18" s="44">
        <v>200</v>
      </c>
      <c r="E18" s="71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0">
        <f>Savings!R16</f>
        <v>5.7496849994003903E-3</v>
      </c>
      <c r="C19" s="71">
        <f>Savings!R17</f>
        <v>4833.3864494709469</v>
      </c>
      <c r="D19" s="44">
        <v>200</v>
      </c>
      <c r="E19" s="71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0">
        <f>Savings!S16</f>
        <v>9.912840251299565E-2</v>
      </c>
      <c r="C20" s="71">
        <f>Savings!S17</f>
        <v>83330.804646512101</v>
      </c>
      <c r="D20" s="44">
        <v>200</v>
      </c>
      <c r="E20" s="71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0">
        <f>Savings!T16</f>
        <v>4.8277640789251043E-2</v>
      </c>
      <c r="C21" s="71">
        <f>Savings!T17</f>
        <v>40583.874564872051</v>
      </c>
      <c r="D21" s="44">
        <v>200</v>
      </c>
      <c r="E21" s="71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0">
        <f>Savings!U16</f>
        <v>1.4784904284172432E-2</v>
      </c>
      <c r="C22" s="71">
        <f>Savings!U17</f>
        <v>12428.708012925292</v>
      </c>
      <c r="D22" s="44">
        <v>200</v>
      </c>
      <c r="E22" s="71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0">
        <f>Savings!V16</f>
        <v>1.2594548093924664E-2</v>
      </c>
      <c r="C23" s="71">
        <f>Savings!V17</f>
        <v>10587.417936936359</v>
      </c>
      <c r="D23" s="44">
        <v>200</v>
      </c>
      <c r="E23" s="71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0">
        <f>Savings!W16</f>
        <v>1.6427671426858258E-2</v>
      </c>
      <c r="C24" s="71">
        <f>Savings!W17</f>
        <v>13809.675569916992</v>
      </c>
      <c r="D24" s="44">
        <v>200</v>
      </c>
      <c r="E24" s="71">
        <f t="shared" si="0"/>
        <v>13609.675569916992</v>
      </c>
      <c r="F24" s="41"/>
      <c r="G24" s="41"/>
      <c r="H24" s="41"/>
      <c r="I24" s="41"/>
    </row>
    <row r="25" spans="1:9" x14ac:dyDescent="0.25">
      <c r="A25" s="71" t="str">
        <f>Savings!X2</f>
        <v>kero</v>
      </c>
      <c r="B25" s="70">
        <f>Savings!X16</f>
        <v>2.0808383807353791E-2</v>
      </c>
      <c r="C25" s="71">
        <f>Savings!X17</f>
        <v>17492.255721894853</v>
      </c>
      <c r="D25" s="44">
        <v>200</v>
      </c>
      <c r="E25" s="71">
        <f t="shared" si="0"/>
        <v>17292.255721894853</v>
      </c>
    </row>
    <row r="26" spans="1:9" x14ac:dyDescent="0.25">
      <c r="A26" s="44" t="str">
        <f>Savings!Y2</f>
        <v>gef</v>
      </c>
      <c r="B26" s="70">
        <f>Savings!Y16</f>
        <v>2.0808383807353791E-2</v>
      </c>
      <c r="C26" s="71">
        <f>Savings!Y17</f>
        <v>17492.255721894853</v>
      </c>
      <c r="D26" s="44">
        <v>200</v>
      </c>
      <c r="E26" s="71">
        <f t="shared" si="0"/>
        <v>17292.255721894853</v>
      </c>
    </row>
    <row r="27" spans="1:9" x14ac:dyDescent="0.25">
      <c r="A27" s="44" t="str">
        <f>Savings!Z2</f>
        <v>alvin</v>
      </c>
      <c r="B27" s="70">
        <f>Savings!Z16</f>
        <v>8.2138357134291292E-3</v>
      </c>
      <c r="C27" s="71">
        <f>Savings!Z17</f>
        <v>6904.8377849584958</v>
      </c>
      <c r="D27" s="44">
        <v>200</v>
      </c>
      <c r="E27" s="71">
        <f t="shared" si="0"/>
        <v>6704.8377849584958</v>
      </c>
    </row>
    <row r="28" spans="1:9" x14ac:dyDescent="0.25">
      <c r="A28" s="44" t="str">
        <f>Savings!AA2</f>
        <v>gugu</v>
      </c>
      <c r="B28" s="70">
        <f>Savings!AA16</f>
        <v>0</v>
      </c>
      <c r="C28" s="71">
        <f>Savings!AA17</f>
        <v>0</v>
      </c>
      <c r="D28" s="44">
        <v>200</v>
      </c>
      <c r="E28" s="71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topLeftCell="A22" zoomScale="85" zoomScaleNormal="85" workbookViewId="0">
      <selection activeCell="F58" sqref="F58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53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54"/>
      <c r="B57" s="102"/>
      <c r="C57" s="102"/>
      <c r="D57" s="102"/>
      <c r="E57" s="96"/>
    </row>
    <row r="58" spans="1:27" x14ac:dyDescent="0.25">
      <c r="A58" s="154"/>
      <c r="B58" s="102"/>
      <c r="C58" s="102"/>
      <c r="D58" s="102"/>
      <c r="E58" s="96"/>
    </row>
    <row r="59" spans="1:27" x14ac:dyDescent="0.25">
      <c r="A59" s="154"/>
      <c r="B59" s="102"/>
      <c r="C59" s="102"/>
      <c r="D59" s="102"/>
      <c r="E59" s="96"/>
    </row>
    <row r="60" spans="1:27" x14ac:dyDescent="0.25">
      <c r="A60" s="154"/>
      <c r="B60" s="102"/>
      <c r="C60" s="102"/>
      <c r="D60" s="102"/>
      <c r="E60" s="96"/>
    </row>
    <row r="61" spans="1:27" x14ac:dyDescent="0.25">
      <c r="A61" s="154"/>
      <c r="B61" s="102"/>
      <c r="C61" s="102"/>
      <c r="D61" s="102"/>
      <c r="E61" s="96"/>
    </row>
    <row r="62" spans="1:27" x14ac:dyDescent="0.25">
      <c r="A62" s="154"/>
      <c r="B62" s="102"/>
      <c r="C62" s="102"/>
      <c r="D62" s="102"/>
      <c r="E62" s="96"/>
    </row>
    <row r="63" spans="1:27" x14ac:dyDescent="0.25">
      <c r="A63" s="154"/>
      <c r="B63" s="102"/>
      <c r="C63" s="102"/>
      <c r="D63" s="102"/>
      <c r="E63" s="96"/>
    </row>
    <row r="64" spans="1:27" x14ac:dyDescent="0.25">
      <c r="A64" s="154"/>
      <c r="B64" s="102"/>
      <c r="C64" s="102"/>
      <c r="D64" s="102"/>
      <c r="E64" s="96"/>
    </row>
    <row r="65" spans="1:32" x14ac:dyDescent="0.25">
      <c r="A65" s="154"/>
      <c r="B65" s="102"/>
      <c r="C65" s="102"/>
      <c r="D65" s="102"/>
      <c r="E65" s="96"/>
    </row>
    <row r="66" spans="1:32" x14ac:dyDescent="0.25">
      <c r="A66" s="154"/>
      <c r="B66" s="102"/>
      <c r="C66" s="102"/>
      <c r="D66" s="102"/>
      <c r="E66" s="96"/>
    </row>
    <row r="67" spans="1:32" x14ac:dyDescent="0.25">
      <c r="A67" s="154"/>
      <c r="B67" s="102"/>
      <c r="C67" s="102"/>
      <c r="D67" s="102"/>
      <c r="E67" s="96"/>
      <c r="AF67" s="1"/>
    </row>
    <row r="68" spans="1:32" x14ac:dyDescent="0.25">
      <c r="A68" s="154"/>
      <c r="B68" s="102"/>
      <c r="C68" s="102"/>
      <c r="D68" s="102"/>
      <c r="E68" s="96"/>
      <c r="AF68" s="1"/>
    </row>
    <row r="69" spans="1:32" x14ac:dyDescent="0.25">
      <c r="A69" s="102"/>
      <c r="B69" s="155"/>
      <c r="C69" s="102"/>
      <c r="D69" s="102"/>
      <c r="E69" s="96"/>
      <c r="AF69" s="1"/>
    </row>
    <row r="70" spans="1:32" x14ac:dyDescent="0.25">
      <c r="A70" s="102"/>
      <c r="B70" s="156"/>
      <c r="C70" s="102"/>
      <c r="D70" s="102"/>
      <c r="E70" s="96"/>
      <c r="AF70" s="1"/>
    </row>
    <row r="71" spans="1:32" x14ac:dyDescent="0.25">
      <c r="A71" s="102"/>
      <c r="B71" s="156"/>
      <c r="C71" s="102"/>
      <c r="D71" s="102"/>
      <c r="E71" s="96"/>
      <c r="AF71" s="1"/>
    </row>
    <row r="72" spans="1:32" x14ac:dyDescent="0.25">
      <c r="A72" s="102"/>
      <c r="B72" s="157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31" zoomScale="85" zoomScaleNormal="85" workbookViewId="0">
      <selection activeCell="H81" sqref="H81:H83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53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111"/>
      <c r="F55" s="111"/>
    </row>
    <row r="56" spans="1:27" x14ac:dyDescent="0.25">
      <c r="A56" s="102"/>
      <c r="B56" s="102"/>
      <c r="C56" s="102"/>
      <c r="D56" s="102"/>
      <c r="E56" s="111"/>
      <c r="F56" s="111"/>
    </row>
    <row r="57" spans="1:27" x14ac:dyDescent="0.25">
      <c r="A57" s="154"/>
      <c r="B57" s="102"/>
      <c r="C57" s="102"/>
      <c r="D57" s="102"/>
      <c r="E57" s="111"/>
      <c r="F57" s="111"/>
    </row>
    <row r="58" spans="1:27" x14ac:dyDescent="0.25">
      <c r="A58" s="154"/>
      <c r="B58" s="102"/>
      <c r="C58" s="102"/>
      <c r="D58" s="102"/>
      <c r="E58" s="111"/>
      <c r="F58" s="111"/>
    </row>
    <row r="59" spans="1:27" x14ac:dyDescent="0.25">
      <c r="A59" s="154"/>
      <c r="B59" s="102"/>
      <c r="C59" s="102"/>
      <c r="D59" s="102"/>
      <c r="E59" s="111"/>
      <c r="F59" s="111"/>
    </row>
    <row r="60" spans="1:27" x14ac:dyDescent="0.25">
      <c r="A60" s="154"/>
      <c r="B60" s="102"/>
      <c r="C60" s="102"/>
      <c r="D60" s="102"/>
      <c r="E60" s="111"/>
      <c r="F60" s="111"/>
    </row>
    <row r="61" spans="1:27" x14ac:dyDescent="0.25">
      <c r="A61" s="154"/>
      <c r="B61" s="102"/>
      <c r="C61" s="102"/>
      <c r="D61" s="102"/>
      <c r="E61" s="111"/>
      <c r="F61" s="111"/>
    </row>
    <row r="62" spans="1:27" x14ac:dyDescent="0.25">
      <c r="A62" s="154"/>
      <c r="B62" s="102"/>
      <c r="C62" s="102"/>
      <c r="D62" s="102"/>
      <c r="E62" s="111"/>
      <c r="F62" s="111"/>
    </row>
    <row r="63" spans="1:27" x14ac:dyDescent="0.25">
      <c r="A63" s="154"/>
      <c r="B63" s="102"/>
      <c r="C63" s="102"/>
      <c r="D63" s="102"/>
      <c r="E63" s="111"/>
      <c r="F63" s="111"/>
    </row>
    <row r="64" spans="1:27" x14ac:dyDescent="0.25">
      <c r="A64" s="154"/>
      <c r="B64" s="102"/>
      <c r="C64" s="102"/>
      <c r="D64" s="102"/>
      <c r="E64" s="111"/>
      <c r="F64" s="111"/>
    </row>
    <row r="65" spans="1:32" x14ac:dyDescent="0.25">
      <c r="A65" s="154"/>
      <c r="B65" s="102"/>
      <c r="C65" s="102"/>
      <c r="D65" s="102"/>
      <c r="E65" s="111"/>
      <c r="F65" s="111"/>
    </row>
    <row r="66" spans="1:32" x14ac:dyDescent="0.25">
      <c r="A66" s="154"/>
      <c r="B66" s="102"/>
      <c r="C66" s="102"/>
      <c r="D66" s="102"/>
      <c r="E66" s="111"/>
      <c r="F66" s="111"/>
    </row>
    <row r="67" spans="1:32" x14ac:dyDescent="0.25">
      <c r="A67" s="154"/>
      <c r="B67" s="102"/>
      <c r="C67" s="102"/>
      <c r="D67" s="102"/>
      <c r="E67" s="111"/>
      <c r="F67" s="111"/>
      <c r="AF67" s="1"/>
    </row>
    <row r="68" spans="1:32" x14ac:dyDescent="0.25">
      <c r="A68" s="154"/>
      <c r="B68" s="102"/>
      <c r="C68" s="102"/>
      <c r="D68" s="102"/>
      <c r="E68" s="111"/>
      <c r="F68" s="111"/>
      <c r="AF68" s="1"/>
    </row>
    <row r="69" spans="1:32" x14ac:dyDescent="0.25">
      <c r="A69" s="102"/>
      <c r="B69" s="155"/>
      <c r="C69" s="102"/>
      <c r="D69" s="102"/>
      <c r="E69" s="111"/>
      <c r="F69" s="111"/>
      <c r="AF69" s="1"/>
    </row>
    <row r="70" spans="1:32" x14ac:dyDescent="0.25">
      <c r="A70" s="102"/>
      <c r="B70" s="156"/>
      <c r="C70" s="102"/>
      <c r="D70" s="102"/>
      <c r="E70" s="111"/>
      <c r="F70" s="111"/>
      <c r="AF70" s="1"/>
    </row>
    <row r="71" spans="1:32" x14ac:dyDescent="0.25">
      <c r="A71" s="102"/>
      <c r="B71" s="156"/>
      <c r="C71" s="102"/>
      <c r="D71" s="102"/>
      <c r="E71" s="111"/>
      <c r="F71" s="111"/>
      <c r="AF71" s="1"/>
    </row>
    <row r="72" spans="1:32" x14ac:dyDescent="0.25">
      <c r="A72" s="102"/>
      <c r="B72" s="157"/>
      <c r="C72" s="102"/>
      <c r="D72" s="102"/>
      <c r="E72" s="111"/>
      <c r="F72" s="111"/>
    </row>
    <row r="73" spans="1:32" x14ac:dyDescent="0.25">
      <c r="A73" s="102"/>
      <c r="B73" s="102"/>
      <c r="C73" s="102"/>
      <c r="D73" s="102"/>
      <c r="E73" s="111"/>
      <c r="F73" s="111"/>
      <c r="AF73" s="1"/>
    </row>
    <row r="74" spans="1:32" x14ac:dyDescent="0.25">
      <c r="A74" s="102"/>
      <c r="B74" s="102"/>
      <c r="C74" s="102"/>
      <c r="D74" s="102"/>
      <c r="E74" s="111"/>
      <c r="F74" s="111"/>
      <c r="AF74" s="1"/>
    </row>
    <row r="75" spans="1:32" x14ac:dyDescent="0.25">
      <c r="A75" s="159"/>
      <c r="B75" s="102"/>
      <c r="C75" s="102"/>
      <c r="D75" s="102"/>
      <c r="E75" s="111"/>
      <c r="F75" s="111"/>
      <c r="AF75" s="1"/>
    </row>
    <row r="76" spans="1:32" x14ac:dyDescent="0.25">
      <c r="A76" s="159"/>
      <c r="B76" s="102"/>
      <c r="C76" s="102"/>
      <c r="D76" s="102"/>
      <c r="E76" s="111"/>
      <c r="F76" s="111"/>
      <c r="AF76" s="1"/>
    </row>
    <row r="77" spans="1:32" x14ac:dyDescent="0.25">
      <c r="A77" s="160"/>
      <c r="B77" s="111"/>
      <c r="C77" s="111"/>
      <c r="D77" s="111"/>
      <c r="E77" s="111"/>
      <c r="F77" s="111"/>
      <c r="AF77" s="1"/>
    </row>
    <row r="78" spans="1:32" x14ac:dyDescent="0.25">
      <c r="A78" s="160"/>
      <c r="B78" s="111"/>
      <c r="C78" s="111"/>
      <c r="D78" s="111"/>
      <c r="E78" s="111"/>
      <c r="F78" s="111"/>
      <c r="AF78" s="1"/>
    </row>
    <row r="79" spans="1:32" x14ac:dyDescent="0.25">
      <c r="A79" s="160"/>
      <c r="B79" s="111"/>
      <c r="C79" s="111"/>
      <c r="D79" s="111"/>
      <c r="E79" s="111"/>
      <c r="F79" s="1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A80" s="160"/>
      <c r="B80" s="111"/>
      <c r="C80" s="111"/>
      <c r="D80" s="111"/>
      <c r="E80" s="111"/>
      <c r="F80" s="1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A81" s="160"/>
      <c r="B81" s="111"/>
      <c r="C81" s="111"/>
      <c r="D81" s="111"/>
      <c r="E81" s="111"/>
      <c r="F81" s="1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A82" s="160"/>
      <c r="B82" s="111"/>
      <c r="C82" s="111"/>
      <c r="D82" s="111"/>
      <c r="E82" s="111"/>
      <c r="F82" s="1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A83" s="160"/>
      <c r="B83" s="111"/>
      <c r="C83" s="111"/>
      <c r="D83" s="111"/>
      <c r="E83" s="111"/>
      <c r="F83" s="1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A84" s="160"/>
      <c r="B84" s="111"/>
      <c r="C84" s="111"/>
      <c r="D84" s="111"/>
      <c r="E84" s="111"/>
      <c r="F84" s="1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A85" s="160"/>
      <c r="B85" s="111"/>
      <c r="C85" s="111"/>
      <c r="D85" s="111"/>
      <c r="E85" s="111"/>
      <c r="F85" s="111"/>
      <c r="G85" s="3"/>
      <c r="H85" s="3"/>
      <c r="I85" s="3"/>
      <c r="J85" s="3"/>
      <c r="AF85" s="1"/>
    </row>
    <row r="86" spans="1:32" x14ac:dyDescent="0.25">
      <c r="A86" s="160"/>
      <c r="B86" s="111"/>
      <c r="C86" s="111"/>
      <c r="D86" s="111"/>
      <c r="E86" s="111"/>
      <c r="F86" s="111"/>
      <c r="G86" s="3"/>
      <c r="H86" s="3"/>
      <c r="I86" s="3"/>
      <c r="J86" s="3"/>
      <c r="AF86" s="1"/>
    </row>
    <row r="87" spans="1:32" x14ac:dyDescent="0.25">
      <c r="A87" s="158"/>
      <c r="B87" s="111"/>
      <c r="C87" s="111"/>
      <c r="D87" s="111"/>
      <c r="E87" s="111"/>
      <c r="F87" s="111"/>
      <c r="G87" s="3"/>
      <c r="H87" s="3"/>
      <c r="I87" s="3"/>
      <c r="J87" s="3"/>
      <c r="AF87" s="1"/>
    </row>
    <row r="88" spans="1:32" x14ac:dyDescent="0.25">
      <c r="A88" s="158"/>
      <c r="B88" s="161"/>
      <c r="C88" s="111"/>
      <c r="D88" s="111"/>
      <c r="E88" s="111"/>
      <c r="F88" s="111"/>
      <c r="G88" s="3"/>
      <c r="H88" s="3"/>
      <c r="I88" s="3"/>
      <c r="J88" s="3"/>
      <c r="AF88" s="1"/>
    </row>
    <row r="89" spans="1:32" x14ac:dyDescent="0.25">
      <c r="A89" s="158"/>
      <c r="B89" s="162"/>
      <c r="C89" s="111"/>
      <c r="D89" s="111"/>
      <c r="E89" s="111"/>
      <c r="F89" s="111"/>
      <c r="G89" s="3"/>
      <c r="H89" s="3"/>
      <c r="I89" s="3"/>
      <c r="J89" s="3"/>
      <c r="AF89" s="1"/>
    </row>
    <row r="90" spans="1:32" x14ac:dyDescent="0.25">
      <c r="A90" s="158"/>
      <c r="B90" s="163"/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58"/>
      <c r="B91" s="111"/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58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58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13" activePane="bottomLeft" state="frozen"/>
      <selection pane="bottomLeft" activeCell="A108" sqref="A108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5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tabSelected="1" workbookViewId="0">
      <selection activeCell="J12" sqref="J12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243" t="s">
        <v>81</v>
      </c>
      <c r="C1" s="244"/>
      <c r="D1" s="244"/>
      <c r="E1" s="244"/>
      <c r="F1" s="244"/>
      <c r="G1" s="244"/>
      <c r="H1" s="245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21</v>
      </c>
      <c r="C3" s="44" t="s">
        <v>49</v>
      </c>
      <c r="D3" s="44" t="s">
        <v>1</v>
      </c>
      <c r="E3" s="44">
        <f>COUNTA(B3:B80)</f>
        <v>26</v>
      </c>
      <c r="F3" s="44">
        <v>18</v>
      </c>
      <c r="G3" s="44">
        <f>COUNTA(C3:C36)</f>
        <v>3</v>
      </c>
      <c r="H3" s="89">
        <f>G3*F3</f>
        <v>54</v>
      </c>
      <c r="J3" t="s">
        <v>41</v>
      </c>
      <c r="K3">
        <f>COUNTA(Borrowers!A1:HA1)</f>
        <v>5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22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23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24</v>
      </c>
      <c r="C6" s="44"/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25</v>
      </c>
      <c r="C7" s="44"/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26</v>
      </c>
      <c r="C8" s="44"/>
      <c r="D8" s="44"/>
      <c r="E8" s="44"/>
      <c r="F8" s="44"/>
      <c r="G8" s="4"/>
      <c r="H8" s="90"/>
      <c r="L8">
        <f>COUNTA(Borrowers!U4:U95)</f>
        <v>1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27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28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29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20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30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31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32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33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34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35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36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37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6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0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38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39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40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43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8" t="s">
        <v>45</v>
      </c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>
        <v>123</v>
      </c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Borrowers2</vt:lpstr>
      <vt:lpstr>Home</vt:lpstr>
      <vt:lpstr>Overview</vt:lpstr>
      <vt:lpstr>Savings2</vt:lpstr>
      <vt:lpstr>Savings</vt:lpstr>
      <vt:lpstr>Borrowers</vt:lpstr>
      <vt:lpstr>Revenues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Jaena, Leo</cp:lastModifiedBy>
  <dcterms:created xsi:type="dcterms:W3CDTF">2018-06-26T02:33:31Z</dcterms:created>
  <dcterms:modified xsi:type="dcterms:W3CDTF">2025-03-08T16:50:56Z</dcterms:modified>
</cp:coreProperties>
</file>