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P:\Assy_Maintenance\FOLMaint\General\Ryan\FYI and Instructions\"/>
    </mc:Choice>
  </mc:AlternateContent>
  <xr:revisionPtr revIDLastSave="0" documentId="13_ncr:1_{AB9AF1EC-FDAD-4A9D-9B4E-0FED1ED9AFE3}" xr6:coauthVersionLast="47" xr6:coauthVersionMax="47" xr10:uidLastSave="{00000000-0000-0000-0000-000000000000}"/>
  <bookViews>
    <workbookView xWindow="-120" yWindow="-120" windowWidth="29040" windowHeight="15720" tabRatio="593" xr2:uid="{00000000-000D-0000-FFFF-FFFF00000000}"/>
  </bookViews>
  <sheets>
    <sheet name="Borrowers3" sheetId="12" r:id="rId1"/>
    <sheet name="Borrowers2" sheetId="9" r:id="rId2"/>
    <sheet name="Home" sheetId="1" r:id="rId3"/>
    <sheet name="Overview" sheetId="8" r:id="rId4"/>
    <sheet name="Savings2" sheetId="10" r:id="rId5"/>
    <sheet name="Savings" sheetId="2" r:id="rId6"/>
    <sheet name="Borrowers" sheetId="4" r:id="rId7"/>
    <sheet name="Revenues" sheetId="5" r:id="rId8"/>
    <sheet name="data" sheetId="7" r:id="rId9"/>
    <sheet name="Process Flow" sheetId="11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5" i="12" l="1"/>
  <c r="J24" i="12"/>
  <c r="J23" i="12"/>
  <c r="D29" i="12"/>
  <c r="D28" i="12"/>
  <c r="D27" i="12"/>
  <c r="P29" i="12"/>
  <c r="P28" i="12"/>
  <c r="P27" i="12"/>
  <c r="P26" i="12"/>
  <c r="P25" i="12"/>
  <c r="N148" i="12"/>
  <c r="N147" i="12"/>
  <c r="N146" i="12"/>
  <c r="N145" i="12"/>
  <c r="N144" i="12"/>
  <c r="N143" i="12"/>
  <c r="N142" i="12"/>
  <c r="N141" i="12"/>
  <c r="N140" i="12"/>
  <c r="N139" i="12"/>
  <c r="N138" i="12"/>
  <c r="N137" i="12"/>
  <c r="N136" i="12"/>
  <c r="N135" i="12"/>
  <c r="N134" i="12"/>
  <c r="N133" i="12"/>
  <c r="N132" i="12"/>
  <c r="N131" i="12"/>
  <c r="N130" i="12"/>
  <c r="N129" i="12"/>
  <c r="N128" i="12"/>
  <c r="N127" i="12"/>
  <c r="N126" i="12"/>
  <c r="N125" i="12"/>
  <c r="N124" i="12"/>
  <c r="N123" i="12"/>
  <c r="N122" i="12"/>
  <c r="N121" i="12"/>
  <c r="N120" i="12"/>
  <c r="N119" i="12"/>
  <c r="N118" i="12"/>
  <c r="N117" i="12"/>
  <c r="N116" i="12"/>
  <c r="N115" i="12"/>
  <c r="N114" i="12"/>
  <c r="N113" i="12"/>
  <c r="N112" i="12"/>
  <c r="N111" i="12"/>
  <c r="N110" i="12"/>
  <c r="N109" i="12"/>
  <c r="N108" i="12"/>
  <c r="N107" i="12"/>
  <c r="N106" i="12"/>
  <c r="N105" i="12"/>
  <c r="N104" i="12"/>
  <c r="N103" i="12"/>
  <c r="N102" i="12"/>
  <c r="N101" i="12"/>
  <c r="N100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11" i="12"/>
  <c r="P12" i="12" s="1"/>
  <c r="N7" i="12"/>
  <c r="E103" i="12" s="1"/>
  <c r="O4" i="12"/>
  <c r="N4" i="12"/>
  <c r="M4" i="12"/>
  <c r="H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D12" i="12"/>
  <c r="D43" i="12"/>
  <c r="D4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J11" i="12"/>
  <c r="J12" i="12" s="1"/>
  <c r="J13" i="12" s="1"/>
  <c r="J14" i="12" s="1"/>
  <c r="J15" i="12" s="1"/>
  <c r="J16" i="12" s="1"/>
  <c r="J17" i="12" s="1"/>
  <c r="J18" i="12" s="1"/>
  <c r="J19" i="12" s="1"/>
  <c r="J20" i="12" s="1"/>
  <c r="J21" i="12" s="1"/>
  <c r="J22" i="12" s="1"/>
  <c r="D11" i="12"/>
  <c r="B4" i="12"/>
  <c r="H7" i="12"/>
  <c r="I4" i="12"/>
  <c r="G4" i="12"/>
  <c r="B7" i="12"/>
  <c r="C101" i="12"/>
  <c r="C4" i="12"/>
  <c r="F148" i="12"/>
  <c r="H148" i="12" s="1"/>
  <c r="D148" i="12" s="1"/>
  <c r="E148" i="12"/>
  <c r="C148" i="12"/>
  <c r="F147" i="12"/>
  <c r="H147" i="12" s="1"/>
  <c r="D147" i="12" s="1"/>
  <c r="E147" i="12"/>
  <c r="C147" i="12"/>
  <c r="F146" i="12"/>
  <c r="H146" i="12" s="1"/>
  <c r="D146" i="12" s="1"/>
  <c r="E146" i="12"/>
  <c r="C146" i="12"/>
  <c r="H145" i="12"/>
  <c r="F145" i="12"/>
  <c r="E145" i="12"/>
  <c r="D145" i="12"/>
  <c r="C145" i="12"/>
  <c r="H144" i="12"/>
  <c r="D144" i="12" s="1"/>
  <c r="F144" i="12"/>
  <c r="E144" i="12"/>
  <c r="C144" i="12"/>
  <c r="H143" i="12"/>
  <c r="F143" i="12"/>
  <c r="E143" i="12"/>
  <c r="D143" i="12" s="1"/>
  <c r="C143" i="12"/>
  <c r="H142" i="12"/>
  <c r="F142" i="12"/>
  <c r="E142" i="12"/>
  <c r="D142" i="12" s="1"/>
  <c r="C142" i="12"/>
  <c r="H141" i="12"/>
  <c r="F141" i="12"/>
  <c r="E141" i="12"/>
  <c r="D141" i="12" s="1"/>
  <c r="C141" i="12"/>
  <c r="H140" i="12"/>
  <c r="F140" i="12"/>
  <c r="E140" i="12"/>
  <c r="D140" i="12" s="1"/>
  <c r="C140" i="12"/>
  <c r="H139" i="12"/>
  <c r="F139" i="12"/>
  <c r="E139" i="12"/>
  <c r="D139" i="12" s="1"/>
  <c r="C139" i="12"/>
  <c r="F138" i="12"/>
  <c r="H138" i="12" s="1"/>
  <c r="E138" i="12"/>
  <c r="D138" i="12" s="1"/>
  <c r="C138" i="12"/>
  <c r="F137" i="12"/>
  <c r="H137" i="12" s="1"/>
  <c r="E137" i="12"/>
  <c r="D137" i="12" s="1"/>
  <c r="C137" i="12"/>
  <c r="F136" i="12"/>
  <c r="H136" i="12" s="1"/>
  <c r="D136" i="12" s="1"/>
  <c r="E136" i="12"/>
  <c r="C136" i="12"/>
  <c r="F135" i="12"/>
  <c r="H135" i="12" s="1"/>
  <c r="D135" i="12" s="1"/>
  <c r="E135" i="12"/>
  <c r="C135" i="12"/>
  <c r="F134" i="12"/>
  <c r="H134" i="12" s="1"/>
  <c r="D134" i="12" s="1"/>
  <c r="E134" i="12"/>
  <c r="C134" i="12"/>
  <c r="F133" i="12"/>
  <c r="H133" i="12" s="1"/>
  <c r="D133" i="12" s="1"/>
  <c r="E133" i="12"/>
  <c r="C133" i="12"/>
  <c r="H132" i="12"/>
  <c r="D132" i="12" s="1"/>
  <c r="F132" i="12"/>
  <c r="E132" i="12"/>
  <c r="C132" i="12"/>
  <c r="H131" i="12"/>
  <c r="F131" i="12"/>
  <c r="E131" i="12"/>
  <c r="D131" i="12"/>
  <c r="C131" i="12"/>
  <c r="H130" i="12"/>
  <c r="F130" i="12"/>
  <c r="E130" i="12"/>
  <c r="D130" i="12" s="1"/>
  <c r="C130" i="12"/>
  <c r="H129" i="12"/>
  <c r="F129" i="12"/>
  <c r="E129" i="12"/>
  <c r="D129" i="12" s="1"/>
  <c r="C129" i="12"/>
  <c r="H128" i="12"/>
  <c r="F128" i="12"/>
  <c r="E128" i="12"/>
  <c r="D128" i="12" s="1"/>
  <c r="C128" i="12"/>
  <c r="H127" i="12"/>
  <c r="F127" i="12"/>
  <c r="E127" i="12"/>
  <c r="D127" i="12" s="1"/>
  <c r="C127" i="12"/>
  <c r="F126" i="12"/>
  <c r="H126" i="12" s="1"/>
  <c r="E126" i="12"/>
  <c r="D126" i="12" s="1"/>
  <c r="C126" i="12"/>
  <c r="F125" i="12"/>
  <c r="H125" i="12" s="1"/>
  <c r="E125" i="12"/>
  <c r="D125" i="12" s="1"/>
  <c r="C125" i="12"/>
  <c r="F124" i="12"/>
  <c r="H124" i="12" s="1"/>
  <c r="E124" i="12"/>
  <c r="C124" i="12"/>
  <c r="F123" i="12"/>
  <c r="H123" i="12" s="1"/>
  <c r="D123" i="12" s="1"/>
  <c r="E123" i="12"/>
  <c r="C123" i="12"/>
  <c r="F122" i="12"/>
  <c r="H122" i="12" s="1"/>
  <c r="E122" i="12"/>
  <c r="D122" i="12" s="1"/>
  <c r="C122" i="12"/>
  <c r="F121" i="12"/>
  <c r="H121" i="12" s="1"/>
  <c r="D121" i="12" s="1"/>
  <c r="E121" i="12"/>
  <c r="C121" i="12"/>
  <c r="H120" i="12"/>
  <c r="D120" i="12" s="1"/>
  <c r="F120" i="12"/>
  <c r="E120" i="12"/>
  <c r="C120" i="12"/>
  <c r="F119" i="12"/>
  <c r="H119" i="12" s="1"/>
  <c r="D119" i="12" s="1"/>
  <c r="E119" i="12"/>
  <c r="C119" i="12"/>
  <c r="H118" i="12"/>
  <c r="F118" i="12"/>
  <c r="E118" i="12"/>
  <c r="D118" i="12" s="1"/>
  <c r="C118" i="12"/>
  <c r="H117" i="12"/>
  <c r="F117" i="12"/>
  <c r="E117" i="12"/>
  <c r="D117" i="12" s="1"/>
  <c r="C117" i="12"/>
  <c r="F116" i="12"/>
  <c r="H116" i="12" s="1"/>
  <c r="E116" i="12"/>
  <c r="D116" i="12" s="1"/>
  <c r="C116" i="12"/>
  <c r="H115" i="12"/>
  <c r="F115" i="12"/>
  <c r="E115" i="12"/>
  <c r="D115" i="12" s="1"/>
  <c r="C115" i="12"/>
  <c r="F114" i="12"/>
  <c r="H114" i="12" s="1"/>
  <c r="D114" i="12" s="1"/>
  <c r="E114" i="12"/>
  <c r="C114" i="12"/>
  <c r="F113" i="12"/>
  <c r="H113" i="12" s="1"/>
  <c r="E113" i="12"/>
  <c r="D113" i="12" s="1"/>
  <c r="C113" i="12"/>
  <c r="F112" i="12"/>
  <c r="H112" i="12" s="1"/>
  <c r="D112" i="12" s="1"/>
  <c r="E112" i="12"/>
  <c r="C112" i="12"/>
  <c r="F111" i="12"/>
  <c r="H111" i="12" s="1"/>
  <c r="D111" i="12" s="1"/>
  <c r="E111" i="12"/>
  <c r="C111" i="12"/>
  <c r="F110" i="12"/>
  <c r="H110" i="12" s="1"/>
  <c r="D110" i="12" s="1"/>
  <c r="E110" i="12"/>
  <c r="C110" i="12"/>
  <c r="F109" i="12"/>
  <c r="H109" i="12" s="1"/>
  <c r="D109" i="12" s="1"/>
  <c r="E109" i="12"/>
  <c r="C109" i="12"/>
  <c r="H108" i="12"/>
  <c r="D108" i="12" s="1"/>
  <c r="F108" i="12"/>
  <c r="E108" i="12"/>
  <c r="C108" i="12"/>
  <c r="F107" i="12"/>
  <c r="H107" i="12" s="1"/>
  <c r="E107" i="12"/>
  <c r="C107" i="12"/>
  <c r="H106" i="12"/>
  <c r="F106" i="12"/>
  <c r="E106" i="12"/>
  <c r="D106" i="12" s="1"/>
  <c r="C106" i="12"/>
  <c r="H105" i="12"/>
  <c r="F105" i="12"/>
  <c r="E105" i="12"/>
  <c r="D105" i="12" s="1"/>
  <c r="C105" i="12"/>
  <c r="F104" i="12"/>
  <c r="H104" i="12" s="1"/>
  <c r="E104" i="12"/>
  <c r="D104" i="12" s="1"/>
  <c r="C104" i="12"/>
  <c r="F102" i="12"/>
  <c r="H102" i="12" s="1"/>
  <c r="F101" i="12"/>
  <c r="H101" i="12" s="1"/>
  <c r="E101" i="12"/>
  <c r="F100" i="12"/>
  <c r="H100" i="12" s="1"/>
  <c r="E100" i="12"/>
  <c r="B100" i="12"/>
  <c r="A4" i="12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2" i="9"/>
  <c r="D23" i="9" s="1"/>
  <c r="D24" i="9" s="1"/>
  <c r="D25" i="9" s="1"/>
  <c r="D26" i="9" s="1"/>
  <c r="D27" i="9" s="1"/>
  <c r="D28" i="9" s="1"/>
  <c r="D18" i="9"/>
  <c r="D19" i="9" s="1"/>
  <c r="D20" i="9" s="1"/>
  <c r="D21" i="9" s="1"/>
  <c r="D14" i="9"/>
  <c r="D15" i="9" s="1"/>
  <c r="D16" i="9" s="1"/>
  <c r="D13" i="9"/>
  <c r="L8" i="7"/>
  <c r="B72" i="2"/>
  <c r="B71" i="2"/>
  <c r="B70" i="2"/>
  <c r="B69" i="2"/>
  <c r="B53" i="2"/>
  <c r="B52" i="2"/>
  <c r="T51" i="10"/>
  <c r="O51" i="10"/>
  <c r="N51" i="10"/>
  <c r="H51" i="10"/>
  <c r="B51" i="10"/>
  <c r="AA33" i="10"/>
  <c r="T33" i="10"/>
  <c r="Q33" i="10"/>
  <c r="P33" i="10"/>
  <c r="P51" i="10" s="1"/>
  <c r="O33" i="10"/>
  <c r="N33" i="10"/>
  <c r="H33" i="10"/>
  <c r="E33" i="10"/>
  <c r="D33" i="10"/>
  <c r="C33" i="10"/>
  <c r="B33" i="10"/>
  <c r="AA15" i="10"/>
  <c r="Z15" i="10"/>
  <c r="Z33" i="10" s="1"/>
  <c r="Y15" i="10"/>
  <c r="Y33" i="10" s="1"/>
  <c r="X15" i="10"/>
  <c r="W15" i="10"/>
  <c r="W33" i="10" s="1"/>
  <c r="V15" i="10"/>
  <c r="U15" i="10"/>
  <c r="U33" i="10" s="1"/>
  <c r="T15" i="10"/>
  <c r="S15" i="10"/>
  <c r="S33" i="10" s="1"/>
  <c r="R15" i="10"/>
  <c r="Q15" i="10"/>
  <c r="P15" i="10"/>
  <c r="O15" i="10"/>
  <c r="N15" i="10"/>
  <c r="M15" i="10"/>
  <c r="M33" i="10" s="1"/>
  <c r="L15" i="10"/>
  <c r="K15" i="10"/>
  <c r="K33" i="10" s="1"/>
  <c r="J15" i="10"/>
  <c r="J33" i="10" s="1"/>
  <c r="I15" i="10"/>
  <c r="I33" i="10" s="1"/>
  <c r="H15" i="10"/>
  <c r="G15" i="10"/>
  <c r="G33" i="10" s="1"/>
  <c r="F15" i="10"/>
  <c r="F33" i="10" s="1"/>
  <c r="E15" i="10"/>
  <c r="D15" i="10"/>
  <c r="C15" i="10"/>
  <c r="B15" i="10"/>
  <c r="E3" i="7"/>
  <c r="G7" i="9"/>
  <c r="G6" i="9"/>
  <c r="G8" i="9" s="1"/>
  <c r="G4" i="9"/>
  <c r="G3" i="9"/>
  <c r="G2" i="9"/>
  <c r="P4" i="12" l="1"/>
  <c r="P13" i="12"/>
  <c r="P14" i="12" s="1"/>
  <c r="P15" i="12" s="1"/>
  <c r="P16" i="12" s="1"/>
  <c r="P17" i="12" s="1"/>
  <c r="P18" i="12" s="1"/>
  <c r="P19" i="12" s="1"/>
  <c r="P20" i="12" s="1"/>
  <c r="P21" i="12" s="1"/>
  <c r="P22" i="12" s="1"/>
  <c r="P23" i="12" s="1"/>
  <c r="P24" i="12" s="1"/>
  <c r="G7" i="12"/>
  <c r="I7" i="12" s="1"/>
  <c r="J4" i="12"/>
  <c r="D4" i="12"/>
  <c r="D101" i="12"/>
  <c r="D100" i="12"/>
  <c r="D124" i="12"/>
  <c r="D107" i="12"/>
  <c r="G5" i="9"/>
  <c r="G9" i="9" s="1"/>
  <c r="I51" i="10"/>
  <c r="G51" i="10"/>
  <c r="J51" i="10"/>
  <c r="W51" i="10"/>
  <c r="M51" i="10"/>
  <c r="F51" i="10"/>
  <c r="S51" i="10"/>
  <c r="U51" i="10"/>
  <c r="K51" i="10"/>
  <c r="Y51" i="10"/>
  <c r="Z51" i="10"/>
  <c r="C16" i="10"/>
  <c r="R33" i="10"/>
  <c r="B16" i="10"/>
  <c r="Z16" i="10"/>
  <c r="Z17" i="10" s="1"/>
  <c r="V33" i="10"/>
  <c r="C51" i="10"/>
  <c r="AA51" i="10"/>
  <c r="D51" i="10"/>
  <c r="X33" i="10"/>
  <c r="E51" i="10"/>
  <c r="L33" i="10"/>
  <c r="B34" i="10" s="1"/>
  <c r="Q51" i="10"/>
  <c r="B7" i="9"/>
  <c r="B3" i="9"/>
  <c r="B4" i="9"/>
  <c r="B2" i="9"/>
  <c r="M7" i="12" l="1"/>
  <c r="O7" i="12" s="1"/>
  <c r="P7" i="12" s="1"/>
  <c r="J7" i="12"/>
  <c r="E102" i="12" s="1"/>
  <c r="D102" i="12" s="1"/>
  <c r="A7" i="12"/>
  <c r="C7" i="12" s="1"/>
  <c r="D7" i="12" s="1"/>
  <c r="C102" i="12"/>
  <c r="B6" i="9"/>
  <c r="B8" i="9" s="1"/>
  <c r="B5" i="9"/>
  <c r="N34" i="10"/>
  <c r="N35" i="10" s="1"/>
  <c r="O34" i="10"/>
  <c r="O35" i="10" s="1"/>
  <c r="T34" i="10"/>
  <c r="T35" i="10" s="1"/>
  <c r="G34" i="10"/>
  <c r="G35" i="10" s="1"/>
  <c r="H34" i="10"/>
  <c r="H35" i="10" s="1"/>
  <c r="F34" i="10"/>
  <c r="F35" i="10" s="1"/>
  <c r="Q34" i="10"/>
  <c r="Q35" i="10" s="1"/>
  <c r="S34" i="10"/>
  <c r="S35" i="10" s="1"/>
  <c r="AA34" i="10"/>
  <c r="AA35" i="10" s="1"/>
  <c r="I34" i="10"/>
  <c r="I35" i="10" s="1"/>
  <c r="M34" i="10"/>
  <c r="M35" i="10" s="1"/>
  <c r="K34" i="10"/>
  <c r="K35" i="10" s="1"/>
  <c r="E34" i="10"/>
  <c r="E35" i="10" s="1"/>
  <c r="C34" i="10"/>
  <c r="J34" i="10"/>
  <c r="J35" i="10" s="1"/>
  <c r="Y34" i="10"/>
  <c r="Y35" i="10" s="1"/>
  <c r="P34" i="10"/>
  <c r="P35" i="10" s="1"/>
  <c r="W34" i="10"/>
  <c r="W35" i="10" s="1"/>
  <c r="Z34" i="10"/>
  <c r="Z35" i="10" s="1"/>
  <c r="D34" i="10"/>
  <c r="D35" i="10" s="1"/>
  <c r="U34" i="10"/>
  <c r="U35" i="10" s="1"/>
  <c r="V51" i="10"/>
  <c r="V34" i="10"/>
  <c r="V35" i="10" s="1"/>
  <c r="I16" i="10"/>
  <c r="I17" i="10" s="1"/>
  <c r="E16" i="10"/>
  <c r="E17" i="10" s="1"/>
  <c r="Q16" i="10"/>
  <c r="Q17" i="10" s="1"/>
  <c r="T16" i="10"/>
  <c r="T17" i="10" s="1"/>
  <c r="P16" i="10"/>
  <c r="P17" i="10" s="1"/>
  <c r="U16" i="10"/>
  <c r="U17" i="10" s="1"/>
  <c r="D16" i="10"/>
  <c r="D17" i="10" s="1"/>
  <c r="H16" i="10"/>
  <c r="H17" i="10" s="1"/>
  <c r="M16" i="10"/>
  <c r="M17" i="10" s="1"/>
  <c r="V16" i="10"/>
  <c r="V17" i="10" s="1"/>
  <c r="R51" i="10"/>
  <c r="R34" i="10"/>
  <c r="R35" i="10" s="1"/>
  <c r="R16" i="10"/>
  <c r="R17" i="10" s="1"/>
  <c r="C17" i="10"/>
  <c r="Y16" i="10"/>
  <c r="Y17" i="10" s="1"/>
  <c r="X16" i="10"/>
  <c r="X17" i="10" s="1"/>
  <c r="AA16" i="10"/>
  <c r="AA17" i="10" s="1"/>
  <c r="G16" i="10"/>
  <c r="G17" i="10" s="1"/>
  <c r="N16" i="10"/>
  <c r="N17" i="10" s="1"/>
  <c r="L51" i="10"/>
  <c r="L34" i="10"/>
  <c r="L35" i="10" s="1"/>
  <c r="F16" i="10"/>
  <c r="F17" i="10" s="1"/>
  <c r="X51" i="10"/>
  <c r="X34" i="10"/>
  <c r="X35" i="10" s="1"/>
  <c r="K16" i="10"/>
  <c r="K17" i="10" s="1"/>
  <c r="W16" i="10"/>
  <c r="W17" i="10" s="1"/>
  <c r="J16" i="10"/>
  <c r="J17" i="10" s="1"/>
  <c r="S16" i="10"/>
  <c r="S17" i="10" s="1"/>
  <c r="L16" i="10"/>
  <c r="L17" i="10" s="1"/>
  <c r="O16" i="10"/>
  <c r="O17" i="10" s="1"/>
  <c r="F148" i="9"/>
  <c r="H148" i="9" s="1"/>
  <c r="E148" i="9"/>
  <c r="C148" i="9"/>
  <c r="F147" i="9"/>
  <c r="H147" i="9" s="1"/>
  <c r="D147" i="9" s="1"/>
  <c r="E147" i="9"/>
  <c r="C147" i="9"/>
  <c r="F146" i="9"/>
  <c r="H146" i="9" s="1"/>
  <c r="E146" i="9"/>
  <c r="C146" i="9"/>
  <c r="F145" i="9"/>
  <c r="H145" i="9" s="1"/>
  <c r="E145" i="9"/>
  <c r="D145" i="9" s="1"/>
  <c r="C145" i="9"/>
  <c r="F144" i="9"/>
  <c r="H144" i="9" s="1"/>
  <c r="D144" i="9" s="1"/>
  <c r="E144" i="9"/>
  <c r="C144" i="9"/>
  <c r="F143" i="9"/>
  <c r="H143" i="9" s="1"/>
  <c r="E143" i="9"/>
  <c r="C143" i="9"/>
  <c r="F142" i="9"/>
  <c r="H142" i="9" s="1"/>
  <c r="E142" i="9"/>
  <c r="C142" i="9"/>
  <c r="F141" i="9"/>
  <c r="H141" i="9" s="1"/>
  <c r="E141" i="9"/>
  <c r="C141" i="9"/>
  <c r="F140" i="9"/>
  <c r="H140" i="9" s="1"/>
  <c r="E140" i="9"/>
  <c r="C140" i="9"/>
  <c r="F139" i="9"/>
  <c r="H139" i="9" s="1"/>
  <c r="E139" i="9"/>
  <c r="C139" i="9"/>
  <c r="F138" i="9"/>
  <c r="H138" i="9" s="1"/>
  <c r="E138" i="9"/>
  <c r="C138" i="9"/>
  <c r="F137" i="9"/>
  <c r="H137" i="9" s="1"/>
  <c r="E137" i="9"/>
  <c r="C137" i="9"/>
  <c r="F136" i="9"/>
  <c r="H136" i="9" s="1"/>
  <c r="E136" i="9"/>
  <c r="C136" i="9"/>
  <c r="F135" i="9"/>
  <c r="H135" i="9" s="1"/>
  <c r="E135" i="9"/>
  <c r="C135" i="9"/>
  <c r="F134" i="9"/>
  <c r="H134" i="9" s="1"/>
  <c r="E134" i="9"/>
  <c r="C134" i="9"/>
  <c r="F133" i="9"/>
  <c r="H133" i="9" s="1"/>
  <c r="E133" i="9"/>
  <c r="C133" i="9"/>
  <c r="F132" i="9"/>
  <c r="H132" i="9" s="1"/>
  <c r="E132" i="9"/>
  <c r="C132" i="9"/>
  <c r="F131" i="9"/>
  <c r="H131" i="9" s="1"/>
  <c r="E131" i="9"/>
  <c r="C131" i="9"/>
  <c r="F130" i="9"/>
  <c r="H130" i="9" s="1"/>
  <c r="E130" i="9"/>
  <c r="C130" i="9"/>
  <c r="F129" i="9"/>
  <c r="H129" i="9" s="1"/>
  <c r="E129" i="9"/>
  <c r="C129" i="9"/>
  <c r="F128" i="9"/>
  <c r="H128" i="9" s="1"/>
  <c r="E128" i="9"/>
  <c r="C128" i="9"/>
  <c r="F127" i="9"/>
  <c r="H127" i="9" s="1"/>
  <c r="E127" i="9"/>
  <c r="C127" i="9"/>
  <c r="F126" i="9"/>
  <c r="H126" i="9" s="1"/>
  <c r="E126" i="9"/>
  <c r="C126" i="9"/>
  <c r="F125" i="9"/>
  <c r="H125" i="9" s="1"/>
  <c r="E125" i="9"/>
  <c r="C125" i="9"/>
  <c r="F124" i="9"/>
  <c r="H124" i="9" s="1"/>
  <c r="E124" i="9"/>
  <c r="C124" i="9"/>
  <c r="F123" i="9"/>
  <c r="H123" i="9" s="1"/>
  <c r="E123" i="9"/>
  <c r="C123" i="9"/>
  <c r="F122" i="9"/>
  <c r="H122" i="9" s="1"/>
  <c r="E122" i="9"/>
  <c r="C122" i="9"/>
  <c r="F121" i="9"/>
  <c r="H121" i="9" s="1"/>
  <c r="E121" i="9"/>
  <c r="C121" i="9"/>
  <c r="F120" i="9"/>
  <c r="H120" i="9" s="1"/>
  <c r="E120" i="9"/>
  <c r="C120" i="9"/>
  <c r="F119" i="9"/>
  <c r="H119" i="9" s="1"/>
  <c r="E119" i="9"/>
  <c r="C119" i="9"/>
  <c r="F118" i="9"/>
  <c r="H118" i="9" s="1"/>
  <c r="E118" i="9"/>
  <c r="C118" i="9"/>
  <c r="F117" i="9"/>
  <c r="H117" i="9" s="1"/>
  <c r="E117" i="9"/>
  <c r="C117" i="9"/>
  <c r="F116" i="9"/>
  <c r="H116" i="9" s="1"/>
  <c r="E116" i="9"/>
  <c r="C116" i="9"/>
  <c r="F115" i="9"/>
  <c r="H115" i="9" s="1"/>
  <c r="E115" i="9"/>
  <c r="C115" i="9"/>
  <c r="F114" i="9"/>
  <c r="H114" i="9" s="1"/>
  <c r="E114" i="9"/>
  <c r="C114" i="9"/>
  <c r="F113" i="9"/>
  <c r="H113" i="9" s="1"/>
  <c r="D113" i="9" s="1"/>
  <c r="E113" i="9"/>
  <c r="C113" i="9"/>
  <c r="F112" i="9"/>
  <c r="H112" i="9" s="1"/>
  <c r="E112" i="9"/>
  <c r="C112" i="9"/>
  <c r="F111" i="9"/>
  <c r="H111" i="9" s="1"/>
  <c r="E111" i="9"/>
  <c r="D111" i="9" s="1"/>
  <c r="C111" i="9"/>
  <c r="F110" i="9"/>
  <c r="H110" i="9" s="1"/>
  <c r="E110" i="9"/>
  <c r="C110" i="9"/>
  <c r="F109" i="9"/>
  <c r="H109" i="9" s="1"/>
  <c r="E109" i="9"/>
  <c r="C109" i="9"/>
  <c r="F108" i="9"/>
  <c r="H108" i="9" s="1"/>
  <c r="E108" i="9"/>
  <c r="C108" i="9"/>
  <c r="F107" i="9"/>
  <c r="H107" i="9" s="1"/>
  <c r="E107" i="9"/>
  <c r="C107" i="9"/>
  <c r="F106" i="9"/>
  <c r="H106" i="9" s="1"/>
  <c r="E106" i="9"/>
  <c r="C106" i="9"/>
  <c r="F105" i="9"/>
  <c r="H105" i="9" s="1"/>
  <c r="E105" i="9"/>
  <c r="C105" i="9"/>
  <c r="F104" i="9"/>
  <c r="H104" i="9" s="1"/>
  <c r="E104" i="9"/>
  <c r="C104" i="9"/>
  <c r="F103" i="9"/>
  <c r="H103" i="9" s="1"/>
  <c r="E103" i="9"/>
  <c r="D103" i="9" s="1"/>
  <c r="C103" i="9"/>
  <c r="F102" i="9"/>
  <c r="H102" i="9" s="1"/>
  <c r="E102" i="9"/>
  <c r="C102" i="9"/>
  <c r="F101" i="9"/>
  <c r="H101" i="9" s="1"/>
  <c r="E101" i="9"/>
  <c r="C101" i="9"/>
  <c r="F100" i="9"/>
  <c r="H100" i="9" s="1"/>
  <c r="E100" i="9"/>
  <c r="C100" i="9"/>
  <c r="B100" i="9"/>
  <c r="B51" i="2"/>
  <c r="C103" i="12" l="1"/>
  <c r="C100" i="12"/>
  <c r="D146" i="9"/>
  <c r="D112" i="9"/>
  <c r="D128" i="9"/>
  <c r="D105" i="9"/>
  <c r="D109" i="9"/>
  <c r="D136" i="9"/>
  <c r="D120" i="9"/>
  <c r="D148" i="9"/>
  <c r="B9" i="9"/>
  <c r="R52" i="10"/>
  <c r="R53" i="10" s="1"/>
  <c r="C35" i="10"/>
  <c r="B35" i="10" s="1"/>
  <c r="B36" i="10"/>
  <c r="L52" i="10"/>
  <c r="L53" i="10" s="1"/>
  <c r="B17" i="10"/>
  <c r="B52" i="10"/>
  <c r="B18" i="10"/>
  <c r="D102" i="9"/>
  <c r="D117" i="9"/>
  <c r="D101" i="9"/>
  <c r="D126" i="9"/>
  <c r="D131" i="9"/>
  <c r="D134" i="9"/>
  <c r="D139" i="9"/>
  <c r="D142" i="9"/>
  <c r="D118" i="9"/>
  <c r="D104" i="9"/>
  <c r="D110" i="9"/>
  <c r="D116" i="9"/>
  <c r="D121" i="9"/>
  <c r="D124" i="9"/>
  <c r="D129" i="9"/>
  <c r="D132" i="9"/>
  <c r="D137" i="9"/>
  <c r="D140" i="9"/>
  <c r="D125" i="9"/>
  <c r="D133" i="9"/>
  <c r="D141" i="9"/>
  <c r="D106" i="9"/>
  <c r="D115" i="9"/>
  <c r="D123" i="9"/>
  <c r="D108" i="9"/>
  <c r="D114" i="9"/>
  <c r="D119" i="9"/>
  <c r="D122" i="9"/>
  <c r="D127" i="9"/>
  <c r="D130" i="9"/>
  <c r="D135" i="9"/>
  <c r="D138" i="9"/>
  <c r="D143" i="9"/>
  <c r="D100" i="9"/>
  <c r="D107" i="9"/>
  <c r="B100" i="4"/>
  <c r="L7" i="7"/>
  <c r="L6" i="7"/>
  <c r="L5" i="7"/>
  <c r="H126" i="4"/>
  <c r="H127" i="4"/>
  <c r="H128" i="4"/>
  <c r="H129" i="4"/>
  <c r="H130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03" i="4"/>
  <c r="H102" i="4"/>
  <c r="H101" i="4"/>
  <c r="F102" i="4"/>
  <c r="E102" i="4"/>
  <c r="C102" i="4"/>
  <c r="K3" i="7"/>
  <c r="F103" i="4"/>
  <c r="E103" i="4"/>
  <c r="C103" i="4"/>
  <c r="F105" i="4"/>
  <c r="E105" i="4"/>
  <c r="C105" i="4"/>
  <c r="F101" i="4"/>
  <c r="E101" i="4"/>
  <c r="C101" i="4"/>
  <c r="F103" i="12" l="1"/>
  <c r="H103" i="12" s="1"/>
  <c r="D103" i="12" s="1"/>
  <c r="O52" i="10"/>
  <c r="O53" i="10" s="1"/>
  <c r="N52" i="10"/>
  <c r="N53" i="10" s="1"/>
  <c r="P52" i="10"/>
  <c r="P53" i="10" s="1"/>
  <c r="T52" i="10"/>
  <c r="T53" i="10" s="1"/>
  <c r="H52" i="10"/>
  <c r="H53" i="10" s="1"/>
  <c r="D52" i="10"/>
  <c r="D53" i="10" s="1"/>
  <c r="Z52" i="10"/>
  <c r="Z53" i="10" s="1"/>
  <c r="W52" i="10"/>
  <c r="W53" i="10" s="1"/>
  <c r="E52" i="10"/>
  <c r="E53" i="10" s="1"/>
  <c r="Q52" i="10"/>
  <c r="Q53" i="10" s="1"/>
  <c r="I52" i="10"/>
  <c r="I53" i="10" s="1"/>
  <c r="M52" i="10"/>
  <c r="M53" i="10" s="1"/>
  <c r="G52" i="10"/>
  <c r="G53" i="10" s="1"/>
  <c r="C52" i="10"/>
  <c r="J52" i="10"/>
  <c r="J53" i="10" s="1"/>
  <c r="S52" i="10"/>
  <c r="S53" i="10" s="1"/>
  <c r="AA52" i="10"/>
  <c r="AA53" i="10" s="1"/>
  <c r="U52" i="10"/>
  <c r="U53" i="10" s="1"/>
  <c r="Y52" i="10"/>
  <c r="Y53" i="10" s="1"/>
  <c r="K52" i="10"/>
  <c r="K53" i="10" s="1"/>
  <c r="F52" i="10"/>
  <c r="F53" i="10" s="1"/>
  <c r="V52" i="10"/>
  <c r="V53" i="10" s="1"/>
  <c r="X52" i="10"/>
  <c r="X53" i="10" s="1"/>
  <c r="L10" i="7"/>
  <c r="L9" i="7"/>
  <c r="F104" i="4"/>
  <c r="E104" i="4"/>
  <c r="C104" i="4"/>
  <c r="F106" i="4"/>
  <c r="E106" i="4"/>
  <c r="C106" i="4"/>
  <c r="F107" i="4"/>
  <c r="E107" i="4"/>
  <c r="C107" i="4"/>
  <c r="L3" i="7"/>
  <c r="L4" i="7"/>
  <c r="F108" i="4"/>
  <c r="E108" i="4"/>
  <c r="C108" i="4"/>
  <c r="B54" i="10" l="1"/>
  <c r="C53" i="10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3" i="7"/>
  <c r="D104" i="4"/>
  <c r="C100" i="4"/>
  <c r="M3" i="7"/>
  <c r="O51" i="7"/>
  <c r="Q51" i="7" s="1"/>
  <c r="N51" i="7"/>
  <c r="M51" i="7" s="1"/>
  <c r="O50" i="7"/>
  <c r="Q50" i="7" s="1"/>
  <c r="N50" i="7"/>
  <c r="M50" i="7" s="1"/>
  <c r="O49" i="7"/>
  <c r="Q49" i="7" s="1"/>
  <c r="N49" i="7"/>
  <c r="M49" i="7" s="1"/>
  <c r="O48" i="7"/>
  <c r="Q48" i="7" s="1"/>
  <c r="N48" i="7"/>
  <c r="M48" i="7" s="1"/>
  <c r="O47" i="7"/>
  <c r="Q47" i="7" s="1"/>
  <c r="N47" i="7"/>
  <c r="M47" i="7" s="1"/>
  <c r="O46" i="7"/>
  <c r="Q46" i="7" s="1"/>
  <c r="N46" i="7"/>
  <c r="M46" i="7" s="1"/>
  <c r="O45" i="7"/>
  <c r="Q45" i="7" s="1"/>
  <c r="N45" i="7"/>
  <c r="M45" i="7" s="1"/>
  <c r="O44" i="7"/>
  <c r="Q44" i="7" s="1"/>
  <c r="N44" i="7"/>
  <c r="M44" i="7"/>
  <c r="O43" i="7"/>
  <c r="Q43" i="7" s="1"/>
  <c r="N43" i="7"/>
  <c r="M43" i="7" s="1"/>
  <c r="O42" i="7"/>
  <c r="Q42" i="7" s="1"/>
  <c r="N42" i="7"/>
  <c r="M42" i="7" s="1"/>
  <c r="O41" i="7"/>
  <c r="Q41" i="7" s="1"/>
  <c r="N41" i="7"/>
  <c r="M41" i="7" s="1"/>
  <c r="O40" i="7"/>
  <c r="Q40" i="7" s="1"/>
  <c r="N40" i="7"/>
  <c r="M40" i="7" s="1"/>
  <c r="O39" i="7"/>
  <c r="Q39" i="7" s="1"/>
  <c r="N39" i="7"/>
  <c r="M39" i="7" s="1"/>
  <c r="O38" i="7"/>
  <c r="Q38" i="7" s="1"/>
  <c r="N38" i="7"/>
  <c r="M38" i="7" s="1"/>
  <c r="O37" i="7"/>
  <c r="Q37" i="7" s="1"/>
  <c r="N37" i="7"/>
  <c r="M37" i="7" s="1"/>
  <c r="O36" i="7"/>
  <c r="Q36" i="7" s="1"/>
  <c r="N36" i="7"/>
  <c r="M36" i="7" s="1"/>
  <c r="O35" i="7"/>
  <c r="Q35" i="7" s="1"/>
  <c r="N35" i="7"/>
  <c r="M35" i="7" s="1"/>
  <c r="O34" i="7"/>
  <c r="Q34" i="7" s="1"/>
  <c r="N34" i="7"/>
  <c r="M34" i="7" s="1"/>
  <c r="O33" i="7"/>
  <c r="Q33" i="7" s="1"/>
  <c r="N33" i="7"/>
  <c r="M33" i="7" s="1"/>
  <c r="O32" i="7"/>
  <c r="Q32" i="7" s="1"/>
  <c r="N32" i="7"/>
  <c r="M32" i="7"/>
  <c r="O31" i="7"/>
  <c r="Q31" i="7" s="1"/>
  <c r="N31" i="7"/>
  <c r="M31" i="7" s="1"/>
  <c r="O30" i="7"/>
  <c r="Q30" i="7" s="1"/>
  <c r="N30" i="7"/>
  <c r="M30" i="7" s="1"/>
  <c r="O29" i="7"/>
  <c r="Q29" i="7" s="1"/>
  <c r="N29" i="7"/>
  <c r="M29" i="7" s="1"/>
  <c r="O28" i="7"/>
  <c r="Q28" i="7" s="1"/>
  <c r="N28" i="7"/>
  <c r="M28" i="7" s="1"/>
  <c r="O27" i="7"/>
  <c r="Q27" i="7" s="1"/>
  <c r="N27" i="7"/>
  <c r="M27" i="7" s="1"/>
  <c r="O26" i="7"/>
  <c r="Q26" i="7" s="1"/>
  <c r="N26" i="7"/>
  <c r="M26" i="7" s="1"/>
  <c r="O25" i="7"/>
  <c r="Q25" i="7" s="1"/>
  <c r="N25" i="7"/>
  <c r="M25" i="7" s="1"/>
  <c r="O24" i="7"/>
  <c r="Q24" i="7" s="1"/>
  <c r="N24" i="7"/>
  <c r="M24" i="7" s="1"/>
  <c r="O23" i="7"/>
  <c r="Q23" i="7" s="1"/>
  <c r="N23" i="7"/>
  <c r="M23" i="7" s="1"/>
  <c r="O22" i="7"/>
  <c r="Q22" i="7" s="1"/>
  <c r="N22" i="7"/>
  <c r="M22" i="7" s="1"/>
  <c r="O21" i="7"/>
  <c r="Q21" i="7" s="1"/>
  <c r="N21" i="7"/>
  <c r="M21" i="7" s="1"/>
  <c r="O20" i="7"/>
  <c r="Q20" i="7" s="1"/>
  <c r="N20" i="7"/>
  <c r="M20" i="7"/>
  <c r="O19" i="7"/>
  <c r="Q19" i="7" s="1"/>
  <c r="N19" i="7"/>
  <c r="M19" i="7" s="1"/>
  <c r="O18" i="7"/>
  <c r="Q18" i="7" s="1"/>
  <c r="N18" i="7"/>
  <c r="M18" i="7" s="1"/>
  <c r="O17" i="7"/>
  <c r="Q17" i="7" s="1"/>
  <c r="N17" i="7"/>
  <c r="M17" i="7" s="1"/>
  <c r="O16" i="7"/>
  <c r="Q16" i="7" s="1"/>
  <c r="N16" i="7"/>
  <c r="M16" i="7" s="1"/>
  <c r="O15" i="7"/>
  <c r="Q15" i="7" s="1"/>
  <c r="N15" i="7"/>
  <c r="M15" i="7" s="1"/>
  <c r="O14" i="7"/>
  <c r="Q14" i="7" s="1"/>
  <c r="N14" i="7"/>
  <c r="M14" i="7" s="1"/>
  <c r="O13" i="7"/>
  <c r="Q13" i="7" s="1"/>
  <c r="N13" i="7"/>
  <c r="M13" i="7" s="1"/>
  <c r="O12" i="7"/>
  <c r="Q12" i="7" s="1"/>
  <c r="N12" i="7"/>
  <c r="M12" i="7" s="1"/>
  <c r="O11" i="7"/>
  <c r="Q11" i="7" s="1"/>
  <c r="N11" i="7"/>
  <c r="M11" i="7" s="1"/>
  <c r="O10" i="7"/>
  <c r="Q10" i="7" s="1"/>
  <c r="N10" i="7"/>
  <c r="M10" i="7" s="1"/>
  <c r="O9" i="7"/>
  <c r="Q9" i="7" s="1"/>
  <c r="N9" i="7"/>
  <c r="M9" i="7" s="1"/>
  <c r="O8" i="7"/>
  <c r="Q8" i="7" s="1"/>
  <c r="N8" i="7"/>
  <c r="M8" i="7" s="1"/>
  <c r="O7" i="7"/>
  <c r="Q7" i="7" s="1"/>
  <c r="N7" i="7"/>
  <c r="M7" i="7" s="1"/>
  <c r="O6" i="7"/>
  <c r="Q6" i="7" s="1"/>
  <c r="N6" i="7"/>
  <c r="M6" i="7" s="1"/>
  <c r="O5" i="7"/>
  <c r="Q5" i="7" s="1"/>
  <c r="N5" i="7"/>
  <c r="M5" i="7" s="1"/>
  <c r="O4" i="7"/>
  <c r="Q4" i="7" s="1"/>
  <c r="N4" i="7"/>
  <c r="M4" i="7" s="1"/>
  <c r="O3" i="7"/>
  <c r="Q3" i="7" s="1"/>
  <c r="N3" i="7"/>
  <c r="B53" i="10" l="1"/>
  <c r="U10" i="1"/>
  <c r="N51" i="2"/>
  <c r="O51" i="2"/>
  <c r="G3" i="7"/>
  <c r="H3" i="7" s="1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Z33" i="2"/>
  <c r="Z51" i="2" s="1"/>
  <c r="X33" i="2"/>
  <c r="V33" i="2"/>
  <c r="V51" i="2" s="1"/>
  <c r="T33" i="2"/>
  <c r="R33" i="2"/>
  <c r="R51" i="2" s="1"/>
  <c r="P33" i="2"/>
  <c r="O33" i="2"/>
  <c r="N33" i="2"/>
  <c r="L33" i="2"/>
  <c r="L51" i="2" s="1"/>
  <c r="J33" i="2"/>
  <c r="H33" i="2"/>
  <c r="H51" i="2" s="1"/>
  <c r="F33" i="2"/>
  <c r="F51" i="2" s="1"/>
  <c r="D33" i="2"/>
  <c r="D51" i="2" s="1"/>
  <c r="B33" i="2"/>
  <c r="B15" i="2"/>
  <c r="C15" i="2"/>
  <c r="C33" i="2" s="1"/>
  <c r="D15" i="2"/>
  <c r="E15" i="2"/>
  <c r="E33" i="2" s="1"/>
  <c r="F15" i="2"/>
  <c r="G15" i="2"/>
  <c r="G33" i="2" s="1"/>
  <c r="H15" i="2"/>
  <c r="I15" i="2"/>
  <c r="I33" i="2" s="1"/>
  <c r="J15" i="2"/>
  <c r="K15" i="2"/>
  <c r="K33" i="2" s="1"/>
  <c r="L15" i="2"/>
  <c r="M15" i="2"/>
  <c r="M33" i="2" s="1"/>
  <c r="N15" i="2"/>
  <c r="O15" i="2"/>
  <c r="P15" i="2"/>
  <c r="Q15" i="2"/>
  <c r="Q33" i="2" s="1"/>
  <c r="R15" i="2"/>
  <c r="S15" i="2"/>
  <c r="S33" i="2" s="1"/>
  <c r="T15" i="2"/>
  <c r="U15" i="2"/>
  <c r="U33" i="2" s="1"/>
  <c r="V15" i="2"/>
  <c r="W15" i="2"/>
  <c r="W33" i="2" s="1"/>
  <c r="X15" i="2"/>
  <c r="Y15" i="2"/>
  <c r="Y33" i="2" s="1"/>
  <c r="Z15" i="2"/>
  <c r="AA15" i="2"/>
  <c r="AA33" i="2" s="1"/>
  <c r="U4" i="1"/>
  <c r="F4" i="1" s="1"/>
  <c r="AA51" i="2" l="1"/>
  <c r="W51" i="2"/>
  <c r="S51" i="2"/>
  <c r="K51" i="2"/>
  <c r="G51" i="2"/>
  <c r="B34" i="2"/>
  <c r="P34" i="2" s="1"/>
  <c r="P35" i="2" s="1"/>
  <c r="C51" i="2"/>
  <c r="Y51" i="2"/>
  <c r="U51" i="2"/>
  <c r="Q51" i="2"/>
  <c r="M51" i="2"/>
  <c r="I51" i="2"/>
  <c r="E51" i="2"/>
  <c r="AA52" i="2" s="1"/>
  <c r="AA53" i="2" s="1"/>
  <c r="O34" i="2"/>
  <c r="O35" i="2" s="1"/>
  <c r="B16" i="2"/>
  <c r="X16" i="2" s="1"/>
  <c r="J51" i="2"/>
  <c r="T51" i="2"/>
  <c r="X51" i="2"/>
  <c r="P51" i="2"/>
  <c r="H34" i="2"/>
  <c r="H35" i="2" s="1"/>
  <c r="AA16" i="2"/>
  <c r="D16" i="2"/>
  <c r="I16" i="2"/>
  <c r="Y16" i="2"/>
  <c r="N16" i="2"/>
  <c r="G16" i="2"/>
  <c r="W16" i="2"/>
  <c r="F100" i="4"/>
  <c r="H100" i="4" s="1"/>
  <c r="E100" i="4"/>
  <c r="D101" i="4"/>
  <c r="X17" i="2" l="1"/>
  <c r="C25" i="8" s="1"/>
  <c r="E25" i="8" s="1"/>
  <c r="B25" i="8"/>
  <c r="W17" i="2"/>
  <c r="C24" i="8" s="1"/>
  <c r="E24" i="8" s="1"/>
  <c r="B24" i="8"/>
  <c r="Y17" i="2"/>
  <c r="C26" i="8" s="1"/>
  <c r="E26" i="8" s="1"/>
  <c r="B26" i="8"/>
  <c r="AA17" i="2"/>
  <c r="C28" i="8" s="1"/>
  <c r="E28" i="8" s="1"/>
  <c r="B28" i="8"/>
  <c r="W34" i="2"/>
  <c r="W35" i="2" s="1"/>
  <c r="S16" i="2"/>
  <c r="C16" i="2"/>
  <c r="J16" i="2"/>
  <c r="U16" i="2"/>
  <c r="E16" i="2"/>
  <c r="T16" i="2"/>
  <c r="D34" i="2"/>
  <c r="Z34" i="2"/>
  <c r="Z35" i="2" s="1"/>
  <c r="I34" i="2"/>
  <c r="I35" i="2" s="1"/>
  <c r="Q34" i="2"/>
  <c r="Q35" i="2" s="1"/>
  <c r="Y34" i="2"/>
  <c r="Y35" i="2" s="1"/>
  <c r="N34" i="2"/>
  <c r="N35" i="2" s="1"/>
  <c r="G34" i="2"/>
  <c r="G35" i="2" s="1"/>
  <c r="G17" i="2"/>
  <c r="C8" i="8" s="1"/>
  <c r="E8" i="8" s="1"/>
  <c r="B8" i="8"/>
  <c r="D17" i="2"/>
  <c r="C5" i="8" s="1"/>
  <c r="E5" i="8" s="1"/>
  <c r="B5" i="8"/>
  <c r="F16" i="2"/>
  <c r="H16" i="2"/>
  <c r="V34" i="2"/>
  <c r="V35" i="2" s="1"/>
  <c r="X34" i="2"/>
  <c r="X35" i="2" s="1"/>
  <c r="C34" i="2"/>
  <c r="C35" i="2" s="1"/>
  <c r="S34" i="2"/>
  <c r="S35" i="2" s="1"/>
  <c r="AA34" i="2"/>
  <c r="AA35" i="2" s="1"/>
  <c r="N17" i="2"/>
  <c r="C15" i="8" s="1"/>
  <c r="E15" i="8" s="1"/>
  <c r="B15" i="8"/>
  <c r="I17" i="2"/>
  <c r="C10" i="8" s="1"/>
  <c r="E10" i="8" s="1"/>
  <c r="B10" i="8"/>
  <c r="T34" i="2"/>
  <c r="T35" i="2" s="1"/>
  <c r="O16" i="2"/>
  <c r="V16" i="2"/>
  <c r="Q16" i="2"/>
  <c r="P16" i="2"/>
  <c r="K16" i="2"/>
  <c r="R16" i="2"/>
  <c r="Z16" i="2"/>
  <c r="M16" i="2"/>
  <c r="L16" i="2"/>
  <c r="R34" i="2"/>
  <c r="R35" i="2" s="1"/>
  <c r="L34" i="2"/>
  <c r="L35" i="2" s="1"/>
  <c r="F34" i="2"/>
  <c r="F35" i="2" s="1"/>
  <c r="E34" i="2"/>
  <c r="E35" i="2" s="1"/>
  <c r="M34" i="2"/>
  <c r="M35" i="2" s="1"/>
  <c r="U34" i="2"/>
  <c r="U35" i="2" s="1"/>
  <c r="J34" i="2"/>
  <c r="J35" i="2" s="1"/>
  <c r="K34" i="2"/>
  <c r="K35" i="2" s="1"/>
  <c r="K52" i="2"/>
  <c r="K53" i="2" s="1"/>
  <c r="Y52" i="2"/>
  <c r="Y53" i="2" s="1"/>
  <c r="P52" i="2"/>
  <c r="P53" i="2" s="1"/>
  <c r="Q52" i="2"/>
  <c r="Q53" i="2" s="1"/>
  <c r="O52" i="2"/>
  <c r="O53" i="2" s="1"/>
  <c r="R52" i="2"/>
  <c r="R53" i="2" s="1"/>
  <c r="W52" i="2"/>
  <c r="W53" i="2" s="1"/>
  <c r="U52" i="2"/>
  <c r="U53" i="2" s="1"/>
  <c r="L52" i="2"/>
  <c r="L53" i="2" s="1"/>
  <c r="G52" i="2"/>
  <c r="G53" i="2" s="1"/>
  <c r="E52" i="2"/>
  <c r="E53" i="2" s="1"/>
  <c r="Z52" i="2"/>
  <c r="Z53" i="2" s="1"/>
  <c r="N52" i="2"/>
  <c r="N53" i="2" s="1"/>
  <c r="S52" i="2"/>
  <c r="S53" i="2" s="1"/>
  <c r="C52" i="2"/>
  <c r="M52" i="2"/>
  <c r="M53" i="2" s="1"/>
  <c r="X52" i="2"/>
  <c r="X53" i="2" s="1"/>
  <c r="H52" i="2"/>
  <c r="H53" i="2" s="1"/>
  <c r="J52" i="2"/>
  <c r="J53" i="2" s="1"/>
  <c r="I52" i="2"/>
  <c r="I53" i="2" s="1"/>
  <c r="T52" i="2"/>
  <c r="T53" i="2" s="1"/>
  <c r="D52" i="2"/>
  <c r="D53" i="2" s="1"/>
  <c r="F52" i="2"/>
  <c r="F53" i="2" s="1"/>
  <c r="V52" i="2"/>
  <c r="V53" i="2" s="1"/>
  <c r="D100" i="4"/>
  <c r="D102" i="4"/>
  <c r="C53" i="2" l="1"/>
  <c r="B54" i="2"/>
  <c r="V17" i="2"/>
  <c r="C23" i="8" s="1"/>
  <c r="E23" i="8" s="1"/>
  <c r="B23" i="8"/>
  <c r="H17" i="2"/>
  <c r="C9" i="8" s="1"/>
  <c r="E9" i="8" s="1"/>
  <c r="B9" i="8"/>
  <c r="B36" i="2"/>
  <c r="D35" i="2"/>
  <c r="B35" i="2" s="1"/>
  <c r="J17" i="2"/>
  <c r="C11" i="8" s="1"/>
  <c r="E11" i="8" s="1"/>
  <c r="B11" i="8"/>
  <c r="L17" i="2"/>
  <c r="C13" i="8" s="1"/>
  <c r="E13" i="8" s="1"/>
  <c r="B13" i="8"/>
  <c r="K17" i="2"/>
  <c r="C12" i="8" s="1"/>
  <c r="E12" i="8" s="1"/>
  <c r="B12" i="8"/>
  <c r="O17" i="2"/>
  <c r="C16" i="8" s="1"/>
  <c r="E16" i="8" s="1"/>
  <c r="B16" i="8"/>
  <c r="F17" i="2"/>
  <c r="C7" i="8" s="1"/>
  <c r="E7" i="8" s="1"/>
  <c r="B7" i="8"/>
  <c r="T17" i="2"/>
  <c r="C21" i="8" s="1"/>
  <c r="E21" i="8" s="1"/>
  <c r="B21" i="8"/>
  <c r="C17" i="2"/>
  <c r="B4" i="8"/>
  <c r="B18" i="2"/>
  <c r="P17" i="2"/>
  <c r="C17" i="8" s="1"/>
  <c r="E17" i="8" s="1"/>
  <c r="B17" i="8"/>
  <c r="E17" i="2"/>
  <c r="C6" i="8" s="1"/>
  <c r="E6" i="8" s="1"/>
  <c r="B6" i="8"/>
  <c r="S17" i="2"/>
  <c r="C20" i="8" s="1"/>
  <c r="E20" i="8" s="1"/>
  <c r="B20" i="8"/>
  <c r="R17" i="2"/>
  <c r="C19" i="8" s="1"/>
  <c r="E19" i="8" s="1"/>
  <c r="B19" i="8"/>
  <c r="M17" i="2"/>
  <c r="C14" i="8" s="1"/>
  <c r="E14" i="8" s="1"/>
  <c r="B14" i="8"/>
  <c r="Z17" i="2"/>
  <c r="C27" i="8" s="1"/>
  <c r="E27" i="8" s="1"/>
  <c r="B27" i="8"/>
  <c r="Q17" i="2"/>
  <c r="C18" i="8" s="1"/>
  <c r="E18" i="8" s="1"/>
  <c r="B18" i="8"/>
  <c r="U17" i="2"/>
  <c r="C22" i="8" s="1"/>
  <c r="E22" i="8" s="1"/>
  <c r="B22" i="8"/>
  <c r="D103" i="4"/>
  <c r="H14" i="8" l="1"/>
  <c r="C4" i="8"/>
  <c r="B17" i="2"/>
  <c r="C99" i="5"/>
  <c r="H16" i="8" l="1"/>
  <c r="E4" i="8"/>
  <c r="F148" i="4"/>
  <c r="H148" i="4" s="1"/>
  <c r="F147" i="4"/>
  <c r="H147" i="4" s="1"/>
  <c r="F146" i="4"/>
  <c r="H146" i="4" s="1"/>
  <c r="F145" i="4"/>
  <c r="H145" i="4" s="1"/>
  <c r="F144" i="4"/>
  <c r="H144" i="4" s="1"/>
  <c r="F143" i="4"/>
  <c r="H143" i="4" s="1"/>
  <c r="F142" i="4"/>
  <c r="H142" i="4" s="1"/>
  <c r="F141" i="4"/>
  <c r="H141" i="4" s="1"/>
  <c r="F140" i="4"/>
  <c r="H140" i="4" s="1"/>
  <c r="F139" i="4"/>
  <c r="H139" i="4" s="1"/>
  <c r="F138" i="4"/>
  <c r="H138" i="4" s="1"/>
  <c r="F137" i="4"/>
  <c r="H137" i="4" s="1"/>
  <c r="F136" i="4"/>
  <c r="H136" i="4" s="1"/>
  <c r="F135" i="4"/>
  <c r="H135" i="4" s="1"/>
  <c r="F134" i="4"/>
  <c r="H134" i="4" s="1"/>
  <c r="F133" i="4"/>
  <c r="H133" i="4" s="1"/>
  <c r="F132" i="4"/>
  <c r="H132" i="4" s="1"/>
  <c r="F131" i="4"/>
  <c r="H131" i="4" s="1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D108" i="4" l="1"/>
  <c r="D107" i="4"/>
  <c r="D106" i="4"/>
  <c r="D105" i="4"/>
  <c r="E148" i="4" l="1"/>
  <c r="D148" i="4" s="1"/>
  <c r="E147" i="4"/>
  <c r="D147" i="4" s="1"/>
  <c r="E146" i="4"/>
  <c r="D146" i="4" s="1"/>
  <c r="E145" i="4"/>
  <c r="D145" i="4" s="1"/>
  <c r="E144" i="4"/>
  <c r="D144" i="4" s="1"/>
  <c r="E143" i="4"/>
  <c r="D143" i="4" s="1"/>
  <c r="E142" i="4"/>
  <c r="D142" i="4" s="1"/>
  <c r="E141" i="4"/>
  <c r="D141" i="4" s="1"/>
  <c r="E140" i="4"/>
  <c r="D140" i="4" s="1"/>
  <c r="E139" i="4"/>
  <c r="D139" i="4" s="1"/>
  <c r="E138" i="4"/>
  <c r="D138" i="4" s="1"/>
  <c r="E137" i="4"/>
  <c r="D137" i="4" s="1"/>
  <c r="E136" i="4"/>
  <c r="D136" i="4" s="1"/>
  <c r="E135" i="4"/>
  <c r="D135" i="4" s="1"/>
  <c r="E134" i="4"/>
  <c r="D134" i="4" s="1"/>
  <c r="E133" i="4"/>
  <c r="D133" i="4" s="1"/>
  <c r="E132" i="4"/>
  <c r="D132" i="4" s="1"/>
  <c r="E131" i="4"/>
  <c r="D131" i="4" s="1"/>
  <c r="E130" i="4"/>
  <c r="D130" i="4" s="1"/>
  <c r="E129" i="4"/>
  <c r="D129" i="4" s="1"/>
  <c r="E128" i="4"/>
  <c r="D128" i="4" s="1"/>
  <c r="E127" i="4"/>
  <c r="D127" i="4" s="1"/>
  <c r="E126" i="4"/>
  <c r="D126" i="4" s="1"/>
  <c r="E125" i="4"/>
  <c r="D125" i="4" s="1"/>
  <c r="E124" i="4"/>
  <c r="D124" i="4" s="1"/>
  <c r="E123" i="4"/>
  <c r="D123" i="4" s="1"/>
  <c r="E122" i="4"/>
  <c r="D122" i="4" s="1"/>
  <c r="E121" i="4"/>
  <c r="D121" i="4" s="1"/>
  <c r="E120" i="4"/>
  <c r="D120" i="4" s="1"/>
  <c r="E119" i="4"/>
  <c r="D119" i="4" s="1"/>
  <c r="E118" i="4"/>
  <c r="D118" i="4" s="1"/>
  <c r="E117" i="4"/>
  <c r="D117" i="4" s="1"/>
  <c r="E116" i="4"/>
  <c r="D116" i="4" s="1"/>
  <c r="E115" i="4"/>
  <c r="D115" i="4" s="1"/>
  <c r="E114" i="4"/>
  <c r="D114" i="4" s="1"/>
  <c r="E113" i="4"/>
  <c r="D113" i="4" s="1"/>
  <c r="E112" i="4"/>
  <c r="D112" i="4" s="1"/>
  <c r="E111" i="4"/>
  <c r="D111" i="4" s="1"/>
  <c r="E110" i="4"/>
  <c r="D110" i="4" s="1"/>
  <c r="E109" i="4"/>
  <c r="D109" i="4" s="1"/>
  <c r="C148" i="4"/>
  <c r="C147" i="4" l="1"/>
  <c r="C146" i="4"/>
  <c r="C145" i="4"/>
  <c r="C144" i="4"/>
  <c r="C143" i="4"/>
  <c r="C142" i="4"/>
  <c r="C141" i="4"/>
  <c r="C140" i="4"/>
  <c r="C139" i="4"/>
  <c r="C138" i="4"/>
  <c r="C137" i="4"/>
  <c r="C136" i="4" l="1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A1407CF1-374D-45A9-AB24-17050B0DF94F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BBD49DB7-B498-4E68-A256-D33EDA5BE3AA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5D62E29C-EA04-47D3-AB9D-D989699B389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A59381F7-D22A-44AB-BEAD-A41059205339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002A6A8B-A7A2-47A6-9D20-4414A4628E3B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3404864F-0AF3-438A-A1A1-BA93E0D2337A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E38C659C-4832-4E1D-845C-0FF7838FB3B8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D5128BE1-B438-4B82-BF82-63A02B39FCF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BEE411A7-47C2-4163-92FE-DCE7C9A48386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DBD67DDC-B9D2-45F6-A39D-6257FA325135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8E982E21-8239-49E7-9785-52809F20C4F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37B016AF-A45C-4008-890E-D4A275348B4C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C477323C-5C95-4C74-90F9-7A1C97FDF891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4A597FC4-34B8-44CE-A5EE-417CCA0B6360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7B40135B-53CB-43CF-BB4A-1AA8EEC6143D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7F708A87-12D6-4684-9DCE-A5968457ECD2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09696B12-4055-4DF2-BB74-8FB47027138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0FE6E06B-70DE-451B-BBE3-4C3E0FC3C8E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sharedStrings.xml><?xml version="1.0" encoding="utf-8"?>
<sst xmlns="http://schemas.openxmlformats.org/spreadsheetml/2006/main" count="457" uniqueCount="111">
  <si>
    <t>ryan</t>
  </si>
  <si>
    <t>Savings</t>
  </si>
  <si>
    <t>Revenue</t>
  </si>
  <si>
    <t>Borrower</t>
  </si>
  <si>
    <t>DATE of CUTOFF</t>
  </si>
  <si>
    <t>TOTAL</t>
  </si>
  <si>
    <t>vince</t>
  </si>
  <si>
    <t>Total</t>
  </si>
  <si>
    <t>no. of list</t>
  </si>
  <si>
    <t>qrow</t>
  </si>
  <si>
    <t>Combobox</t>
  </si>
  <si>
    <t>Total Principal</t>
  </si>
  <si>
    <t>Total Interest</t>
  </si>
  <si>
    <t>Date</t>
  </si>
  <si>
    <t>Principal</t>
  </si>
  <si>
    <t>Interest</t>
  </si>
  <si>
    <t>Remaining Int</t>
  </si>
  <si>
    <t>rrow</t>
  </si>
  <si>
    <t>Interest Paid</t>
  </si>
  <si>
    <t>kenneth</t>
  </si>
  <si>
    <t>rubin</t>
  </si>
  <si>
    <t>ken</t>
  </si>
  <si>
    <t>gian</t>
  </si>
  <si>
    <t>donque</t>
  </si>
  <si>
    <t>bernard</t>
  </si>
  <si>
    <t>gina</t>
  </si>
  <si>
    <t>rowel</t>
  </si>
  <si>
    <t>leo j.</t>
  </si>
  <si>
    <t>emman r.</t>
  </si>
  <si>
    <t>jeff</t>
  </si>
  <si>
    <t>rommel c.</t>
  </si>
  <si>
    <t>guilly</t>
  </si>
  <si>
    <t>edward</t>
  </si>
  <si>
    <t>kc</t>
  </si>
  <si>
    <t>paulo</t>
  </si>
  <si>
    <t>karen</t>
  </si>
  <si>
    <t>roldan</t>
  </si>
  <si>
    <t>mark c.</t>
  </si>
  <si>
    <t>hazel</t>
  </si>
  <si>
    <t>kero</t>
  </si>
  <si>
    <t>gef</t>
  </si>
  <si>
    <t>second</t>
  </si>
  <si>
    <t>fourth</t>
  </si>
  <si>
    <t>alvin</t>
  </si>
  <si>
    <t>gwgw</t>
  </si>
  <si>
    <t>gugu</t>
  </si>
  <si>
    <t>PROFIT</t>
  </si>
  <si>
    <t>2019 - 1st Half</t>
  </si>
  <si>
    <t>2019 - 2nd Half</t>
  </si>
  <si>
    <t>2013 - 2nd Half</t>
  </si>
  <si>
    <t>yrow</t>
  </si>
  <si>
    <t>arow</t>
  </si>
  <si>
    <t>2014 - 1st Half</t>
  </si>
  <si>
    <t>2014 - 2nd Half</t>
  </si>
  <si>
    <t>ON HAND</t>
  </si>
  <si>
    <t>ON BANK</t>
  </si>
  <si>
    <t>BANK 2</t>
  </si>
  <si>
    <t>BANK 3</t>
  </si>
  <si>
    <t>GCASH</t>
  </si>
  <si>
    <t>TOTAL MONEY IN POSSESSION</t>
  </si>
  <si>
    <t>Cutoff</t>
  </si>
  <si>
    <t>Percent Share</t>
  </si>
  <si>
    <t>Profit for 2013 2nd half</t>
  </si>
  <si>
    <t>Profit for 2014 2nd half</t>
  </si>
  <si>
    <t>PROFIT OVERVIEW</t>
  </si>
  <si>
    <t>Shareholders</t>
  </si>
  <si>
    <t>Profit Per Share</t>
  </si>
  <si>
    <t>Deductions</t>
  </si>
  <si>
    <t>Take Home</t>
  </si>
  <si>
    <t>TOTAL MONEY IN LENT</t>
  </si>
  <si>
    <t>KFC LENT MONEY</t>
  </si>
  <si>
    <t>2/28/205</t>
  </si>
  <si>
    <t>Total Percent Share</t>
  </si>
  <si>
    <t>Total Profit</t>
  </si>
  <si>
    <t>sroww</t>
  </si>
  <si>
    <t>Year(addy)</t>
  </si>
  <si>
    <t>Members(addcsav)</t>
  </si>
  <si>
    <t>TOTAL MONEY IN OTHER INVESTMENT</t>
  </si>
  <si>
    <t>CURRENT CUT-OFF DATE</t>
  </si>
  <si>
    <t>KFC TOTAL ASSETS</t>
  </si>
  <si>
    <t>KFC MONEY IN POSSESSION</t>
  </si>
  <si>
    <t>SAVINGS DATA</t>
  </si>
  <si>
    <t>aa</t>
  </si>
  <si>
    <t>bb</t>
  </si>
  <si>
    <t>cc</t>
  </si>
  <si>
    <t>Remaining BAL</t>
  </si>
  <si>
    <t>Received INT</t>
  </si>
  <si>
    <t>Utang 1</t>
  </si>
  <si>
    <t>Utang 2</t>
  </si>
  <si>
    <t>Paid Principal</t>
  </si>
  <si>
    <t>Add Principal</t>
  </si>
  <si>
    <t>Initial Principal</t>
  </si>
  <si>
    <t>Paid Interest</t>
  </si>
  <si>
    <t>Principal Remaining</t>
  </si>
  <si>
    <t>DATE OF CUT-OFF</t>
  </si>
  <si>
    <t>PROFIT----------&gt;</t>
  </si>
  <si>
    <t>Recieved Principal</t>
  </si>
  <si>
    <t>dd</t>
  </si>
  <si>
    <t>SAVINGS</t>
  </si>
  <si>
    <t>SHAREHOLDERS</t>
  </si>
  <si>
    <t>BORROWERS</t>
  </si>
  <si>
    <t>PRINCIPAL</t>
  </si>
  <si>
    <t>INTEREST</t>
  </si>
  <si>
    <t>EVERY CUT-OFF</t>
  </si>
  <si>
    <t>Date Cut-off</t>
  </si>
  <si>
    <t>Juan uno</t>
  </si>
  <si>
    <t>Juan dos</t>
  </si>
  <si>
    <t>PAID</t>
  </si>
  <si>
    <t>Ryan 1</t>
  </si>
  <si>
    <t>ONGOING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</si>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</sst>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d\-mmm;@"/>
  </numFmts>
  <fonts count="27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8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rgb="FF000000"/>
      <name val="Calibri"/>
      <family val="2"/>
    </font>
    <font>
      <b/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FFFF"/>
      <name val="Calibri"/>
      <family val="2"/>
      <scheme val="minor"/>
    </font>
    <font>
      <sz val="20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49998474074526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324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1" xfId="0" applyBorder="1"/>
    <xf numFmtId="0" fontId="0" fillId="4" borderId="1" xfId="0" applyFill="1" applyBorder="1"/>
    <xf numFmtId="0" fontId="2" fillId="4" borderId="1" xfId="0" applyFont="1" applyFill="1" applyBorder="1" applyAlignment="1">
      <alignment horizontal="center"/>
    </xf>
    <xf numFmtId="164" fontId="2" fillId="4" borderId="1" xfId="0" applyNumberFormat="1" applyFont="1" applyFill="1" applyBorder="1" applyAlignment="1">
      <alignment horizontal="center"/>
    </xf>
    <xf numFmtId="0" fontId="0" fillId="5" borderId="0" xfId="0" applyFill="1"/>
    <xf numFmtId="164" fontId="0" fillId="0" borderId="0" xfId="0" applyNumberFormat="1"/>
    <xf numFmtId="0" fontId="0" fillId="4" borderId="2" xfId="0" applyFill="1" applyBorder="1"/>
    <xf numFmtId="164" fontId="0" fillId="0" borderId="1" xfId="0" applyNumberFormat="1" applyBorder="1"/>
    <xf numFmtId="164" fontId="0" fillId="4" borderId="1" xfId="0" applyNumberFormat="1" applyFill="1" applyBorder="1"/>
    <xf numFmtId="0" fontId="0" fillId="6" borderId="1" xfId="0" applyFill="1" applyBorder="1"/>
    <xf numFmtId="0" fontId="0" fillId="4" borderId="0" xfId="0" applyFill="1"/>
    <xf numFmtId="0" fontId="0" fillId="7" borderId="0" xfId="0" applyFill="1"/>
    <xf numFmtId="22" fontId="0" fillId="0" borderId="1" xfId="0" applyNumberFormat="1" applyBorder="1"/>
    <xf numFmtId="0" fontId="0" fillId="8" borderId="1" xfId="0" applyFill="1" applyBorder="1"/>
    <xf numFmtId="0" fontId="0" fillId="9" borderId="1" xfId="0" applyFill="1" applyBorder="1"/>
    <xf numFmtId="22" fontId="0" fillId="4" borderId="1" xfId="0" applyNumberFormat="1" applyFill="1" applyBorder="1"/>
    <xf numFmtId="0" fontId="1" fillId="3" borderId="4" xfId="0" applyFont="1" applyFill="1" applyBorder="1"/>
    <xf numFmtId="0" fontId="3" fillId="7" borderId="1" xfId="0" applyFont="1" applyFill="1" applyBorder="1"/>
    <xf numFmtId="0" fontId="0" fillId="7" borderId="1" xfId="0" applyFill="1" applyBorder="1"/>
    <xf numFmtId="0" fontId="2" fillId="5" borderId="5" xfId="0" applyFont="1" applyFill="1" applyBorder="1" applyAlignment="1">
      <alignment horizontal="center" vertical="center"/>
    </xf>
    <xf numFmtId="0" fontId="0" fillId="10" borderId="0" xfId="0" applyFill="1"/>
    <xf numFmtId="0" fontId="0" fillId="11" borderId="0" xfId="0" applyFill="1"/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0" fillId="11" borderId="1" xfId="0" applyFill="1" applyBorder="1"/>
    <xf numFmtId="0" fontId="0" fillId="12" borderId="0" xfId="0" applyFill="1"/>
    <xf numFmtId="0" fontId="0" fillId="12" borderId="0" xfId="0" applyFill="1" applyAlignment="1">
      <alignment wrapText="1"/>
    </xf>
    <xf numFmtId="0" fontId="0" fillId="13" borderId="0" xfId="0" applyFill="1"/>
    <xf numFmtId="164" fontId="2" fillId="14" borderId="6" xfId="0" applyNumberFormat="1" applyFont="1" applyFill="1" applyBorder="1" applyAlignment="1">
      <alignment horizontal="center"/>
    </xf>
    <xf numFmtId="164" fontId="2" fillId="14" borderId="7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Border="1"/>
    <xf numFmtId="0" fontId="2" fillId="15" borderId="3" xfId="0" applyNumberFormat="1" applyFont="1" applyFill="1" applyBorder="1" applyAlignment="1">
      <alignment horizontal="center" vertical="center"/>
    </xf>
    <xf numFmtId="0" fontId="2" fillId="15" borderId="17" xfId="0" applyNumberFormat="1" applyFont="1" applyFill="1" applyBorder="1" applyAlignment="1">
      <alignment horizontal="center" vertical="center"/>
    </xf>
    <xf numFmtId="10" fontId="0" fillId="16" borderId="1" xfId="0" applyNumberFormat="1" applyFill="1" applyBorder="1"/>
    <xf numFmtId="4" fontId="0" fillId="0" borderId="1" xfId="0" applyNumberFormat="1" applyBorder="1"/>
    <xf numFmtId="0" fontId="0" fillId="0" borderId="0" xfId="0" applyAlignment="1">
      <alignment horizontal="center" vertical="center"/>
    </xf>
    <xf numFmtId="0" fontId="10" fillId="21" borderId="1" xfId="0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3" borderId="19" xfId="0" applyFont="1" applyFill="1" applyBorder="1"/>
    <xf numFmtId="164" fontId="2" fillId="4" borderId="20" xfId="0" applyNumberFormat="1" applyFont="1" applyFill="1" applyBorder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4" fontId="0" fillId="0" borderId="22" xfId="0" applyNumberFormat="1" applyBorder="1"/>
    <xf numFmtId="10" fontId="0" fillId="16" borderId="22" xfId="0" applyNumberFormat="1" applyFill="1" applyBorder="1"/>
    <xf numFmtId="4" fontId="2" fillId="18" borderId="23" xfId="0" applyNumberFormat="1" applyFont="1" applyFill="1" applyBorder="1"/>
    <xf numFmtId="4" fontId="2" fillId="18" borderId="24" xfId="0" applyNumberFormat="1" applyFont="1" applyFill="1" applyBorder="1"/>
    <xf numFmtId="4" fontId="0" fillId="0" borderId="25" xfId="0" applyNumberFormat="1" applyBorder="1"/>
    <xf numFmtId="4" fontId="0" fillId="0" borderId="26" xfId="0" applyNumberFormat="1" applyBorder="1"/>
    <xf numFmtId="0" fontId="10" fillId="21" borderId="27" xfId="0" applyFont="1" applyFill="1" applyBorder="1" applyAlignment="1">
      <alignment horizontal="center" vertical="center"/>
    </xf>
    <xf numFmtId="0" fontId="2" fillId="21" borderId="27" xfId="0" applyFont="1" applyFill="1" applyBorder="1" applyAlignment="1">
      <alignment horizontal="center" vertical="center"/>
    </xf>
    <xf numFmtId="0" fontId="10" fillId="21" borderId="29" xfId="0" applyFont="1" applyFill="1" applyBorder="1" applyAlignment="1">
      <alignment horizontal="center" vertical="center"/>
    </xf>
    <xf numFmtId="4" fontId="0" fillId="0" borderId="30" xfId="0" applyNumberFormat="1" applyBorder="1"/>
    <xf numFmtId="4" fontId="0" fillId="0" borderId="18" xfId="0" applyNumberFormat="1" applyBorder="1"/>
    <xf numFmtId="10" fontId="0" fillId="16" borderId="18" xfId="0" applyNumberFormat="1" applyFill="1" applyBorder="1"/>
    <xf numFmtId="4" fontId="2" fillId="18" borderId="31" xfId="0" applyNumberFormat="1" applyFont="1" applyFill="1" applyBorder="1"/>
    <xf numFmtId="0" fontId="2" fillId="0" borderId="3" xfId="0" applyFont="1" applyBorder="1" applyAlignment="1">
      <alignment horizontal="center" vertical="center"/>
    </xf>
    <xf numFmtId="4" fontId="0" fillId="17" borderId="32" xfId="0" applyNumberFormat="1" applyFill="1" applyBorder="1"/>
    <xf numFmtId="4" fontId="0" fillId="17" borderId="20" xfId="0" applyNumberFormat="1" applyFill="1" applyBorder="1"/>
    <xf numFmtId="4" fontId="0" fillId="11" borderId="20" xfId="0" applyNumberFormat="1" applyFill="1" applyBorder="1"/>
    <xf numFmtId="4" fontId="9" fillId="20" borderId="20" xfId="0" applyNumberFormat="1" applyFont="1" applyFill="1" applyBorder="1"/>
    <xf numFmtId="4" fontId="9" fillId="19" borderId="21" xfId="0" applyNumberFormat="1" applyFont="1" applyFill="1" applyBorder="1"/>
    <xf numFmtId="10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0" fontId="0" fillId="23" borderId="0" xfId="0" applyFill="1"/>
    <xf numFmtId="0" fontId="2" fillId="22" borderId="2" xfId="0" applyFont="1" applyFill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17" borderId="0" xfId="0" applyFill="1" applyAlignment="1">
      <alignment vertical="center"/>
    </xf>
    <xf numFmtId="4" fontId="0" fillId="17" borderId="0" xfId="0" applyNumberFormat="1" applyFill="1" applyAlignment="1">
      <alignment vertical="center"/>
    </xf>
    <xf numFmtId="4" fontId="2" fillId="22" borderId="18" xfId="0" applyNumberFormat="1" applyFont="1" applyFill="1" applyBorder="1"/>
    <xf numFmtId="4" fontId="2" fillId="22" borderId="1" xfId="0" applyNumberFormat="1" applyFont="1" applyFill="1" applyBorder="1"/>
    <xf numFmtId="4" fontId="2" fillId="22" borderId="22" xfId="0" applyNumberFormat="1" applyFont="1" applyFill="1" applyBorder="1"/>
    <xf numFmtId="4" fontId="2" fillId="22" borderId="0" xfId="0" applyNumberFormat="1" applyFont="1" applyFill="1"/>
    <xf numFmtId="0" fontId="0" fillId="13" borderId="0" xfId="0" applyFill="1" applyBorder="1"/>
    <xf numFmtId="0" fontId="0" fillId="5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2" xfId="0" applyBorder="1"/>
    <xf numFmtId="0" fontId="0" fillId="0" borderId="7" xfId="0" applyBorder="1" applyAlignment="1">
      <alignment horizontal="center" vertical="center"/>
    </xf>
    <xf numFmtId="0" fontId="0" fillId="0" borderId="7" xfId="0" applyBorder="1"/>
    <xf numFmtId="0" fontId="0" fillId="0" borderId="40" xfId="0" applyBorder="1"/>
    <xf numFmtId="0" fontId="0" fillId="0" borderId="23" xfId="0" applyBorder="1"/>
    <xf numFmtId="0" fontId="0" fillId="0" borderId="24" xfId="0" applyBorder="1"/>
    <xf numFmtId="0" fontId="0" fillId="0" borderId="0" xfId="0" applyFill="1"/>
    <xf numFmtId="0" fontId="0" fillId="0" borderId="1" xfId="0" applyFill="1" applyBorder="1"/>
    <xf numFmtId="0" fontId="0" fillId="5" borderId="1" xfId="0" applyFill="1" applyBorder="1"/>
    <xf numFmtId="0" fontId="0" fillId="0" borderId="18" xfId="0" applyFill="1" applyBorder="1"/>
    <xf numFmtId="0" fontId="0" fillId="0" borderId="18" xfId="0" applyBorder="1"/>
    <xf numFmtId="10" fontId="19" fillId="24" borderId="0" xfId="0" applyNumberFormat="1" applyFont="1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4" borderId="0" xfId="0" applyFill="1"/>
    <xf numFmtId="0" fontId="0" fillId="4" borderId="25" xfId="0" applyFill="1" applyBorder="1"/>
    <xf numFmtId="164" fontId="0" fillId="0" borderId="25" xfId="0" applyNumberFormat="1" applyBorder="1"/>
    <xf numFmtId="0" fontId="0" fillId="0" borderId="25" xfId="0" applyBorder="1"/>
    <xf numFmtId="0" fontId="0" fillId="0" borderId="25" xfId="0" applyFill="1" applyBorder="1"/>
    <xf numFmtId="0" fontId="0" fillId="0" borderId="2" xfId="0" applyFill="1" applyBorder="1"/>
    <xf numFmtId="0" fontId="0" fillId="0" borderId="2" xfId="0" applyBorder="1"/>
    <xf numFmtId="0" fontId="0" fillId="4" borderId="18" xfId="0" applyFill="1" applyBorder="1"/>
    <xf numFmtId="0" fontId="0" fillId="0" borderId="0" xfId="0" applyFill="1" applyBorder="1"/>
    <xf numFmtId="0" fontId="0" fillId="4" borderId="0" xfId="0" applyFill="1" applyBorder="1"/>
    <xf numFmtId="0" fontId="0" fillId="5" borderId="0" xfId="0" applyFill="1" applyBorder="1"/>
    <xf numFmtId="0" fontId="0" fillId="24" borderId="1" xfId="0" applyFill="1" applyBorder="1"/>
    <xf numFmtId="0" fontId="0" fillId="24" borderId="2" xfId="0" applyFill="1" applyBorder="1"/>
    <xf numFmtId="0" fontId="0" fillId="24" borderId="0" xfId="0" applyFill="1" applyBorder="1"/>
    <xf numFmtId="164" fontId="0" fillId="0" borderId="18" xfId="0" applyNumberFormat="1" applyBorder="1"/>
    <xf numFmtId="0" fontId="0" fillId="4" borderId="23" xfId="0" applyFill="1" applyBorder="1"/>
    <xf numFmtId="164" fontId="2" fillId="4" borderId="25" xfId="0" applyNumberFormat="1" applyFont="1" applyFill="1" applyBorder="1" applyAlignment="1">
      <alignment horizontal="center"/>
    </xf>
    <xf numFmtId="0" fontId="0" fillId="24" borderId="7" xfId="0" applyFill="1" applyBorder="1"/>
    <xf numFmtId="0" fontId="0" fillId="24" borderId="22" xfId="0" applyFill="1" applyBorder="1"/>
    <xf numFmtId="0" fontId="0" fillId="25" borderId="1" xfId="0" applyFill="1" applyBorder="1"/>
    <xf numFmtId="0" fontId="0" fillId="18" borderId="22" xfId="0" applyFill="1" applyBorder="1"/>
    <xf numFmtId="0" fontId="0" fillId="18" borderId="24" xfId="0" applyFill="1" applyBorder="1"/>
    <xf numFmtId="0" fontId="4" fillId="26" borderId="1" xfId="0" applyFont="1" applyFill="1" applyBorder="1"/>
    <xf numFmtId="0" fontId="4" fillId="27" borderId="1" xfId="0" applyFont="1" applyFill="1" applyBorder="1"/>
    <xf numFmtId="0" fontId="0" fillId="28" borderId="1" xfId="0" applyFill="1" applyBorder="1"/>
    <xf numFmtId="0" fontId="0" fillId="3" borderId="22" xfId="0" applyFill="1" applyBorder="1"/>
    <xf numFmtId="0" fontId="0" fillId="11" borderId="7" xfId="0" applyFill="1" applyBorder="1"/>
    <xf numFmtId="0" fontId="2" fillId="7" borderId="28" xfId="0" applyFont="1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4" fontId="20" fillId="0" borderId="0" xfId="0" applyNumberFormat="1" applyFont="1" applyFill="1" applyBorder="1" applyAlignment="1">
      <alignment horizontal="center" vertical="center"/>
    </xf>
    <xf numFmtId="10" fontId="19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/>
    <xf numFmtId="16" fontId="0" fillId="0" borderId="0" xfId="0" applyNumberFormat="1" applyFill="1" applyBorder="1" applyAlignment="1">
      <alignment horizontal="center" vertical="center"/>
    </xf>
    <xf numFmtId="16" fontId="2" fillId="0" borderId="0" xfId="0" applyNumberFormat="1" applyFont="1" applyFill="1" applyBorder="1"/>
    <xf numFmtId="0" fontId="20" fillId="0" borderId="0" xfId="0" applyFont="1" applyFill="1" applyBorder="1"/>
    <xf numFmtId="4" fontId="20" fillId="0" borderId="0" xfId="0" applyNumberFormat="1" applyFont="1" applyFill="1" applyBorder="1"/>
    <xf numFmtId="10" fontId="19" fillId="0" borderId="0" xfId="0" applyNumberFormat="1" applyFont="1" applyFill="1" applyBorder="1"/>
    <xf numFmtId="0" fontId="0" fillId="32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65" fontId="0" fillId="33" borderId="1" xfId="0" applyNumberForma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0" fontId="0" fillId="35" borderId="1" xfId="0" applyFill="1" applyBorder="1" applyAlignment="1">
      <alignment horizontal="center" vertical="center"/>
    </xf>
    <xf numFmtId="4" fontId="20" fillId="38" borderId="1" xfId="0" applyNumberFormat="1" applyFont="1" applyFill="1" applyBorder="1" applyAlignment="1">
      <alignment horizontal="center" vertical="center"/>
    </xf>
    <xf numFmtId="4" fontId="20" fillId="37" borderId="1" xfId="0" applyNumberFormat="1" applyFont="1" applyFill="1" applyBorder="1" applyAlignment="1">
      <alignment horizontal="center" vertical="center"/>
    </xf>
    <xf numFmtId="10" fontId="19" fillId="36" borderId="1" xfId="0" applyNumberFormat="1" applyFont="1" applyFill="1" applyBorder="1" applyAlignment="1">
      <alignment horizontal="center" vertical="center"/>
    </xf>
    <xf numFmtId="0" fontId="0" fillId="6" borderId="0" xfId="0" applyFill="1"/>
    <xf numFmtId="165" fontId="0" fillId="31" borderId="7" xfId="0" applyNumberFormat="1" applyFill="1" applyBorder="1" applyAlignment="1">
      <alignment horizontal="center" vertical="center"/>
    </xf>
    <xf numFmtId="165" fontId="2" fillId="31" borderId="40" xfId="0" applyNumberFormat="1" applyFont="1" applyFill="1" applyBorder="1" applyAlignment="1">
      <alignment horizontal="center" vertical="center"/>
    </xf>
    <xf numFmtId="0" fontId="13" fillId="0" borderId="41" xfId="0" applyFont="1" applyBorder="1" applyAlignment="1">
      <alignment horizontal="left" vertical="center"/>
    </xf>
    <xf numFmtId="0" fontId="13" fillId="0" borderId="42" xfId="0" applyFont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3" fillId="0" borderId="1" xfId="0" applyFont="1" applyFill="1" applyBorder="1" applyAlignment="1">
      <alignment horizontal="left" vertical="center"/>
    </xf>
    <xf numFmtId="0" fontId="13" fillId="0" borderId="2" xfId="0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left" vertical="center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3" fillId="5" borderId="1" xfId="0" applyFont="1" applyFill="1" applyBorder="1" applyAlignment="1">
      <alignment horizontal="left" vertical="center"/>
    </xf>
    <xf numFmtId="0" fontId="13" fillId="0" borderId="22" xfId="0" applyFont="1" applyBorder="1" applyAlignment="1">
      <alignment horizontal="left" vertical="center"/>
    </xf>
    <xf numFmtId="0" fontId="7" fillId="26" borderId="7" xfId="0" applyFont="1" applyFill="1" applyBorder="1" applyAlignment="1">
      <alignment horizontal="left" vertical="center"/>
    </xf>
    <xf numFmtId="0" fontId="7" fillId="26" borderId="1" xfId="0" applyFont="1" applyFill="1" applyBorder="1" applyAlignment="1">
      <alignment horizontal="left" vertical="center"/>
    </xf>
    <xf numFmtId="0" fontId="7" fillId="27" borderId="7" xfId="0" applyFont="1" applyFill="1" applyBorder="1" applyAlignment="1">
      <alignment horizontal="left" vertical="center"/>
    </xf>
    <xf numFmtId="0" fontId="7" fillId="27" borderId="1" xfId="0" applyFont="1" applyFill="1" applyBorder="1" applyAlignment="1">
      <alignment horizontal="left" vertical="center"/>
    </xf>
    <xf numFmtId="0" fontId="23" fillId="12" borderId="7" xfId="0" applyFont="1" applyFill="1" applyBorder="1" applyAlignment="1">
      <alignment horizontal="left" vertical="center"/>
    </xf>
    <xf numFmtId="0" fontId="23" fillId="12" borderId="1" xfId="0" applyFont="1" applyFill="1" applyBorder="1" applyAlignment="1">
      <alignment horizontal="left" vertical="center"/>
    </xf>
    <xf numFmtId="0" fontId="13" fillId="29" borderId="7" xfId="0" applyFont="1" applyFill="1" applyBorder="1" applyAlignment="1">
      <alignment horizontal="left" vertical="center"/>
    </xf>
    <xf numFmtId="0" fontId="13" fillId="29" borderId="1" xfId="0" applyFont="1" applyFill="1" applyBorder="1" applyAlignment="1">
      <alignment horizontal="left" vertical="center"/>
    </xf>
    <xf numFmtId="0" fontId="13" fillId="30" borderId="7" xfId="0" applyFont="1" applyFill="1" applyBorder="1" applyAlignment="1">
      <alignment horizontal="left" vertical="center"/>
    </xf>
    <xf numFmtId="0" fontId="13" fillId="30" borderId="1" xfId="0" applyFont="1" applyFill="1" applyBorder="1" applyAlignment="1">
      <alignment horizontal="left" vertical="center"/>
    </xf>
    <xf numFmtId="0" fontId="24" fillId="39" borderId="7" xfId="0" applyFont="1" applyFill="1" applyBorder="1" applyAlignment="1">
      <alignment horizontal="left" vertical="center"/>
    </xf>
    <xf numFmtId="0" fontId="24" fillId="39" borderId="1" xfId="0" applyFont="1" applyFill="1" applyBorder="1" applyAlignment="1">
      <alignment horizontal="left" vertical="center"/>
    </xf>
    <xf numFmtId="0" fontId="13" fillId="0" borderId="43" xfId="0" applyFont="1" applyBorder="1" applyAlignment="1">
      <alignment horizontal="left" vertical="center"/>
    </xf>
    <xf numFmtId="0" fontId="13" fillId="0" borderId="18" xfId="0" applyFont="1" applyBorder="1" applyAlignment="1">
      <alignment horizontal="left" vertical="center"/>
    </xf>
    <xf numFmtId="0" fontId="13" fillId="5" borderId="6" xfId="0" applyFont="1" applyFill="1" applyBorder="1" applyAlignment="1">
      <alignment horizontal="left" vertical="center"/>
    </xf>
    <xf numFmtId="0" fontId="14" fillId="4" borderId="3" xfId="0" applyFont="1" applyFill="1" applyBorder="1" applyAlignment="1">
      <alignment horizontal="center" vertical="center"/>
    </xf>
    <xf numFmtId="0" fontId="0" fillId="24" borderId="18" xfId="0" applyFill="1" applyBorder="1"/>
    <xf numFmtId="0" fontId="0" fillId="40" borderId="1" xfId="0" applyFont="1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164" fontId="2" fillId="4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9" fillId="12" borderId="6" xfId="0" applyFont="1" applyFill="1" applyBorder="1" applyAlignment="1">
      <alignment horizontal="center" vertical="center" wrapText="1"/>
    </xf>
    <xf numFmtId="0" fontId="13" fillId="24" borderId="0" xfId="0" applyFont="1" applyFill="1" applyAlignment="1">
      <alignment horizontal="left" vertical="center"/>
    </xf>
    <xf numFmtId="0" fontId="13" fillId="24" borderId="1" xfId="0" applyFont="1" applyFill="1" applyBorder="1" applyAlignment="1">
      <alignment horizontal="left" vertical="center"/>
    </xf>
    <xf numFmtId="0" fontId="0" fillId="0" borderId="24" xfId="0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165" fontId="0" fillId="5" borderId="7" xfId="0" applyNumberFormat="1" applyFill="1" applyBorder="1" applyAlignment="1">
      <alignment horizontal="center" vertical="center"/>
    </xf>
    <xf numFmtId="0" fontId="0" fillId="5" borderId="44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4" fontId="6" fillId="23" borderId="35" xfId="0" applyNumberFormat="1" applyFont="1" applyFill="1" applyBorder="1" applyAlignment="1">
      <alignment horizontal="center" vertical="center"/>
    </xf>
    <xf numFmtId="4" fontId="6" fillId="23" borderId="36" xfId="0" applyNumberFormat="1" applyFont="1" applyFill="1" applyBorder="1" applyAlignment="1">
      <alignment horizontal="center" vertical="center"/>
    </xf>
    <xf numFmtId="4" fontId="6" fillId="23" borderId="37" xfId="0" applyNumberFormat="1" applyFont="1" applyFill="1" applyBorder="1" applyAlignment="1">
      <alignment horizontal="center" vertical="center"/>
    </xf>
    <xf numFmtId="4" fontId="6" fillId="23" borderId="38" xfId="0" applyNumberFormat="1" applyFont="1" applyFill="1" applyBorder="1" applyAlignment="1">
      <alignment horizontal="center" vertical="center"/>
    </xf>
    <xf numFmtId="4" fontId="6" fillId="23" borderId="39" xfId="0" applyNumberFormat="1" applyFont="1" applyFill="1" applyBorder="1" applyAlignment="1">
      <alignment horizontal="center" vertical="center"/>
    </xf>
    <xf numFmtId="4" fontId="6" fillId="23" borderId="30" xfId="0" applyNumberFormat="1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/>
    </xf>
    <xf numFmtId="0" fontId="4" fillId="12" borderId="15" xfId="0" applyFont="1" applyFill="1" applyBorder="1" applyAlignment="1">
      <alignment horizontal="center"/>
    </xf>
    <xf numFmtId="0" fontId="4" fillId="12" borderId="16" xfId="0" applyFont="1" applyFill="1" applyBorder="1" applyAlignment="1">
      <alignment horizontal="center"/>
    </xf>
    <xf numFmtId="4" fontId="0" fillId="4" borderId="14" xfId="0" applyNumberFormat="1" applyFill="1" applyBorder="1" applyAlignment="1">
      <alignment horizontal="center"/>
    </xf>
    <xf numFmtId="4" fontId="0" fillId="4" borderId="15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0" fontId="7" fillId="12" borderId="9" xfId="0" applyFont="1" applyFill="1" applyBorder="1" applyAlignment="1">
      <alignment horizontal="center" vertical="center"/>
    </xf>
    <xf numFmtId="0" fontId="7" fillId="12" borderId="10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0" fontId="7" fillId="12" borderId="4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2" borderId="13" xfId="0" applyFont="1" applyFill="1" applyBorder="1" applyAlignment="1">
      <alignment horizontal="center" vertical="center"/>
    </xf>
    <xf numFmtId="4" fontId="5" fillId="4" borderId="9" xfId="0" applyNumberFormat="1" applyFont="1" applyFill="1" applyBorder="1" applyAlignment="1">
      <alignment horizontal="center" vertical="center"/>
    </xf>
    <xf numFmtId="4" fontId="5" fillId="4" borderId="10" xfId="0" applyNumberFormat="1" applyFont="1" applyFill="1" applyBorder="1" applyAlignment="1">
      <alignment horizontal="center" vertical="center"/>
    </xf>
    <xf numFmtId="4" fontId="5" fillId="4" borderId="11" xfId="0" applyNumberFormat="1" applyFont="1" applyFill="1" applyBorder="1" applyAlignment="1">
      <alignment horizontal="center" vertical="center"/>
    </xf>
    <xf numFmtId="4" fontId="5" fillId="4" borderId="4" xfId="0" applyNumberFormat="1" applyFont="1" applyFill="1" applyBorder="1" applyAlignment="1">
      <alignment horizontal="center" vertical="center"/>
    </xf>
    <xf numFmtId="4" fontId="5" fillId="4" borderId="12" xfId="0" applyNumberFormat="1" applyFont="1" applyFill="1" applyBorder="1" applyAlignment="1">
      <alignment horizontal="center" vertical="center"/>
    </xf>
    <xf numFmtId="4" fontId="5" fillId="4" borderId="13" xfId="0" applyNumberFormat="1" applyFont="1" applyFill="1" applyBorder="1" applyAlignment="1">
      <alignment horizontal="center" vertical="center"/>
    </xf>
    <xf numFmtId="0" fontId="6" fillId="12" borderId="9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4" xfId="0" applyFont="1" applyFill="1" applyBorder="1" applyAlignment="1">
      <alignment horizontal="center" vertical="center"/>
    </xf>
    <xf numFmtId="0" fontId="6" fillId="12" borderId="12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0" fillId="13" borderId="15" xfId="0" applyFill="1" applyBorder="1" applyAlignment="1">
      <alignment horizontal="center"/>
    </xf>
    <xf numFmtId="0" fontId="0" fillId="13" borderId="15" xfId="0" quotePrefix="1" applyFill="1" applyBorder="1" applyAlignment="1">
      <alignment horizontal="center"/>
    </xf>
    <xf numFmtId="0" fontId="8" fillId="13" borderId="0" xfId="0" applyFont="1" applyFill="1" applyAlignment="1">
      <alignment horizontal="center" vertical="center"/>
    </xf>
    <xf numFmtId="0" fontId="8" fillId="13" borderId="0" xfId="0" applyFont="1" applyFill="1" applyBorder="1" applyAlignment="1">
      <alignment horizontal="center" vertical="center"/>
    </xf>
    <xf numFmtId="0" fontId="8" fillId="13" borderId="12" xfId="0" applyFont="1" applyFill="1" applyBorder="1" applyAlignment="1">
      <alignment horizontal="center" vertical="center"/>
    </xf>
    <xf numFmtId="0" fontId="7" fillId="12" borderId="9" xfId="0" applyFont="1" applyFill="1" applyBorder="1" applyAlignment="1">
      <alignment horizontal="center" vertical="center" wrapText="1"/>
    </xf>
    <xf numFmtId="0" fontId="7" fillId="12" borderId="10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12" borderId="33" xfId="0" applyFont="1" applyFill="1" applyBorder="1" applyAlignment="1">
      <alignment horizontal="center" vertical="center" wrapText="1"/>
    </xf>
    <xf numFmtId="0" fontId="7" fillId="12" borderId="0" xfId="0" applyFont="1" applyFill="1" applyBorder="1" applyAlignment="1">
      <alignment horizontal="center" vertical="center" wrapText="1"/>
    </xf>
    <xf numFmtId="0" fontId="7" fillId="12" borderId="34" xfId="0" applyFont="1" applyFill="1" applyBorder="1" applyAlignment="1">
      <alignment horizontal="center" vertical="center" wrapText="1"/>
    </xf>
    <xf numFmtId="0" fontId="7" fillId="12" borderId="4" xfId="0" applyFont="1" applyFill="1" applyBorder="1" applyAlignment="1">
      <alignment horizontal="center" vertical="center" wrapText="1"/>
    </xf>
    <xf numFmtId="0" fontId="7" fillId="12" borderId="12" xfId="0" applyFont="1" applyFill="1" applyBorder="1" applyAlignment="1">
      <alignment horizontal="center" vertical="center" wrapText="1"/>
    </xf>
    <xf numFmtId="0" fontId="7" fillId="12" borderId="13" xfId="0" applyFont="1" applyFill="1" applyBorder="1" applyAlignment="1">
      <alignment horizontal="center" vertical="center" wrapText="1"/>
    </xf>
    <xf numFmtId="4" fontId="5" fillId="4" borderId="33" xfId="0" applyNumberFormat="1" applyFont="1" applyFill="1" applyBorder="1" applyAlignment="1">
      <alignment horizontal="center" vertical="center"/>
    </xf>
    <xf numFmtId="4" fontId="5" fillId="4" borderId="0" xfId="0" applyNumberFormat="1" applyFont="1" applyFill="1" applyBorder="1" applyAlignment="1">
      <alignment horizontal="center" vertical="center"/>
    </xf>
    <xf numFmtId="4" fontId="5" fillId="4" borderId="34" xfId="0" applyNumberFormat="1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1" xfId="0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0" fontId="15" fillId="11" borderId="13" xfId="0" applyFont="1" applyFill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7" fillId="20" borderId="9" xfId="0" applyFont="1" applyFill="1" applyBorder="1" applyAlignment="1">
      <alignment horizontal="center" vertical="center"/>
    </xf>
    <xf numFmtId="0" fontId="17" fillId="20" borderId="10" xfId="0" applyFont="1" applyFill="1" applyBorder="1" applyAlignment="1">
      <alignment horizontal="center" vertical="center"/>
    </xf>
    <xf numFmtId="0" fontId="17" fillId="20" borderId="11" xfId="0" applyFont="1" applyFill="1" applyBorder="1" applyAlignment="1">
      <alignment horizontal="center" vertical="center"/>
    </xf>
    <xf numFmtId="0" fontId="17" fillId="20" borderId="33" xfId="0" applyFont="1" applyFill="1" applyBorder="1" applyAlignment="1">
      <alignment horizontal="center" vertical="center"/>
    </xf>
    <xf numFmtId="0" fontId="17" fillId="20" borderId="0" xfId="0" applyFont="1" applyFill="1" applyBorder="1" applyAlignment="1">
      <alignment horizontal="center" vertical="center"/>
    </xf>
    <xf numFmtId="0" fontId="17" fillId="20" borderId="12" xfId="0" applyFont="1" applyFill="1" applyBorder="1" applyAlignment="1">
      <alignment horizontal="center" vertical="center"/>
    </xf>
    <xf numFmtId="0" fontId="17" fillId="20" borderId="13" xfId="0" applyFont="1" applyFill="1" applyBorder="1" applyAlignment="1">
      <alignment horizontal="center" vertical="center"/>
    </xf>
    <xf numFmtId="0" fontId="14" fillId="5" borderId="9" xfId="0" applyFont="1" applyFill="1" applyBorder="1" applyAlignment="1">
      <alignment horizontal="center" vertical="center"/>
    </xf>
    <xf numFmtId="0" fontId="14" fillId="5" borderId="10" xfId="0" applyFont="1" applyFill="1" applyBorder="1" applyAlignment="1">
      <alignment horizontal="center" vertical="center"/>
    </xf>
    <xf numFmtId="0" fontId="14" fillId="5" borderId="11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4" fillId="5" borderId="12" xfId="0" applyFont="1" applyFill="1" applyBorder="1" applyAlignment="1">
      <alignment horizontal="center" vertical="center"/>
    </xf>
    <xf numFmtId="0" fontId="14" fillId="5" borderId="13" xfId="0" applyFont="1" applyFill="1" applyBorder="1" applyAlignment="1">
      <alignment horizontal="center" vertical="center"/>
    </xf>
    <xf numFmtId="0" fontId="14" fillId="18" borderId="9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4" xfId="0" applyFont="1" applyFill="1" applyBorder="1" applyAlignment="1">
      <alignment horizontal="center" vertical="center"/>
    </xf>
    <xf numFmtId="0" fontId="14" fillId="18" borderId="12" xfId="0" applyFont="1" applyFill="1" applyBorder="1" applyAlignment="1">
      <alignment horizontal="center" vertical="center"/>
    </xf>
    <xf numFmtId="0" fontId="14" fillId="18" borderId="13" xfId="0" applyFont="1" applyFill="1" applyBorder="1" applyAlignment="1">
      <alignment horizontal="center" vertical="center"/>
    </xf>
    <xf numFmtId="10" fontId="13" fillId="0" borderId="9" xfId="0" applyNumberFormat="1" applyFont="1" applyBorder="1" applyAlignment="1">
      <alignment horizontal="center" vertical="center"/>
    </xf>
    <xf numFmtId="10" fontId="13" fillId="0" borderId="11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13" fillId="0" borderId="13" xfId="0" applyNumberFormat="1" applyFont="1" applyBorder="1" applyAlignment="1">
      <alignment horizontal="center" vertical="center"/>
    </xf>
    <xf numFmtId="0" fontId="18" fillId="23" borderId="9" xfId="0" applyFont="1" applyFill="1" applyBorder="1" applyAlignment="1">
      <alignment horizontal="center" vertical="center"/>
    </xf>
    <xf numFmtId="0" fontId="18" fillId="23" borderId="10" xfId="0" applyFont="1" applyFill="1" applyBorder="1" applyAlignment="1">
      <alignment horizontal="center" vertical="center"/>
    </xf>
    <xf numFmtId="0" fontId="18" fillId="23" borderId="11" xfId="0" applyFont="1" applyFill="1" applyBorder="1" applyAlignment="1">
      <alignment horizontal="center" vertical="center"/>
    </xf>
    <xf numFmtId="0" fontId="22" fillId="4" borderId="9" xfId="0" applyFont="1" applyFill="1" applyBorder="1" applyAlignment="1">
      <alignment horizontal="center" vertical="center"/>
    </xf>
    <xf numFmtId="0" fontId="22" fillId="4" borderId="10" xfId="0" applyFont="1" applyFill="1" applyBorder="1" applyAlignment="1">
      <alignment horizontal="center" vertical="center"/>
    </xf>
    <xf numFmtId="0" fontId="22" fillId="4" borderId="11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0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22" fillId="4" borderId="4" xfId="0" applyFont="1" applyFill="1" applyBorder="1" applyAlignment="1">
      <alignment horizontal="center" vertical="center"/>
    </xf>
    <xf numFmtId="0" fontId="22" fillId="4" borderId="12" xfId="0" applyFont="1" applyFill="1" applyBorder="1" applyAlignment="1">
      <alignment horizontal="center" vertical="center"/>
    </xf>
    <xf numFmtId="0" fontId="22" fillId="4" borderId="13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vertical="center"/>
    </xf>
    <xf numFmtId="0" fontId="21" fillId="4" borderId="10" xfId="0" applyFont="1" applyFill="1" applyBorder="1" applyAlignment="1">
      <alignment horizontal="center" vertical="center"/>
    </xf>
    <xf numFmtId="0" fontId="21" fillId="4" borderId="11" xfId="0" applyFont="1" applyFill="1" applyBorder="1" applyAlignment="1">
      <alignment horizontal="center" vertical="center"/>
    </xf>
    <xf numFmtId="0" fontId="21" fillId="4" borderId="4" xfId="0" applyFont="1" applyFill="1" applyBorder="1" applyAlignment="1">
      <alignment horizontal="center" vertical="center"/>
    </xf>
    <xf numFmtId="0" fontId="21" fillId="4" borderId="12" xfId="0" applyFont="1" applyFill="1" applyBorder="1" applyAlignment="1">
      <alignment horizontal="center" vertical="center"/>
    </xf>
    <xf numFmtId="0" fontId="21" fillId="4" borderId="13" xfId="0" applyFont="1" applyFill="1" applyBorder="1" applyAlignment="1">
      <alignment horizontal="center" vertical="center"/>
    </xf>
    <xf numFmtId="0" fontId="2" fillId="25" borderId="1" xfId="0" applyFont="1" applyFill="1" applyBorder="1" applyAlignment="1">
      <alignment horizontal="center" vertical="center"/>
    </xf>
    <xf numFmtId="0" fontId="0" fillId="0" borderId="44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26" fillId="17" borderId="3" xfId="0" applyFont="1" applyFill="1" applyBorder="1" applyAlignment="1">
      <alignment horizontal="center" vertical="center"/>
    </xf>
    <xf numFmtId="0" fontId="13" fillId="4" borderId="0" xfId="0" applyFont="1" applyFill="1" applyBorder="1" applyAlignment="1">
      <alignment horizontal="center" vertical="center"/>
    </xf>
    <xf numFmtId="0" fontId="0" fillId="40" borderId="8" xfId="0" applyFont="1" applyFill="1" applyBorder="1" applyAlignment="1">
      <alignment horizontal="center" vertical="center"/>
    </xf>
    <xf numFmtId="0" fontId="0" fillId="40" borderId="45" xfId="0" applyFont="1" applyFill="1" applyBorder="1" applyAlignment="1">
      <alignment horizontal="center" vertical="center"/>
    </xf>
    <xf numFmtId="0" fontId="2" fillId="25" borderId="45" xfId="0" applyFont="1" applyFill="1" applyBorder="1" applyAlignment="1">
      <alignment horizontal="center" vertical="center"/>
    </xf>
    <xf numFmtId="0" fontId="9" fillId="23" borderId="6" xfId="0" applyFont="1" applyFill="1" applyBorder="1" applyAlignment="1">
      <alignment horizontal="center" vertical="center" wrapText="1"/>
    </xf>
    <xf numFmtId="0" fontId="9" fillId="26" borderId="6" xfId="0" applyFon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/>
    </xf>
    <xf numFmtId="0" fontId="9" fillId="12" borderId="1" xfId="0" applyFont="1" applyFill="1" applyBorder="1" applyAlignment="1">
      <alignment horizontal="center" vertical="center" wrapText="1"/>
    </xf>
    <xf numFmtId="0" fontId="13" fillId="18" borderId="1" xfId="0" applyFont="1" applyFill="1" applyBorder="1" applyAlignment="1">
      <alignment horizontal="center" vertical="center"/>
    </xf>
    <xf numFmtId="0" fontId="2" fillId="10" borderId="45" xfId="0" applyFont="1" applyFill="1" applyBorder="1" applyAlignment="1">
      <alignment horizontal="center" vertical="center"/>
    </xf>
    <xf numFmtId="0" fontId="25" fillId="41" borderId="6" xfId="0" applyFont="1" applyFill="1" applyBorder="1" applyAlignment="1">
      <alignment horizontal="center" vertical="center"/>
    </xf>
    <xf numFmtId="0" fontId="25" fillId="41" borderId="25" xfId="0" applyFont="1" applyFill="1" applyBorder="1" applyAlignment="1">
      <alignment horizontal="center" vertical="center"/>
    </xf>
    <xf numFmtId="0" fontId="25" fillId="41" borderId="26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9" fillId="12" borderId="25" xfId="0" applyFont="1" applyFill="1" applyBorder="1" applyAlignment="1">
      <alignment horizontal="center" vertical="center" wrapText="1"/>
    </xf>
    <xf numFmtId="0" fontId="13" fillId="4" borderId="0" xfId="0" applyFont="1" applyFill="1" applyBorder="1" applyAlignment="1">
      <alignment horizontal="left" vertical="center"/>
    </xf>
    <xf numFmtId="0" fontId="13" fillId="4" borderId="0" xfId="0" applyFont="1" applyFill="1" applyAlignment="1">
      <alignment horizontal="left" vertical="center"/>
    </xf>
    <xf numFmtId="0" fontId="13" fillId="24" borderId="18" xfId="0" applyFont="1" applyFill="1" applyBorder="1" applyAlignment="1">
      <alignment horizontal="left" vertical="center"/>
    </xf>
    <xf numFmtId="0" fontId="13" fillId="24" borderId="47" xfId="0" applyFont="1" applyFill="1" applyBorder="1" applyAlignment="1">
      <alignment horizontal="left" vertical="center"/>
    </xf>
    <xf numFmtId="0" fontId="2" fillId="25" borderId="35" xfId="0" applyFont="1" applyFill="1" applyBorder="1" applyAlignment="1">
      <alignment horizontal="center" vertical="center"/>
    </xf>
    <xf numFmtId="0" fontId="9" fillId="26" borderId="48" xfId="0" applyFont="1" applyFill="1" applyBorder="1" applyAlignment="1">
      <alignment horizontal="center" vertical="center" wrapText="1"/>
    </xf>
    <xf numFmtId="0" fontId="13" fillId="5" borderId="46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 wrapText="1"/>
    </xf>
    <xf numFmtId="0" fontId="9" fillId="26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66FFFF"/>
      <color rgb="FFFF3B3B"/>
      <color rgb="FFFF33CC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4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77357</xdr:colOff>
      <xdr:row>7</xdr:row>
      <xdr:rowOff>85726</xdr:rowOff>
    </xdr:from>
    <xdr:ext cx="1940788" cy="1085850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620532" y="1419226"/>
          <a:ext cx="1940788" cy="10858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endParaRPr lang="en-US" sz="3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oneCellAnchor>
  <xdr:twoCellAnchor editAs="oneCell">
    <xdr:from>
      <xdr:col>1</xdr:col>
      <xdr:colOff>198676</xdr:colOff>
      <xdr:row>1</xdr:row>
      <xdr:rowOff>98506</xdr:rowOff>
    </xdr:from>
    <xdr:to>
      <xdr:col>4</xdr:col>
      <xdr:colOff>323850</xdr:colOff>
      <xdr:row>19</xdr:row>
      <xdr:rowOff>104775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176" y="289006"/>
          <a:ext cx="1811099" cy="35590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14</xdr:row>
          <xdr:rowOff>180975</xdr:rowOff>
        </xdr:from>
        <xdr:to>
          <xdr:col>9</xdr:col>
          <xdr:colOff>219075</xdr:colOff>
          <xdr:row>16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17</xdr:row>
          <xdr:rowOff>47625</xdr:rowOff>
        </xdr:from>
        <xdr:to>
          <xdr:col>9</xdr:col>
          <xdr:colOff>219075</xdr:colOff>
          <xdr:row>19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371476</xdr:colOff>
      <xdr:row>6</xdr:row>
      <xdr:rowOff>28574</xdr:rowOff>
    </xdr:from>
    <xdr:to>
      <xdr:col>10</xdr:col>
      <xdr:colOff>247861</xdr:colOff>
      <xdr:row>14</xdr:row>
      <xdr:rowOff>85724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1" y="1200149"/>
          <a:ext cx="3276810" cy="1647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6</xdr:row>
          <xdr:rowOff>114300</xdr:rowOff>
        </xdr:from>
        <xdr:to>
          <xdr:col>8</xdr:col>
          <xdr:colOff>466725</xdr:colOff>
          <xdr:row>12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7</xdr:row>
      <xdr:rowOff>19050</xdr:rowOff>
    </xdr:from>
    <xdr:to>
      <xdr:col>1</xdr:col>
      <xdr:colOff>733425</xdr:colOff>
      <xdr:row>10</xdr:row>
      <xdr:rowOff>104775</xdr:rowOff>
    </xdr:to>
    <xdr:pic>
      <xdr:nvPicPr>
        <xdr:cNvPr id="2" name="Picture 1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137160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7</xdr:row>
      <xdr:rowOff>9525</xdr:rowOff>
    </xdr:from>
    <xdr:to>
      <xdr:col>3</xdr:col>
      <xdr:colOff>76200</xdr:colOff>
      <xdr:row>10</xdr:row>
      <xdr:rowOff>95250</xdr:rowOff>
    </xdr:to>
    <xdr:pic>
      <xdr:nvPicPr>
        <xdr:cNvPr id="3" name="Picture 2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927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352425</xdr:colOff>
      <xdr:row>7</xdr:row>
      <xdr:rowOff>9525</xdr:rowOff>
    </xdr:from>
    <xdr:to>
      <xdr:col>4</xdr:col>
      <xdr:colOff>209550</xdr:colOff>
      <xdr:row>10</xdr:row>
      <xdr:rowOff>95250</xdr:rowOff>
    </xdr:to>
    <xdr:pic>
      <xdr:nvPicPr>
        <xdr:cNvPr id="4" name="Picture 3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272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447675</xdr:colOff>
      <xdr:row>7</xdr:row>
      <xdr:rowOff>9525</xdr:rowOff>
    </xdr:from>
    <xdr:to>
      <xdr:col>5</xdr:col>
      <xdr:colOff>304800</xdr:colOff>
      <xdr:row>10</xdr:row>
      <xdr:rowOff>95250</xdr:rowOff>
    </xdr:to>
    <xdr:pic>
      <xdr:nvPicPr>
        <xdr:cNvPr id="5" name="Picture 4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48075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552450</xdr:colOff>
      <xdr:row>7</xdr:row>
      <xdr:rowOff>9525</xdr:rowOff>
    </xdr:from>
    <xdr:to>
      <xdr:col>6</xdr:col>
      <xdr:colOff>409575</xdr:colOff>
      <xdr:row>10</xdr:row>
      <xdr:rowOff>95250</xdr:rowOff>
    </xdr:to>
    <xdr:pic>
      <xdr:nvPicPr>
        <xdr:cNvPr id="6" name="Picture 5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2950" y="1362075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733425</xdr:colOff>
      <xdr:row>7</xdr:row>
      <xdr:rowOff>0</xdr:rowOff>
    </xdr:from>
    <xdr:to>
      <xdr:col>7</xdr:col>
      <xdr:colOff>590550</xdr:colOff>
      <xdr:row>10</xdr:row>
      <xdr:rowOff>85725</xdr:rowOff>
    </xdr:to>
    <xdr:pic>
      <xdr:nvPicPr>
        <xdr:cNvPr id="7" name="Picture 6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4025" y="135255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85725</xdr:colOff>
      <xdr:row>7</xdr:row>
      <xdr:rowOff>0</xdr:rowOff>
    </xdr:from>
    <xdr:to>
      <xdr:col>8</xdr:col>
      <xdr:colOff>742950</xdr:colOff>
      <xdr:row>10</xdr:row>
      <xdr:rowOff>85725</xdr:rowOff>
    </xdr:to>
    <xdr:pic>
      <xdr:nvPicPr>
        <xdr:cNvPr id="8" name="Picture 7" descr="1,975,400+ People Icons Stock Illustrations, Royalty-Free Vector Graphics &amp;  Clip Art - iStock | People icons vector, Business people icons, Group of people  icons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86525" y="1352550"/>
          <a:ext cx="657225" cy="657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110289</xdr:colOff>
      <xdr:row>11</xdr:row>
      <xdr:rowOff>114074</xdr:rowOff>
    </xdr:from>
    <xdr:to>
      <xdr:col>3</xdr:col>
      <xdr:colOff>481966</xdr:colOff>
      <xdr:row>17</xdr:row>
      <xdr:rowOff>142851</xdr:rowOff>
    </xdr:to>
    <xdr:pic>
      <xdr:nvPicPr>
        <xdr:cNvPr id="9" name="Picture 8" descr="Right arrow - Free arrows icons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3146601">
          <a:off x="1710489" y="2228624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357938</xdr:colOff>
      <xdr:row>11</xdr:row>
      <xdr:rowOff>18823</xdr:rowOff>
    </xdr:from>
    <xdr:to>
      <xdr:col>7</xdr:col>
      <xdr:colOff>729615</xdr:colOff>
      <xdr:row>17</xdr:row>
      <xdr:rowOff>47600</xdr:rowOff>
    </xdr:to>
    <xdr:pic>
      <xdr:nvPicPr>
        <xdr:cNvPr id="10" name="Picture 9" descr="Right arrow - Free arrows icons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7969746">
          <a:off x="5158538" y="2133373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167438</xdr:colOff>
      <xdr:row>11</xdr:row>
      <xdr:rowOff>66448</xdr:rowOff>
    </xdr:from>
    <xdr:to>
      <xdr:col>5</xdr:col>
      <xdr:colOff>539115</xdr:colOff>
      <xdr:row>17</xdr:row>
      <xdr:rowOff>95225</xdr:rowOff>
    </xdr:to>
    <xdr:pic>
      <xdr:nvPicPr>
        <xdr:cNvPr id="11" name="Picture 10" descr="Right arrow - Free arrows icons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367838" y="2180998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361950</xdr:colOff>
      <xdr:row>26</xdr:row>
      <xdr:rowOff>0</xdr:rowOff>
    </xdr:from>
    <xdr:to>
      <xdr:col>2</xdr:col>
      <xdr:colOff>523875</xdr:colOff>
      <xdr:row>31</xdr:row>
      <xdr:rowOff>9525</xdr:rowOff>
    </xdr:to>
    <xdr:pic>
      <xdr:nvPicPr>
        <xdr:cNvPr id="12" name="Picture 11" descr="Philippine peso - Free business icons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49911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762000</xdr:colOff>
      <xdr:row>25</xdr:row>
      <xdr:rowOff>171450</xdr:rowOff>
    </xdr:from>
    <xdr:to>
      <xdr:col>4</xdr:col>
      <xdr:colOff>123825</xdr:colOff>
      <xdr:row>30</xdr:row>
      <xdr:rowOff>180975</xdr:rowOff>
    </xdr:to>
    <xdr:pic>
      <xdr:nvPicPr>
        <xdr:cNvPr id="13" name="Picture 12" descr="Philippine peso - Free business icons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2200" y="497205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342900</xdr:colOff>
      <xdr:row>25</xdr:row>
      <xdr:rowOff>152400</xdr:rowOff>
    </xdr:from>
    <xdr:to>
      <xdr:col>5</xdr:col>
      <xdr:colOff>504825</xdr:colOff>
      <xdr:row>30</xdr:row>
      <xdr:rowOff>161925</xdr:rowOff>
    </xdr:to>
    <xdr:pic>
      <xdr:nvPicPr>
        <xdr:cNvPr id="14" name="Picture 13" descr="Philippine peso - Free business icons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3300" y="49530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752475</xdr:colOff>
      <xdr:row>25</xdr:row>
      <xdr:rowOff>114300</xdr:rowOff>
    </xdr:from>
    <xdr:to>
      <xdr:col>7</xdr:col>
      <xdr:colOff>114300</xdr:colOff>
      <xdr:row>30</xdr:row>
      <xdr:rowOff>123825</xdr:rowOff>
    </xdr:to>
    <xdr:pic>
      <xdr:nvPicPr>
        <xdr:cNvPr id="15" name="Picture 14" descr="Philippine peso - Free business icons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2975" y="4914900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304800</xdr:colOff>
      <xdr:row>25</xdr:row>
      <xdr:rowOff>123825</xdr:rowOff>
    </xdr:from>
    <xdr:to>
      <xdr:col>8</xdr:col>
      <xdr:colOff>466725</xdr:colOff>
      <xdr:row>30</xdr:row>
      <xdr:rowOff>133350</xdr:rowOff>
    </xdr:to>
    <xdr:pic>
      <xdr:nvPicPr>
        <xdr:cNvPr id="16" name="Picture 15" descr="Philippine peso - Free business icons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0" y="4924425"/>
          <a:ext cx="96202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133122</xdr:rowOff>
    </xdr:from>
    <xdr:to>
      <xdr:col>2</xdr:col>
      <xdr:colOff>371677</xdr:colOff>
      <xdr:row>38</xdr:row>
      <xdr:rowOff>161899</xdr:rowOff>
    </xdr:to>
    <xdr:pic>
      <xdr:nvPicPr>
        <xdr:cNvPr id="19" name="Picture 18" descr="Right arrow - Free arrows icons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800100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456998</xdr:colOff>
      <xdr:row>32</xdr:row>
      <xdr:rowOff>133122</xdr:rowOff>
    </xdr:from>
    <xdr:to>
      <xdr:col>4</xdr:col>
      <xdr:colOff>28575</xdr:colOff>
      <xdr:row>38</xdr:row>
      <xdr:rowOff>161899</xdr:rowOff>
    </xdr:to>
    <xdr:pic>
      <xdr:nvPicPr>
        <xdr:cNvPr id="20" name="Picture 19" descr="Right arrow - Free arrows icons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057198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190500</xdr:colOff>
      <xdr:row>32</xdr:row>
      <xdr:rowOff>133122</xdr:rowOff>
    </xdr:from>
    <xdr:to>
      <xdr:col>5</xdr:col>
      <xdr:colOff>562177</xdr:colOff>
      <xdr:row>38</xdr:row>
      <xdr:rowOff>161899</xdr:rowOff>
    </xdr:to>
    <xdr:pic>
      <xdr:nvPicPr>
        <xdr:cNvPr id="21" name="Picture 20" descr="Right arrow - Free arrows icons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390900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733223</xdr:colOff>
      <xdr:row>32</xdr:row>
      <xdr:rowOff>133122</xdr:rowOff>
    </xdr:from>
    <xdr:to>
      <xdr:col>7</xdr:col>
      <xdr:colOff>304800</xdr:colOff>
      <xdr:row>38</xdr:row>
      <xdr:rowOff>161899</xdr:rowOff>
    </xdr:to>
    <xdr:pic>
      <xdr:nvPicPr>
        <xdr:cNvPr id="22" name="Picture 21" descr="Right arrow - Free arrows icons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4733723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428423</xdr:colOff>
      <xdr:row>32</xdr:row>
      <xdr:rowOff>133122</xdr:rowOff>
    </xdr:from>
    <xdr:to>
      <xdr:col>9</xdr:col>
      <xdr:colOff>0</xdr:colOff>
      <xdr:row>38</xdr:row>
      <xdr:rowOff>161899</xdr:rowOff>
    </xdr:to>
    <xdr:pic>
      <xdr:nvPicPr>
        <xdr:cNvPr id="23" name="Picture 22" descr="Right arrow - Free arrows icons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6029123" y="6267222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</xdr:colOff>
      <xdr:row>48</xdr:row>
      <xdr:rowOff>180975</xdr:rowOff>
    </xdr:from>
    <xdr:to>
      <xdr:col>2</xdr:col>
      <xdr:colOff>104775</xdr:colOff>
      <xdr:row>53</xdr:row>
      <xdr:rowOff>114300</xdr:rowOff>
    </xdr:to>
    <xdr:pic>
      <xdr:nvPicPr>
        <xdr:cNvPr id="24" name="Picture 23" descr="Borrow - Free business and finance icons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266700</xdr:colOff>
      <xdr:row>48</xdr:row>
      <xdr:rowOff>180975</xdr:rowOff>
    </xdr:from>
    <xdr:to>
      <xdr:col>3</xdr:col>
      <xdr:colOff>352425</xdr:colOff>
      <xdr:row>53</xdr:row>
      <xdr:rowOff>114300</xdr:rowOff>
    </xdr:to>
    <xdr:pic>
      <xdr:nvPicPr>
        <xdr:cNvPr id="28" name="Picture 27" descr="Borrow - Free business and finance icons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690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600075</xdr:colOff>
      <xdr:row>48</xdr:row>
      <xdr:rowOff>180975</xdr:rowOff>
    </xdr:from>
    <xdr:to>
      <xdr:col>4</xdr:col>
      <xdr:colOff>685800</xdr:colOff>
      <xdr:row>53</xdr:row>
      <xdr:rowOff>114300</xdr:rowOff>
    </xdr:to>
    <xdr:pic>
      <xdr:nvPicPr>
        <xdr:cNvPr id="29" name="Picture 28" descr="Borrow - Free business and finance icons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37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123825</xdr:colOff>
      <xdr:row>48</xdr:row>
      <xdr:rowOff>180975</xdr:rowOff>
    </xdr:from>
    <xdr:to>
      <xdr:col>6</xdr:col>
      <xdr:colOff>209550</xdr:colOff>
      <xdr:row>53</xdr:row>
      <xdr:rowOff>114300</xdr:rowOff>
    </xdr:to>
    <xdr:pic>
      <xdr:nvPicPr>
        <xdr:cNvPr id="30" name="Picture 29" descr="Borrow - Free business and finance icons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432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447675</xdr:colOff>
      <xdr:row>48</xdr:row>
      <xdr:rowOff>180975</xdr:rowOff>
    </xdr:from>
    <xdr:to>
      <xdr:col>7</xdr:col>
      <xdr:colOff>533400</xdr:colOff>
      <xdr:row>53</xdr:row>
      <xdr:rowOff>114300</xdr:rowOff>
    </xdr:to>
    <xdr:pic>
      <xdr:nvPicPr>
        <xdr:cNvPr id="31" name="Picture 30" descr="Borrow - Free business and finance icons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8275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704850</xdr:colOff>
      <xdr:row>48</xdr:row>
      <xdr:rowOff>180975</xdr:rowOff>
    </xdr:from>
    <xdr:to>
      <xdr:col>8</xdr:col>
      <xdr:colOff>790575</xdr:colOff>
      <xdr:row>53</xdr:row>
      <xdr:rowOff>114300</xdr:rowOff>
    </xdr:to>
    <xdr:pic>
      <xdr:nvPicPr>
        <xdr:cNvPr id="32" name="Picture 31" descr="Borrow - Free business and finance icons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9382125"/>
          <a:ext cx="885825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55</xdr:row>
      <xdr:rowOff>152401</xdr:rowOff>
    </xdr:from>
    <xdr:to>
      <xdr:col>3</xdr:col>
      <xdr:colOff>371677</xdr:colOff>
      <xdr:row>61</xdr:row>
      <xdr:rowOff>181178</xdr:rowOff>
    </xdr:to>
    <xdr:pic>
      <xdr:nvPicPr>
        <xdr:cNvPr id="35" name="Picture 34" descr="Right arrow - Free arrows icons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3146601">
          <a:off x="1600200" y="10687051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247649</xdr:colOff>
      <xdr:row>55</xdr:row>
      <xdr:rowOff>28575</xdr:rowOff>
    </xdr:from>
    <xdr:to>
      <xdr:col>7</xdr:col>
      <xdr:colOff>619326</xdr:colOff>
      <xdr:row>61</xdr:row>
      <xdr:rowOff>57352</xdr:rowOff>
    </xdr:to>
    <xdr:pic>
      <xdr:nvPicPr>
        <xdr:cNvPr id="36" name="Picture 35" descr="Right arrow - Free arrows icons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7969746">
          <a:off x="5048249" y="10563225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57149</xdr:colOff>
      <xdr:row>55</xdr:row>
      <xdr:rowOff>47625</xdr:rowOff>
    </xdr:from>
    <xdr:to>
      <xdr:col>5</xdr:col>
      <xdr:colOff>428826</xdr:colOff>
      <xdr:row>61</xdr:row>
      <xdr:rowOff>76402</xdr:rowOff>
    </xdr:to>
    <xdr:pic>
      <xdr:nvPicPr>
        <xdr:cNvPr id="37" name="Picture 36" descr="Right arrow - Free arrows icons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257549" y="10582275"/>
          <a:ext cx="1171777" cy="1171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0</xdr:colOff>
      <xdr:row>5</xdr:row>
      <xdr:rowOff>123825</xdr:rowOff>
    </xdr:from>
    <xdr:ext cx="785023" cy="264560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 txBox="1"/>
      </xdr:nvSpPr>
      <xdr:spPr>
        <a:xfrm>
          <a:off x="80010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2</a:t>
          </a:r>
        </a:p>
      </xdr:txBody>
    </xdr:sp>
    <xdr:clientData/>
  </xdr:oneCellAnchor>
  <xdr:oneCellAnchor>
    <xdr:from>
      <xdr:col>2</xdr:col>
      <xdr:colOff>180975</xdr:colOff>
      <xdr:row>5</xdr:row>
      <xdr:rowOff>123825</xdr:rowOff>
    </xdr:from>
    <xdr:ext cx="785023" cy="264560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SpPr txBox="1"/>
      </xdr:nvSpPr>
      <xdr:spPr>
        <a:xfrm>
          <a:off x="178117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2</a:t>
          </a:r>
        </a:p>
      </xdr:txBody>
    </xdr:sp>
    <xdr:clientData/>
  </xdr:oneCellAnchor>
  <xdr:oneCellAnchor>
    <xdr:from>
      <xdr:col>3</xdr:col>
      <xdr:colOff>285750</xdr:colOff>
      <xdr:row>5</xdr:row>
      <xdr:rowOff>123825</xdr:rowOff>
    </xdr:from>
    <xdr:ext cx="785023" cy="264560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 txBox="1"/>
      </xdr:nvSpPr>
      <xdr:spPr>
        <a:xfrm>
          <a:off x="268605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3</a:t>
          </a:r>
        </a:p>
      </xdr:txBody>
    </xdr:sp>
    <xdr:clientData/>
  </xdr:oneCellAnchor>
  <xdr:oneCellAnchor>
    <xdr:from>
      <xdr:col>4</xdr:col>
      <xdr:colOff>390525</xdr:colOff>
      <xdr:row>5</xdr:row>
      <xdr:rowOff>123825</xdr:rowOff>
    </xdr:from>
    <xdr:ext cx="785023" cy="264560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SpPr txBox="1"/>
      </xdr:nvSpPr>
      <xdr:spPr>
        <a:xfrm>
          <a:off x="359092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4</a:t>
          </a:r>
        </a:p>
      </xdr:txBody>
    </xdr:sp>
    <xdr:clientData/>
  </xdr:oneCellAnchor>
  <xdr:oneCellAnchor>
    <xdr:from>
      <xdr:col>5</xdr:col>
      <xdr:colOff>466725</xdr:colOff>
      <xdr:row>5</xdr:row>
      <xdr:rowOff>123825</xdr:rowOff>
    </xdr:from>
    <xdr:ext cx="785023" cy="264560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SpPr txBox="1"/>
      </xdr:nvSpPr>
      <xdr:spPr>
        <a:xfrm>
          <a:off x="446722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5</a:t>
          </a:r>
        </a:p>
      </xdr:txBody>
    </xdr:sp>
    <xdr:clientData/>
  </xdr:oneCellAnchor>
  <xdr:oneCellAnchor>
    <xdr:from>
      <xdr:col>6</xdr:col>
      <xdr:colOff>666750</xdr:colOff>
      <xdr:row>5</xdr:row>
      <xdr:rowOff>123825</xdr:rowOff>
    </xdr:from>
    <xdr:ext cx="785023" cy="264560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SpPr txBox="1"/>
      </xdr:nvSpPr>
      <xdr:spPr>
        <a:xfrm>
          <a:off x="5467350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6</a:t>
          </a:r>
        </a:p>
      </xdr:txBody>
    </xdr:sp>
    <xdr:clientData/>
  </xdr:oneCellAnchor>
  <xdr:oneCellAnchor>
    <xdr:from>
      <xdr:col>7</xdr:col>
      <xdr:colOff>790575</xdr:colOff>
      <xdr:row>5</xdr:row>
      <xdr:rowOff>123825</xdr:rowOff>
    </xdr:from>
    <xdr:ext cx="78502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900-00002F000000}"/>
            </a:ext>
          </a:extLst>
        </xdr:cNvPr>
        <xdr:cNvSpPr txBox="1"/>
      </xdr:nvSpPr>
      <xdr:spPr>
        <a:xfrm>
          <a:off x="6391275" y="1095375"/>
          <a:ext cx="7850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Member 7</a:t>
          </a:r>
        </a:p>
      </xdr:txBody>
    </xdr:sp>
    <xdr:clientData/>
  </xdr:oneCellAnchor>
  <xdr:oneCellAnchor>
    <xdr:from>
      <xdr:col>0</xdr:col>
      <xdr:colOff>695325</xdr:colOff>
      <xdr:row>47</xdr:row>
      <xdr:rowOff>85725</xdr:rowOff>
    </xdr:from>
    <xdr:ext cx="832151" cy="264560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SpPr txBox="1"/>
      </xdr:nvSpPr>
      <xdr:spPr>
        <a:xfrm>
          <a:off x="695325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1</a:t>
          </a:r>
        </a:p>
      </xdr:txBody>
    </xdr:sp>
    <xdr:clientData/>
  </xdr:oneCellAnchor>
  <xdr:oneCellAnchor>
    <xdr:from>
      <xdr:col>2</xdr:col>
      <xdr:colOff>152400</xdr:colOff>
      <xdr:row>47</xdr:row>
      <xdr:rowOff>85725</xdr:rowOff>
    </xdr:from>
    <xdr:ext cx="832151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900-000032000000}"/>
            </a:ext>
          </a:extLst>
        </xdr:cNvPr>
        <xdr:cNvSpPr txBox="1"/>
      </xdr:nvSpPr>
      <xdr:spPr>
        <a:xfrm>
          <a:off x="17526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2</a:t>
          </a:r>
        </a:p>
      </xdr:txBody>
    </xdr:sp>
    <xdr:clientData/>
  </xdr:oneCellAnchor>
  <xdr:oneCellAnchor>
    <xdr:from>
      <xdr:col>3</xdr:col>
      <xdr:colOff>514350</xdr:colOff>
      <xdr:row>47</xdr:row>
      <xdr:rowOff>85725</xdr:rowOff>
    </xdr:from>
    <xdr:ext cx="832151" cy="264560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SpPr txBox="1"/>
      </xdr:nvSpPr>
      <xdr:spPr>
        <a:xfrm>
          <a:off x="291465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3</a:t>
          </a:r>
        </a:p>
      </xdr:txBody>
    </xdr:sp>
    <xdr:clientData/>
  </xdr:oneCellAnchor>
  <xdr:oneCellAnchor>
    <xdr:from>
      <xdr:col>5</xdr:col>
      <xdr:colOff>0</xdr:colOff>
      <xdr:row>47</xdr:row>
      <xdr:rowOff>85725</xdr:rowOff>
    </xdr:from>
    <xdr:ext cx="832151" cy="264560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 txBox="1"/>
      </xdr:nvSpPr>
      <xdr:spPr>
        <a:xfrm>
          <a:off x="40005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</a:t>
          </a:r>
          <a:r>
            <a:rPr lang="en-US" sz="1100" baseline="0"/>
            <a:t> 4</a:t>
          </a:r>
          <a:endParaRPr lang="en-US" sz="1100"/>
        </a:p>
      </xdr:txBody>
    </xdr:sp>
    <xdr:clientData/>
  </xdr:oneCellAnchor>
  <xdr:oneCellAnchor>
    <xdr:from>
      <xdr:col>6</xdr:col>
      <xdr:colOff>342900</xdr:colOff>
      <xdr:row>47</xdr:row>
      <xdr:rowOff>85725</xdr:rowOff>
    </xdr:from>
    <xdr:ext cx="832151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SpPr txBox="1"/>
      </xdr:nvSpPr>
      <xdr:spPr>
        <a:xfrm>
          <a:off x="5143500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5</a:t>
          </a:r>
        </a:p>
      </xdr:txBody>
    </xdr:sp>
    <xdr:clientData/>
  </xdr:oneCellAnchor>
  <xdr:oneCellAnchor>
    <xdr:from>
      <xdr:col>7</xdr:col>
      <xdr:colOff>638175</xdr:colOff>
      <xdr:row>47</xdr:row>
      <xdr:rowOff>85725</xdr:rowOff>
    </xdr:from>
    <xdr:ext cx="832151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SpPr txBox="1"/>
      </xdr:nvSpPr>
      <xdr:spPr>
        <a:xfrm>
          <a:off x="6238875" y="9124950"/>
          <a:ext cx="8321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Borrower 6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5AF7E-CF54-456D-AB84-DADA38A35ECA}">
  <sheetPr codeName="Sheet9"/>
  <dimension ref="A1:HF148"/>
  <sheetViews>
    <sheetView tabSelected="1" topLeftCell="A4" zoomScale="115" zoomScaleNormal="115" workbookViewId="0">
      <selection activeCell="I22" sqref="I22"/>
    </sheetView>
  </sheetViews>
  <sheetFormatPr defaultRowHeight="15" x14ac:dyDescent="0.25"/>
  <cols>
    <col min="1" max="5" width="14.7109375" style="41" customWidth="1"/>
    <col min="6" max="6" width="2.140625" style="103" customWidth="1"/>
    <col min="7" max="11" width="14.7109375" customWidth="1"/>
    <col min="12" max="12" width="2.140625" style="103" customWidth="1"/>
    <col min="13" max="17" width="14.7109375" customWidth="1"/>
    <col min="18" max="18" width="2.140625" style="103" customWidth="1"/>
    <col min="19" max="149" width="14.7109375" customWidth="1"/>
  </cols>
  <sheetData>
    <row r="1" spans="1:214" s="160" customFormat="1" ht="30.75" customHeight="1" thickBot="1" x14ac:dyDescent="0.3">
      <c r="A1" s="299" t="s">
        <v>105</v>
      </c>
      <c r="B1" s="300"/>
      <c r="C1" s="300"/>
      <c r="D1" s="300"/>
      <c r="E1" s="300"/>
      <c r="F1" s="192"/>
      <c r="G1" s="299" t="s">
        <v>106</v>
      </c>
      <c r="H1" s="300"/>
      <c r="I1" s="300"/>
      <c r="J1" s="300"/>
      <c r="K1" s="300"/>
      <c r="L1" s="318"/>
      <c r="M1" s="299" t="s">
        <v>108</v>
      </c>
      <c r="N1" s="300"/>
      <c r="O1" s="300"/>
      <c r="P1" s="300"/>
      <c r="Q1" s="300"/>
      <c r="R1" s="317"/>
      <c r="S1" s="158"/>
      <c r="T1" s="158"/>
      <c r="U1" s="158"/>
      <c r="V1" s="158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 s="159"/>
      <c r="AS1" s="159"/>
      <c r="AT1" s="159"/>
      <c r="AU1" s="159"/>
      <c r="AV1" s="159"/>
      <c r="AW1" s="159"/>
      <c r="AX1" s="159"/>
      <c r="AY1" s="159"/>
      <c r="AZ1" s="159"/>
      <c r="BA1" s="159"/>
      <c r="BB1" s="159"/>
      <c r="BC1" s="159"/>
      <c r="BD1" s="159"/>
      <c r="BE1" s="159"/>
      <c r="BF1" s="159"/>
      <c r="BG1" s="159"/>
      <c r="BH1" s="159"/>
      <c r="BI1" s="159"/>
      <c r="BJ1" s="159"/>
      <c r="BK1" s="159"/>
      <c r="BL1" s="159"/>
      <c r="BM1" s="159"/>
      <c r="BN1" s="159"/>
      <c r="BO1" s="159"/>
      <c r="BP1" s="159"/>
      <c r="BQ1" s="159"/>
      <c r="BR1" s="159"/>
      <c r="BS1" s="159"/>
      <c r="BT1" s="159"/>
      <c r="BU1" s="159"/>
      <c r="BV1" s="159"/>
      <c r="BW1" s="159"/>
      <c r="BX1" s="159"/>
      <c r="BY1" s="159"/>
      <c r="BZ1" s="159"/>
      <c r="CA1" s="159"/>
      <c r="CB1" s="159"/>
      <c r="CC1" s="159"/>
      <c r="CD1" s="159"/>
      <c r="CE1" s="159"/>
      <c r="CF1" s="159"/>
      <c r="CG1" s="159"/>
      <c r="CH1" s="159"/>
      <c r="CI1" s="159"/>
      <c r="CJ1" s="159"/>
      <c r="CK1" s="159"/>
      <c r="CL1" s="159"/>
      <c r="CM1" s="159"/>
      <c r="CN1" s="159"/>
      <c r="CO1" s="159"/>
      <c r="CP1" s="159"/>
      <c r="CQ1" s="159"/>
      <c r="CR1" s="159"/>
      <c r="CS1" s="159"/>
      <c r="CT1" s="159"/>
      <c r="CU1" s="159"/>
      <c r="CV1" s="159"/>
      <c r="CW1" s="159"/>
      <c r="CX1" s="159"/>
      <c r="CY1" s="159"/>
      <c r="CZ1" s="159"/>
      <c r="DA1" s="159"/>
      <c r="DB1" s="159"/>
      <c r="DC1" s="159"/>
      <c r="DD1" s="159"/>
      <c r="DE1" s="159"/>
      <c r="DF1" s="159"/>
      <c r="DG1" s="159"/>
      <c r="DH1" s="159"/>
      <c r="DI1" s="159"/>
      <c r="DJ1" s="159"/>
      <c r="DK1" s="159"/>
      <c r="DL1" s="159"/>
      <c r="DM1" s="159"/>
      <c r="DN1" s="159"/>
      <c r="DO1" s="159"/>
      <c r="DP1" s="159"/>
      <c r="DQ1" s="159"/>
      <c r="DR1" s="159"/>
      <c r="DS1" s="159"/>
      <c r="DT1" s="159"/>
      <c r="DU1" s="159"/>
      <c r="DV1" s="159"/>
      <c r="DW1" s="159"/>
      <c r="DX1" s="159"/>
      <c r="DY1" s="159"/>
      <c r="DZ1" s="159"/>
      <c r="EA1" s="159"/>
      <c r="EB1" s="159"/>
      <c r="EC1" s="159"/>
      <c r="ED1" s="159"/>
      <c r="EE1" s="159"/>
      <c r="EF1" s="159"/>
      <c r="EG1" s="159"/>
      <c r="EH1" s="159"/>
      <c r="EI1" s="159"/>
      <c r="EJ1" s="159"/>
      <c r="EK1" s="159"/>
      <c r="EL1" s="159"/>
      <c r="EM1" s="159"/>
      <c r="EN1" s="159"/>
      <c r="EO1" s="159"/>
      <c r="EP1" s="159"/>
      <c r="EQ1" s="159"/>
      <c r="ER1" s="159"/>
      <c r="ES1" s="159"/>
      <c r="ET1" s="159"/>
      <c r="EU1" s="159"/>
      <c r="EV1" s="159"/>
      <c r="EW1" s="159"/>
      <c r="EX1" s="159"/>
      <c r="EY1" s="159"/>
      <c r="EZ1" s="159"/>
      <c r="FA1" s="159"/>
      <c r="FB1" s="159"/>
      <c r="FC1" s="159"/>
      <c r="FD1" s="159"/>
      <c r="FE1" s="159"/>
      <c r="FF1" s="159"/>
      <c r="FG1" s="159"/>
      <c r="FH1" s="159"/>
      <c r="FI1" s="159"/>
      <c r="FJ1" s="159"/>
      <c r="FK1" s="159"/>
      <c r="FL1" s="159"/>
      <c r="FM1" s="159"/>
      <c r="FN1" s="159"/>
      <c r="FO1" s="159"/>
      <c r="FP1" s="159"/>
    </row>
    <row r="2" spans="1:214" s="160" customFormat="1" ht="30.75" customHeight="1" x14ac:dyDescent="0.25">
      <c r="A2" s="315"/>
      <c r="B2" s="315"/>
      <c r="C2" s="315"/>
      <c r="D2" s="315"/>
      <c r="E2" s="315"/>
      <c r="F2" s="192"/>
      <c r="G2" s="315"/>
      <c r="H2" s="315"/>
      <c r="I2" s="315"/>
      <c r="J2" s="315"/>
      <c r="K2" s="315"/>
      <c r="L2" s="318"/>
      <c r="M2" s="315"/>
      <c r="N2" s="315"/>
      <c r="O2" s="315"/>
      <c r="P2" s="315"/>
      <c r="Q2" s="315"/>
      <c r="R2" s="317"/>
      <c r="S2" s="158"/>
      <c r="T2" s="158"/>
      <c r="U2" s="158"/>
      <c r="V2" s="158"/>
      <c r="W2" s="159"/>
      <c r="X2" s="159"/>
      <c r="Y2" s="159"/>
      <c r="Z2" s="159"/>
      <c r="AA2" s="159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9"/>
      <c r="AS2" s="159"/>
      <c r="AT2" s="159"/>
      <c r="AU2" s="159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9"/>
      <c r="BH2" s="159"/>
      <c r="BI2" s="159"/>
      <c r="BJ2" s="159"/>
      <c r="BK2" s="159"/>
      <c r="BL2" s="159"/>
      <c r="BM2" s="159"/>
      <c r="BN2" s="159"/>
      <c r="BO2" s="159"/>
      <c r="BP2" s="159"/>
      <c r="BQ2" s="159"/>
      <c r="BR2" s="159"/>
      <c r="BS2" s="159"/>
      <c r="BT2" s="159"/>
      <c r="BU2" s="159"/>
      <c r="BV2" s="159"/>
      <c r="BW2" s="159"/>
      <c r="BX2" s="159"/>
      <c r="BY2" s="159"/>
      <c r="BZ2" s="159"/>
      <c r="CA2" s="159"/>
      <c r="CB2" s="159"/>
      <c r="CC2" s="159"/>
      <c r="CD2" s="159"/>
      <c r="CE2" s="159"/>
      <c r="CF2" s="159"/>
      <c r="CG2" s="159"/>
      <c r="CH2" s="159"/>
      <c r="CI2" s="159"/>
      <c r="CJ2" s="159"/>
      <c r="CK2" s="159"/>
      <c r="CL2" s="159"/>
      <c r="CM2" s="159"/>
      <c r="CN2" s="159"/>
      <c r="CO2" s="159"/>
      <c r="CP2" s="159"/>
      <c r="CQ2" s="159"/>
      <c r="CR2" s="159"/>
      <c r="CS2" s="159"/>
      <c r="CT2" s="159"/>
      <c r="CU2" s="159"/>
      <c r="CV2" s="159"/>
      <c r="CW2" s="159"/>
      <c r="CX2" s="159"/>
      <c r="CY2" s="159"/>
      <c r="CZ2" s="159"/>
      <c r="DA2" s="159"/>
      <c r="DB2" s="159"/>
      <c r="DC2" s="159"/>
      <c r="DD2" s="159"/>
      <c r="DE2" s="159"/>
      <c r="DF2" s="159"/>
      <c r="DG2" s="159"/>
      <c r="DH2" s="159"/>
      <c r="DI2" s="159"/>
      <c r="DJ2" s="159"/>
      <c r="DK2" s="159"/>
      <c r="DL2" s="159"/>
      <c r="DM2" s="159"/>
      <c r="DN2" s="159"/>
      <c r="DO2" s="159"/>
      <c r="DP2" s="159"/>
      <c r="DQ2" s="159"/>
      <c r="DR2" s="159"/>
      <c r="DS2" s="159"/>
      <c r="DT2" s="159"/>
      <c r="DU2" s="159"/>
      <c r="DV2" s="159"/>
      <c r="DW2" s="159"/>
      <c r="DX2" s="159"/>
      <c r="DY2" s="159"/>
      <c r="DZ2" s="159"/>
      <c r="EA2" s="159"/>
      <c r="EB2" s="159"/>
      <c r="EC2" s="159"/>
      <c r="ED2" s="159"/>
      <c r="EE2" s="159"/>
      <c r="EF2" s="159"/>
      <c r="EG2" s="159"/>
      <c r="EH2" s="159"/>
      <c r="EI2" s="159"/>
      <c r="EJ2" s="159"/>
      <c r="EK2" s="159"/>
      <c r="EL2" s="159"/>
      <c r="EM2" s="159"/>
      <c r="EN2" s="159"/>
      <c r="EO2" s="159"/>
      <c r="EP2" s="159"/>
      <c r="EQ2" s="159"/>
      <c r="ER2" s="159"/>
      <c r="ES2" s="159"/>
      <c r="ET2" s="159"/>
      <c r="EU2" s="159"/>
      <c r="EV2" s="159"/>
      <c r="EW2" s="159"/>
      <c r="EX2" s="159"/>
      <c r="EY2" s="159"/>
      <c r="EZ2" s="159"/>
      <c r="FA2" s="159"/>
      <c r="FB2" s="159"/>
      <c r="FC2" s="159"/>
      <c r="FD2" s="159"/>
      <c r="FE2" s="159"/>
      <c r="FF2" s="159"/>
      <c r="FG2" s="159"/>
      <c r="FH2" s="159"/>
      <c r="FI2" s="159"/>
      <c r="FJ2" s="159"/>
      <c r="FK2" s="159"/>
      <c r="FL2" s="159"/>
      <c r="FM2" s="159"/>
      <c r="FN2" s="159"/>
      <c r="FO2" s="159"/>
      <c r="FP2" s="159"/>
    </row>
    <row r="3" spans="1:214" s="160" customFormat="1" ht="30.75" customHeight="1" x14ac:dyDescent="0.25">
      <c r="A3" s="314" t="s">
        <v>91</v>
      </c>
      <c r="B3" s="314" t="s">
        <v>90</v>
      </c>
      <c r="C3" s="314" t="s">
        <v>96</v>
      </c>
      <c r="D3" s="314" t="s">
        <v>93</v>
      </c>
      <c r="E3" s="314" t="s">
        <v>110</v>
      </c>
      <c r="F3" s="192"/>
      <c r="G3" s="307" t="s">
        <v>91</v>
      </c>
      <c r="H3" s="307" t="s">
        <v>90</v>
      </c>
      <c r="I3" s="307" t="s">
        <v>96</v>
      </c>
      <c r="J3" s="307" t="s">
        <v>93</v>
      </c>
      <c r="K3" s="307" t="s">
        <v>110</v>
      </c>
      <c r="L3" s="192"/>
      <c r="M3" s="191" t="s">
        <v>91</v>
      </c>
      <c r="N3" s="191" t="s">
        <v>90</v>
      </c>
      <c r="O3" s="191" t="s">
        <v>96</v>
      </c>
      <c r="P3" s="191" t="s">
        <v>93</v>
      </c>
      <c r="Q3" s="314" t="s">
        <v>110</v>
      </c>
      <c r="R3" s="192"/>
      <c r="S3" s="158"/>
      <c r="T3" s="158"/>
      <c r="U3" s="158"/>
      <c r="V3" s="158"/>
      <c r="W3" s="159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9"/>
      <c r="AV3" s="159"/>
      <c r="AW3" s="159"/>
      <c r="AX3" s="159"/>
      <c r="AY3" s="159"/>
      <c r="AZ3" s="159"/>
      <c r="BA3" s="159"/>
      <c r="BB3" s="159"/>
      <c r="BC3" s="159"/>
      <c r="BD3" s="159"/>
      <c r="BE3" s="159"/>
      <c r="BF3" s="159"/>
      <c r="BG3" s="159"/>
      <c r="BH3" s="159"/>
      <c r="BI3" s="159"/>
      <c r="BJ3" s="159"/>
      <c r="BK3" s="159"/>
      <c r="BL3" s="159"/>
      <c r="BM3" s="159"/>
      <c r="BN3" s="159"/>
      <c r="BO3" s="159"/>
      <c r="BP3" s="159"/>
      <c r="BQ3" s="159"/>
      <c r="BR3" s="159"/>
      <c r="BS3" s="159"/>
      <c r="BT3" s="159"/>
      <c r="BU3" s="159"/>
      <c r="BV3" s="159"/>
      <c r="BW3" s="159"/>
      <c r="BX3" s="159"/>
      <c r="BY3" s="159"/>
      <c r="BZ3" s="159"/>
      <c r="CA3" s="159"/>
      <c r="CB3" s="159"/>
      <c r="CC3" s="159"/>
      <c r="CD3" s="159"/>
      <c r="CE3" s="159"/>
      <c r="CF3" s="159"/>
      <c r="CG3" s="159"/>
      <c r="CH3" s="159"/>
      <c r="CI3" s="159"/>
      <c r="CJ3" s="159"/>
      <c r="CK3" s="159"/>
      <c r="CL3" s="159"/>
      <c r="CM3" s="159"/>
      <c r="CN3" s="159"/>
      <c r="CO3" s="159"/>
      <c r="CP3" s="159"/>
      <c r="CQ3" s="159"/>
      <c r="CR3" s="159"/>
      <c r="CS3" s="159"/>
      <c r="CT3" s="159"/>
      <c r="CU3" s="159"/>
      <c r="CV3" s="159"/>
      <c r="CW3" s="159"/>
      <c r="CX3" s="159"/>
      <c r="CY3" s="159"/>
      <c r="CZ3" s="159"/>
      <c r="DA3" s="159"/>
      <c r="DB3" s="159"/>
      <c r="DC3" s="159"/>
      <c r="DD3" s="159"/>
      <c r="DE3" s="159"/>
      <c r="DF3" s="159"/>
      <c r="DG3" s="159"/>
      <c r="DH3" s="159"/>
      <c r="DI3" s="159"/>
      <c r="DJ3" s="159"/>
      <c r="DK3" s="159"/>
      <c r="DL3" s="159"/>
      <c r="DM3" s="159"/>
      <c r="DN3" s="159"/>
      <c r="DO3" s="159"/>
      <c r="DP3" s="159"/>
      <c r="DQ3" s="159"/>
      <c r="DR3" s="159"/>
      <c r="DS3" s="159"/>
      <c r="DT3" s="159"/>
      <c r="DU3" s="159"/>
      <c r="DV3" s="159"/>
      <c r="DW3" s="159"/>
      <c r="DX3" s="159"/>
      <c r="DY3" s="159"/>
      <c r="DZ3" s="159"/>
      <c r="EA3" s="159"/>
      <c r="EB3" s="159"/>
      <c r="EC3" s="159"/>
      <c r="ED3" s="159"/>
      <c r="EE3" s="159"/>
      <c r="EF3" s="159"/>
      <c r="EG3" s="159"/>
      <c r="EH3" s="159"/>
      <c r="EI3" s="159"/>
      <c r="EJ3" s="159"/>
      <c r="EK3" s="159"/>
      <c r="EL3" s="159"/>
      <c r="EM3" s="159"/>
      <c r="EN3" s="159"/>
      <c r="EO3" s="159"/>
      <c r="EP3" s="159"/>
      <c r="EQ3" s="159"/>
      <c r="ER3" s="159"/>
      <c r="ES3" s="159"/>
      <c r="ET3" s="159"/>
      <c r="EU3" s="159"/>
      <c r="EV3" s="159"/>
      <c r="EW3" s="159"/>
      <c r="EX3" s="159"/>
      <c r="EY3" s="159"/>
      <c r="EZ3" s="159"/>
      <c r="FA3" s="159"/>
      <c r="FB3" s="159"/>
      <c r="FC3" s="159"/>
      <c r="FD3" s="159"/>
      <c r="FE3" s="159"/>
      <c r="FF3" s="159"/>
      <c r="FG3" s="159"/>
      <c r="FH3" s="159"/>
      <c r="FI3" s="159"/>
      <c r="FJ3" s="159"/>
      <c r="FK3" s="159"/>
      <c r="FL3" s="159"/>
      <c r="FM3" s="159"/>
      <c r="FN3" s="159"/>
      <c r="FO3" s="159"/>
      <c r="FP3" s="159"/>
    </row>
    <row r="4" spans="1:214" s="160" customFormat="1" ht="30.75" customHeight="1" x14ac:dyDescent="0.25">
      <c r="A4" s="180">
        <f>B10</f>
        <v>10000</v>
      </c>
      <c r="B4" s="180">
        <f>SUM(B11:B49)</f>
        <v>7000</v>
      </c>
      <c r="C4" s="180">
        <f>SUM(C10:C48)</f>
        <v>17000</v>
      </c>
      <c r="D4" s="296">
        <f>SUM(A4,B4) - C4</f>
        <v>0</v>
      </c>
      <c r="E4" s="308" t="s">
        <v>107</v>
      </c>
      <c r="F4" s="192"/>
      <c r="G4" s="180">
        <f>H10</f>
        <v>22000</v>
      </c>
      <c r="H4" s="180">
        <f>SUM(H11:H49)</f>
        <v>4000</v>
      </c>
      <c r="I4" s="180">
        <f>SUM(I10:I48)</f>
        <v>26000</v>
      </c>
      <c r="J4" s="296">
        <f>SUM(G4,H4) - I4</f>
        <v>0</v>
      </c>
      <c r="K4" s="308" t="s">
        <v>107</v>
      </c>
      <c r="L4" s="317"/>
      <c r="M4" s="301">
        <f>N10</f>
        <v>20000</v>
      </c>
      <c r="N4" s="302">
        <f>SUM(N11:N49)</f>
        <v>8000</v>
      </c>
      <c r="O4" s="302">
        <f>SUM(O10:O48)</f>
        <v>18000</v>
      </c>
      <c r="P4" s="319">
        <f>SUM(M4,N4) - O4</f>
        <v>10000</v>
      </c>
      <c r="Q4" s="321" t="s">
        <v>109</v>
      </c>
      <c r="R4" s="317"/>
      <c r="S4" s="158"/>
      <c r="T4" s="158"/>
      <c r="U4" s="158"/>
      <c r="V4" s="158"/>
      <c r="W4" s="158"/>
      <c r="X4" s="159"/>
      <c r="Y4" s="159"/>
      <c r="Z4" s="159"/>
      <c r="AA4" s="159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9"/>
      <c r="AS4" s="159"/>
      <c r="AT4" s="159"/>
      <c r="AU4" s="159"/>
      <c r="AV4" s="159"/>
      <c r="AW4" s="159"/>
      <c r="AX4" s="159"/>
      <c r="AY4" s="159"/>
      <c r="AZ4" s="159"/>
      <c r="BA4" s="159"/>
      <c r="BB4" s="159"/>
      <c r="BC4" s="159"/>
      <c r="BD4" s="159"/>
      <c r="BE4" s="159"/>
      <c r="BF4" s="159"/>
      <c r="BG4" s="159"/>
      <c r="BH4" s="159"/>
      <c r="BI4" s="159"/>
      <c r="BJ4" s="159"/>
      <c r="BK4" s="159"/>
      <c r="BL4" s="159"/>
      <c r="BM4" s="159"/>
      <c r="BN4" s="159"/>
      <c r="BO4" s="159"/>
      <c r="BP4" s="159"/>
      <c r="BQ4" s="159"/>
      <c r="BR4" s="159"/>
      <c r="BS4" s="159"/>
      <c r="BT4" s="159"/>
      <c r="BU4" s="159"/>
      <c r="BV4" s="159"/>
      <c r="BW4" s="159"/>
      <c r="BX4" s="159"/>
      <c r="BY4" s="159"/>
      <c r="BZ4" s="159"/>
      <c r="CA4" s="159"/>
      <c r="CB4" s="159"/>
      <c r="CC4" s="159"/>
      <c r="CD4" s="159"/>
      <c r="CE4" s="159"/>
      <c r="CF4" s="159"/>
      <c r="CG4" s="159"/>
      <c r="CH4" s="159"/>
      <c r="CI4" s="159"/>
      <c r="CJ4" s="159"/>
      <c r="CK4" s="159"/>
      <c r="CL4" s="159"/>
      <c r="CM4" s="159"/>
      <c r="CN4" s="159"/>
      <c r="CO4" s="159"/>
      <c r="CP4" s="159"/>
      <c r="CQ4" s="159"/>
      <c r="CR4" s="159"/>
      <c r="CS4" s="159"/>
      <c r="CT4" s="159"/>
      <c r="CU4" s="159"/>
      <c r="CV4" s="159"/>
      <c r="CW4" s="159"/>
      <c r="CX4" s="159"/>
      <c r="CY4" s="159"/>
      <c r="CZ4" s="159"/>
      <c r="DA4" s="159"/>
      <c r="DB4" s="159"/>
      <c r="DC4" s="159"/>
      <c r="DD4" s="159"/>
      <c r="DE4" s="159"/>
      <c r="DF4" s="159"/>
      <c r="DG4" s="159"/>
      <c r="DH4" s="159"/>
      <c r="DI4" s="159"/>
      <c r="DJ4" s="159"/>
      <c r="DK4" s="159"/>
      <c r="DL4" s="159"/>
      <c r="DM4" s="159"/>
      <c r="DN4" s="159"/>
      <c r="DO4" s="159"/>
      <c r="DP4" s="159"/>
      <c r="DQ4" s="159"/>
      <c r="DR4" s="159"/>
      <c r="DS4" s="159"/>
      <c r="DT4" s="159"/>
      <c r="DU4" s="159"/>
      <c r="DV4" s="159"/>
      <c r="DW4" s="159"/>
      <c r="DX4" s="159"/>
      <c r="DY4" s="159"/>
      <c r="DZ4" s="159"/>
      <c r="EA4" s="159"/>
      <c r="EB4" s="159"/>
      <c r="EC4" s="159"/>
      <c r="ED4" s="159"/>
      <c r="EE4" s="159"/>
      <c r="EF4" s="159"/>
      <c r="EG4" s="159"/>
      <c r="EH4" s="159"/>
      <c r="EI4" s="159"/>
      <c r="EJ4" s="159"/>
      <c r="EK4" s="159"/>
      <c r="EL4" s="159"/>
      <c r="EM4" s="159"/>
      <c r="EN4" s="159"/>
      <c r="EO4" s="159"/>
      <c r="EP4" s="159"/>
      <c r="EQ4" s="159"/>
      <c r="ER4" s="159"/>
      <c r="ES4" s="159"/>
      <c r="ET4" s="159"/>
      <c r="EU4" s="159"/>
      <c r="EV4" s="159"/>
      <c r="EW4" s="159"/>
      <c r="EX4" s="159"/>
      <c r="EY4" s="159"/>
      <c r="EZ4" s="159"/>
      <c r="FA4" s="159"/>
      <c r="FB4" s="159"/>
      <c r="FC4" s="159"/>
      <c r="FD4" s="159"/>
      <c r="FE4" s="159"/>
      <c r="FF4" s="159"/>
      <c r="FG4" s="159"/>
      <c r="FH4" s="159"/>
      <c r="FI4" s="159"/>
      <c r="FJ4" s="159"/>
      <c r="FK4" s="159"/>
      <c r="FL4" s="159"/>
      <c r="FM4" s="159"/>
      <c r="FN4" s="159"/>
      <c r="FO4" s="159"/>
      <c r="FP4" s="159"/>
    </row>
    <row r="5" spans="1:214" s="160" customFormat="1" ht="30.75" customHeight="1" x14ac:dyDescent="0.25">
      <c r="A5" s="316"/>
      <c r="B5" s="316"/>
      <c r="C5" s="316"/>
      <c r="D5" s="316"/>
      <c r="E5" s="316"/>
      <c r="F5" s="192"/>
      <c r="G5" s="306"/>
      <c r="H5" s="306"/>
      <c r="I5" s="306"/>
      <c r="J5" s="306"/>
      <c r="K5" s="300"/>
      <c r="L5" s="318"/>
      <c r="M5" s="306"/>
      <c r="N5" s="306"/>
      <c r="O5" s="306"/>
      <c r="P5" s="306"/>
      <c r="Q5" s="300"/>
      <c r="R5" s="317"/>
      <c r="S5" s="158"/>
      <c r="T5" s="158"/>
      <c r="U5" s="158"/>
      <c r="V5" s="158"/>
      <c r="W5" s="158"/>
      <c r="X5" s="159"/>
      <c r="Y5" s="159"/>
      <c r="Z5" s="159"/>
      <c r="AA5" s="159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9"/>
      <c r="AS5" s="159"/>
      <c r="AT5" s="159"/>
      <c r="AU5" s="159"/>
      <c r="AV5" s="159"/>
      <c r="AW5" s="159"/>
      <c r="AX5" s="159"/>
      <c r="AY5" s="159"/>
      <c r="AZ5" s="159"/>
      <c r="BA5" s="159"/>
      <c r="BB5" s="159"/>
      <c r="BC5" s="159"/>
      <c r="BD5" s="159"/>
      <c r="BE5" s="159"/>
      <c r="BF5" s="159"/>
      <c r="BG5" s="159"/>
      <c r="BH5" s="159"/>
      <c r="BI5" s="159"/>
      <c r="BJ5" s="159"/>
      <c r="BK5" s="159"/>
      <c r="BL5" s="159"/>
      <c r="BM5" s="159"/>
      <c r="BN5" s="159"/>
      <c r="BO5" s="159"/>
      <c r="BP5" s="159"/>
      <c r="BQ5" s="159"/>
      <c r="BR5" s="159"/>
      <c r="BS5" s="159"/>
      <c r="BT5" s="159"/>
      <c r="BU5" s="159"/>
      <c r="BV5" s="159"/>
      <c r="BW5" s="159"/>
      <c r="BX5" s="159"/>
      <c r="BY5" s="159"/>
      <c r="BZ5" s="159"/>
      <c r="CA5" s="159"/>
      <c r="CB5" s="159"/>
      <c r="CC5" s="159"/>
      <c r="CD5" s="159"/>
      <c r="CE5" s="159"/>
      <c r="CF5" s="159"/>
      <c r="CG5" s="159"/>
      <c r="CH5" s="159"/>
      <c r="CI5" s="159"/>
      <c r="CJ5" s="159"/>
      <c r="CK5" s="159"/>
      <c r="CL5" s="159"/>
      <c r="CM5" s="159"/>
      <c r="CN5" s="159"/>
      <c r="CO5" s="159"/>
      <c r="CP5" s="159"/>
      <c r="CQ5" s="159"/>
      <c r="CR5" s="159"/>
      <c r="CS5" s="159"/>
      <c r="CT5" s="159"/>
      <c r="CU5" s="159"/>
      <c r="CV5" s="159"/>
      <c r="CW5" s="159"/>
      <c r="CX5" s="159"/>
      <c r="CY5" s="159"/>
      <c r="CZ5" s="159"/>
      <c r="DA5" s="159"/>
      <c r="DB5" s="159"/>
      <c r="DC5" s="159"/>
      <c r="DD5" s="159"/>
      <c r="DE5" s="159"/>
      <c r="DF5" s="159"/>
      <c r="DG5" s="159"/>
      <c r="DH5" s="159"/>
      <c r="DI5" s="159"/>
      <c r="DJ5" s="159"/>
      <c r="DK5" s="159"/>
      <c r="DL5" s="159"/>
      <c r="DM5" s="159"/>
      <c r="DN5" s="159"/>
      <c r="DO5" s="159"/>
      <c r="DP5" s="159"/>
      <c r="DQ5" s="159"/>
      <c r="DR5" s="159"/>
      <c r="DS5" s="159"/>
      <c r="DT5" s="159"/>
      <c r="DU5" s="159"/>
      <c r="DV5" s="159"/>
      <c r="DW5" s="159"/>
      <c r="DX5" s="159"/>
      <c r="DY5" s="159"/>
      <c r="DZ5" s="159"/>
      <c r="EA5" s="159"/>
      <c r="EB5" s="159"/>
      <c r="EC5" s="159"/>
      <c r="ED5" s="159"/>
      <c r="EE5" s="159"/>
      <c r="EF5" s="159"/>
      <c r="EG5" s="159"/>
      <c r="EH5" s="159"/>
      <c r="EI5" s="159"/>
      <c r="EJ5" s="159"/>
      <c r="EK5" s="159"/>
      <c r="EL5" s="159"/>
      <c r="EM5" s="159"/>
      <c r="EN5" s="159"/>
      <c r="EO5" s="159"/>
      <c r="EP5" s="159"/>
      <c r="EQ5" s="159"/>
      <c r="ER5" s="159"/>
      <c r="ES5" s="159"/>
      <c r="ET5" s="159"/>
      <c r="EU5" s="159"/>
      <c r="EV5" s="159"/>
      <c r="EW5" s="159"/>
      <c r="EX5" s="159"/>
      <c r="EY5" s="159"/>
      <c r="EZ5" s="159"/>
      <c r="FA5" s="159"/>
      <c r="FB5" s="159"/>
      <c r="FC5" s="159"/>
      <c r="FD5" s="159"/>
      <c r="FE5" s="159"/>
      <c r="FF5" s="159"/>
      <c r="FG5" s="159"/>
      <c r="FH5" s="159"/>
      <c r="FI5" s="159"/>
      <c r="FJ5" s="159"/>
      <c r="FK5" s="159"/>
      <c r="FL5" s="159"/>
      <c r="FM5" s="159"/>
      <c r="FN5" s="159"/>
      <c r="FO5" s="159"/>
      <c r="FP5" s="159"/>
    </row>
    <row r="6" spans="1:214" s="160" customFormat="1" ht="30.75" customHeight="1" x14ac:dyDescent="0.25">
      <c r="A6" s="304" t="s">
        <v>15</v>
      </c>
      <c r="B6" s="304" t="s">
        <v>86</v>
      </c>
      <c r="C6" s="304" t="s">
        <v>16</v>
      </c>
      <c r="D6" s="305" t="s">
        <v>85</v>
      </c>
      <c r="E6" s="314" t="s">
        <v>110</v>
      </c>
      <c r="F6" s="192"/>
      <c r="G6" s="322" t="s">
        <v>15</v>
      </c>
      <c r="H6" s="322" t="s">
        <v>86</v>
      </c>
      <c r="I6" s="322" t="s">
        <v>16</v>
      </c>
      <c r="J6" s="323" t="s">
        <v>85</v>
      </c>
      <c r="K6" s="307" t="s">
        <v>110</v>
      </c>
      <c r="L6" s="317"/>
      <c r="M6" s="304" t="s">
        <v>15</v>
      </c>
      <c r="N6" s="304" t="s">
        <v>86</v>
      </c>
      <c r="O6" s="304" t="s">
        <v>16</v>
      </c>
      <c r="P6" s="320" t="s">
        <v>85</v>
      </c>
      <c r="Q6" s="314" t="s">
        <v>110</v>
      </c>
      <c r="R6" s="317"/>
      <c r="S6" s="158"/>
      <c r="T6" s="158"/>
      <c r="U6" s="158"/>
      <c r="V6" s="158"/>
      <c r="W6" s="158"/>
      <c r="X6" s="159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9"/>
      <c r="BH6" s="159"/>
      <c r="BI6" s="159"/>
      <c r="BJ6" s="159"/>
      <c r="BK6" s="159"/>
      <c r="BL6" s="159"/>
      <c r="BM6" s="159"/>
      <c r="BN6" s="159"/>
      <c r="BO6" s="159"/>
      <c r="BP6" s="159"/>
      <c r="BQ6" s="159"/>
      <c r="BR6" s="159"/>
      <c r="BS6" s="159"/>
      <c r="BT6" s="159"/>
      <c r="BU6" s="159"/>
      <c r="BV6" s="159"/>
      <c r="BW6" s="159"/>
      <c r="BX6" s="159"/>
      <c r="BY6" s="159"/>
      <c r="BZ6" s="159"/>
      <c r="CA6" s="159"/>
      <c r="CB6" s="159"/>
      <c r="CC6" s="159"/>
      <c r="CD6" s="159"/>
      <c r="CE6" s="159"/>
      <c r="CF6" s="159"/>
      <c r="CG6" s="159"/>
      <c r="CH6" s="159"/>
      <c r="CI6" s="159"/>
      <c r="CJ6" s="159"/>
      <c r="CK6" s="159"/>
      <c r="CL6" s="159"/>
      <c r="CM6" s="159"/>
      <c r="CN6" s="159"/>
      <c r="CO6" s="159"/>
      <c r="CP6" s="159"/>
      <c r="CQ6" s="159"/>
      <c r="CR6" s="159"/>
      <c r="CS6" s="159"/>
      <c r="CT6" s="159"/>
      <c r="CU6" s="159"/>
      <c r="CV6" s="159"/>
      <c r="CW6" s="159"/>
      <c r="CX6" s="159"/>
      <c r="CY6" s="159"/>
      <c r="CZ6" s="159"/>
      <c r="DA6" s="159"/>
      <c r="DB6" s="159"/>
      <c r="DC6" s="159"/>
      <c r="DD6" s="159"/>
      <c r="DE6" s="159"/>
      <c r="DF6" s="159"/>
      <c r="DG6" s="159"/>
      <c r="DH6" s="159"/>
      <c r="DI6" s="159"/>
      <c r="DJ6" s="159"/>
      <c r="DK6" s="159"/>
      <c r="DL6" s="159"/>
      <c r="DM6" s="159"/>
      <c r="DN6" s="159"/>
      <c r="DO6" s="159"/>
      <c r="DP6" s="159"/>
      <c r="DQ6" s="159"/>
      <c r="DR6" s="159"/>
      <c r="DS6" s="159"/>
      <c r="DT6" s="159"/>
      <c r="DU6" s="159"/>
      <c r="DV6" s="159"/>
      <c r="DW6" s="159"/>
      <c r="DX6" s="159"/>
      <c r="DY6" s="159"/>
      <c r="DZ6" s="159"/>
      <c r="EA6" s="159"/>
      <c r="EB6" s="159"/>
      <c r="EC6" s="159"/>
      <c r="ED6" s="159"/>
      <c r="EE6" s="159"/>
      <c r="EF6" s="159"/>
      <c r="EG6" s="159"/>
      <c r="EH6" s="159"/>
      <c r="EI6" s="159"/>
      <c r="EJ6" s="159"/>
      <c r="EK6" s="159"/>
      <c r="EL6" s="159"/>
      <c r="EM6" s="159"/>
      <c r="EN6" s="159"/>
      <c r="EO6" s="159"/>
      <c r="EP6" s="159"/>
      <c r="EQ6" s="159"/>
      <c r="ER6" s="159"/>
      <c r="ES6" s="159"/>
      <c r="ET6" s="159"/>
      <c r="EU6" s="159"/>
      <c r="EV6" s="159"/>
      <c r="EW6" s="159"/>
      <c r="EX6" s="159"/>
      <c r="EY6" s="159"/>
      <c r="EZ6" s="159"/>
      <c r="FA6" s="159"/>
      <c r="FB6" s="159"/>
      <c r="FC6" s="159"/>
      <c r="FD6" s="159"/>
      <c r="FE6" s="159"/>
      <c r="FF6" s="159"/>
      <c r="FG6" s="159"/>
      <c r="FH6" s="159"/>
      <c r="FI6" s="159"/>
      <c r="FJ6" s="159"/>
      <c r="FK6" s="159"/>
      <c r="FL6" s="159"/>
      <c r="FM6" s="159"/>
      <c r="FN6" s="159"/>
      <c r="FO6" s="159"/>
      <c r="FP6" s="159"/>
    </row>
    <row r="7" spans="1:214" s="160" customFormat="1" ht="30.75" customHeight="1" x14ac:dyDescent="0.25">
      <c r="A7" s="180">
        <f>SUM(D10:D43)</f>
        <v>3615</v>
      </c>
      <c r="B7" s="180">
        <f>SUM(E10:E43)</f>
        <v>3615</v>
      </c>
      <c r="C7" s="296">
        <f>A7-B7</f>
        <v>0</v>
      </c>
      <c r="D7" s="195">
        <f>D4 + C7</f>
        <v>0</v>
      </c>
      <c r="E7" s="308" t="s">
        <v>107</v>
      </c>
      <c r="F7" s="192"/>
      <c r="G7" s="180">
        <f>SUM(J10:J43)</f>
        <v>3240</v>
      </c>
      <c r="H7" s="180">
        <f>SUM(K10:K43)</f>
        <v>3240</v>
      </c>
      <c r="I7" s="296">
        <f>G7-H7</f>
        <v>0</v>
      </c>
      <c r="J7" s="195">
        <f>J4 + I7</f>
        <v>0</v>
      </c>
      <c r="K7" s="308" t="s">
        <v>107</v>
      </c>
      <c r="L7" s="317"/>
      <c r="M7" s="301">
        <f>SUM(P10:P43)</f>
        <v>3690</v>
      </c>
      <c r="N7" s="302">
        <f>SUM(Q10:Q43)</f>
        <v>3690</v>
      </c>
      <c r="O7" s="303">
        <f>M7-N7</f>
        <v>0</v>
      </c>
      <c r="P7" s="309">
        <f>P4 + O7</f>
        <v>10000</v>
      </c>
      <c r="Q7" s="321" t="s">
        <v>109</v>
      </c>
      <c r="R7" s="193"/>
      <c r="S7" s="158"/>
      <c r="T7" s="158"/>
      <c r="U7" s="158"/>
      <c r="V7" s="158"/>
      <c r="W7" s="158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9"/>
      <c r="BH7" s="159"/>
      <c r="BI7" s="159"/>
      <c r="BJ7" s="159"/>
      <c r="BK7" s="159"/>
      <c r="BL7" s="159"/>
      <c r="BM7" s="159"/>
      <c r="BN7" s="159"/>
      <c r="BO7" s="159"/>
      <c r="BP7" s="159"/>
      <c r="BQ7" s="159"/>
      <c r="BR7" s="159"/>
      <c r="BS7" s="159"/>
      <c r="BT7" s="159"/>
      <c r="BU7" s="159"/>
      <c r="BV7" s="159"/>
      <c r="BW7" s="159"/>
      <c r="BX7" s="159"/>
      <c r="BY7" s="159"/>
      <c r="BZ7" s="159"/>
      <c r="CA7" s="159"/>
      <c r="CB7" s="159"/>
      <c r="CC7" s="159"/>
      <c r="CD7" s="159"/>
      <c r="CE7" s="159"/>
      <c r="CF7" s="159"/>
      <c r="CG7" s="159"/>
      <c r="CH7" s="159"/>
      <c r="CI7" s="159"/>
      <c r="CJ7" s="159"/>
      <c r="CK7" s="159"/>
      <c r="CL7" s="159"/>
      <c r="CM7" s="159"/>
      <c r="CN7" s="159"/>
      <c r="CO7" s="159"/>
      <c r="CP7" s="159"/>
      <c r="CQ7" s="159"/>
      <c r="CR7" s="159"/>
      <c r="CS7" s="159"/>
      <c r="CT7" s="159"/>
      <c r="CU7" s="159"/>
      <c r="CV7" s="159"/>
      <c r="CW7" s="159"/>
      <c r="CX7" s="159"/>
      <c r="CY7" s="159"/>
      <c r="CZ7" s="159"/>
      <c r="DA7" s="159"/>
      <c r="DB7" s="159"/>
      <c r="DC7" s="159"/>
      <c r="DD7" s="159"/>
      <c r="DE7" s="159"/>
      <c r="DF7" s="159"/>
      <c r="DG7" s="159"/>
      <c r="DH7" s="159"/>
      <c r="DI7" s="159"/>
      <c r="DJ7" s="159"/>
      <c r="DK7" s="159"/>
      <c r="DL7" s="159"/>
      <c r="DM7" s="159"/>
      <c r="DN7" s="159"/>
      <c r="DO7" s="159"/>
      <c r="DP7" s="159"/>
      <c r="DQ7" s="159"/>
      <c r="DR7" s="159"/>
      <c r="DS7" s="159"/>
      <c r="DT7" s="159"/>
      <c r="DU7" s="159"/>
      <c r="DV7" s="159"/>
      <c r="DW7" s="159"/>
      <c r="DX7" s="159"/>
      <c r="DY7" s="159"/>
      <c r="DZ7" s="159"/>
      <c r="EA7" s="159"/>
      <c r="EB7" s="159"/>
      <c r="EC7" s="159"/>
      <c r="ED7" s="159"/>
      <c r="EE7" s="159"/>
      <c r="EF7" s="159"/>
      <c r="EG7" s="159"/>
      <c r="EH7" s="159"/>
      <c r="EI7" s="159"/>
      <c r="EJ7" s="159"/>
      <c r="EK7" s="159"/>
      <c r="EL7" s="159"/>
      <c r="EM7" s="159"/>
      <c r="EN7" s="159"/>
      <c r="EO7" s="159"/>
      <c r="EP7" s="159"/>
      <c r="EQ7" s="159"/>
      <c r="ER7" s="159"/>
      <c r="ES7" s="159"/>
      <c r="ET7" s="159"/>
      <c r="EU7" s="159"/>
      <c r="EV7" s="159"/>
      <c r="EW7" s="159"/>
      <c r="EX7" s="159"/>
      <c r="EY7" s="159"/>
      <c r="EZ7" s="159"/>
      <c r="FA7" s="159"/>
      <c r="FB7" s="159"/>
      <c r="FC7" s="159"/>
      <c r="FD7" s="159"/>
      <c r="FE7" s="159"/>
      <c r="FF7" s="159"/>
      <c r="FG7" s="159"/>
      <c r="FH7" s="159"/>
      <c r="FI7" s="159"/>
      <c r="FJ7" s="159"/>
      <c r="FK7" s="159"/>
      <c r="FL7" s="159"/>
      <c r="FM7" s="159"/>
      <c r="FN7" s="159"/>
      <c r="FO7" s="159"/>
      <c r="FP7" s="159"/>
    </row>
    <row r="8" spans="1:214" s="160" customFormat="1" ht="30.75" customHeight="1" x14ac:dyDescent="0.25">
      <c r="A8" s="313"/>
      <c r="B8" s="313"/>
      <c r="C8" s="313"/>
      <c r="D8" s="313"/>
      <c r="E8" s="313"/>
      <c r="F8" s="192"/>
      <c r="G8" s="313"/>
      <c r="H8" s="313"/>
      <c r="I8" s="313"/>
      <c r="J8" s="313"/>
      <c r="K8" s="313"/>
      <c r="L8" s="318"/>
      <c r="M8" s="313"/>
      <c r="N8" s="313"/>
      <c r="O8" s="313"/>
      <c r="P8" s="313"/>
      <c r="Q8" s="313"/>
      <c r="R8" s="317"/>
      <c r="S8" s="158"/>
      <c r="T8" s="158"/>
      <c r="U8" s="158"/>
      <c r="V8" s="158"/>
      <c r="W8" s="158"/>
      <c r="X8" s="159"/>
      <c r="Y8" s="159"/>
      <c r="Z8" s="159"/>
      <c r="AA8" s="159"/>
      <c r="AB8" s="159"/>
      <c r="AC8" s="159"/>
      <c r="AD8" s="159"/>
      <c r="AE8" s="159"/>
      <c r="AF8" s="159"/>
      <c r="AG8" s="159"/>
      <c r="AH8" s="159"/>
      <c r="AI8" s="159"/>
      <c r="AJ8" s="159"/>
      <c r="AK8" s="159"/>
      <c r="AL8" s="159"/>
      <c r="AM8" s="159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9"/>
      <c r="BH8" s="159"/>
      <c r="BI8" s="159"/>
      <c r="BJ8" s="159"/>
      <c r="BK8" s="159"/>
      <c r="BL8" s="159"/>
      <c r="BM8" s="159"/>
      <c r="BN8" s="159"/>
      <c r="BO8" s="159"/>
      <c r="BP8" s="159"/>
      <c r="BQ8" s="159"/>
      <c r="BR8" s="159"/>
      <c r="BS8" s="159"/>
      <c r="BT8" s="159"/>
      <c r="BU8" s="159"/>
      <c r="BV8" s="159"/>
      <c r="BW8" s="159"/>
      <c r="BX8" s="159"/>
      <c r="BY8" s="159"/>
      <c r="BZ8" s="159"/>
      <c r="CA8" s="159"/>
      <c r="CB8" s="159"/>
      <c r="CC8" s="159"/>
      <c r="CD8" s="159"/>
      <c r="CE8" s="159"/>
      <c r="CF8" s="159"/>
      <c r="CG8" s="159"/>
      <c r="CH8" s="159"/>
      <c r="CI8" s="159"/>
      <c r="CJ8" s="159"/>
      <c r="CK8" s="159"/>
      <c r="CL8" s="159"/>
      <c r="CM8" s="159"/>
      <c r="CN8" s="159"/>
      <c r="CO8" s="159"/>
      <c r="CP8" s="159"/>
      <c r="CQ8" s="159"/>
      <c r="CR8" s="159"/>
      <c r="CS8" s="159"/>
      <c r="CT8" s="159"/>
      <c r="CU8" s="159"/>
      <c r="CV8" s="159"/>
      <c r="CW8" s="159"/>
      <c r="CX8" s="159"/>
      <c r="CY8" s="159"/>
      <c r="CZ8" s="159"/>
      <c r="DA8" s="159"/>
      <c r="DB8" s="159"/>
      <c r="DC8" s="159"/>
      <c r="DD8" s="159"/>
      <c r="DE8" s="159"/>
      <c r="DF8" s="159"/>
      <c r="DG8" s="159"/>
      <c r="DH8" s="159"/>
      <c r="DI8" s="159"/>
      <c r="DJ8" s="159"/>
      <c r="DK8" s="159"/>
      <c r="DL8" s="159"/>
      <c r="DM8" s="159"/>
      <c r="DN8" s="159"/>
      <c r="DO8" s="159"/>
      <c r="DP8" s="159"/>
      <c r="DQ8" s="159"/>
      <c r="DR8" s="159"/>
      <c r="DS8" s="159"/>
      <c r="DT8" s="159"/>
      <c r="DU8" s="159"/>
      <c r="DV8" s="159"/>
      <c r="DW8" s="159"/>
      <c r="DX8" s="159"/>
      <c r="DY8" s="159"/>
      <c r="DZ8" s="159"/>
      <c r="EA8" s="159"/>
      <c r="EB8" s="159"/>
      <c r="EC8" s="159"/>
      <c r="ED8" s="159"/>
      <c r="EE8" s="159"/>
      <c r="EF8" s="159"/>
      <c r="EG8" s="159"/>
      <c r="EH8" s="159"/>
      <c r="EI8" s="159"/>
      <c r="EJ8" s="159"/>
      <c r="EK8" s="159"/>
      <c r="EL8" s="159"/>
      <c r="EM8" s="159"/>
      <c r="EN8" s="159"/>
      <c r="EO8" s="159"/>
      <c r="EP8" s="159"/>
      <c r="EQ8" s="159"/>
      <c r="ER8" s="159"/>
      <c r="ES8" s="159"/>
      <c r="ET8" s="159"/>
      <c r="EU8" s="159"/>
      <c r="EV8" s="159"/>
      <c r="EW8" s="159"/>
      <c r="EX8" s="159"/>
      <c r="EY8" s="159"/>
      <c r="EZ8" s="159"/>
      <c r="FA8" s="159"/>
      <c r="FB8" s="159"/>
      <c r="FC8" s="159"/>
      <c r="FD8" s="159"/>
      <c r="FE8" s="159"/>
      <c r="FF8" s="159"/>
      <c r="FG8" s="159"/>
      <c r="FH8" s="159"/>
      <c r="FI8" s="159"/>
      <c r="FJ8" s="159"/>
      <c r="FK8" s="159"/>
      <c r="FL8" s="159"/>
      <c r="FM8" s="159"/>
      <c r="FN8" s="159"/>
      <c r="FO8" s="159"/>
      <c r="FP8" s="159"/>
    </row>
    <row r="9" spans="1:214" s="160" customFormat="1" ht="30.75" customHeight="1" x14ac:dyDescent="0.25">
      <c r="A9" s="310" t="s">
        <v>104</v>
      </c>
      <c r="B9" s="311" t="s">
        <v>90</v>
      </c>
      <c r="C9" s="311" t="s">
        <v>89</v>
      </c>
      <c r="D9" s="311" t="s">
        <v>15</v>
      </c>
      <c r="E9" s="312" t="s">
        <v>92</v>
      </c>
      <c r="F9" s="192"/>
      <c r="G9" s="310" t="s">
        <v>104</v>
      </c>
      <c r="H9" s="311" t="s">
        <v>90</v>
      </c>
      <c r="I9" s="311" t="s">
        <v>89</v>
      </c>
      <c r="J9" s="311" t="s">
        <v>15</v>
      </c>
      <c r="K9" s="312" t="s">
        <v>92</v>
      </c>
      <c r="L9" s="193"/>
      <c r="M9" s="310" t="s">
        <v>104</v>
      </c>
      <c r="N9" s="311" t="s">
        <v>90</v>
      </c>
      <c r="O9" s="311" t="s">
        <v>89</v>
      </c>
      <c r="P9" s="311" t="s">
        <v>15</v>
      </c>
      <c r="Q9" s="312" t="s">
        <v>92</v>
      </c>
      <c r="R9" s="193"/>
      <c r="S9" s="158"/>
      <c r="T9" s="158"/>
      <c r="U9" s="158"/>
      <c r="V9" s="158"/>
      <c r="W9" s="158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9"/>
      <c r="AL9" s="159"/>
      <c r="AM9" s="159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9"/>
      <c r="BH9" s="159"/>
      <c r="BI9" s="159"/>
      <c r="BJ9" s="159"/>
      <c r="BK9" s="159"/>
      <c r="BL9" s="159"/>
      <c r="BM9" s="159"/>
      <c r="BN9" s="159"/>
      <c r="BO9" s="159"/>
      <c r="BP9" s="159"/>
      <c r="BQ9" s="159"/>
      <c r="BR9" s="159"/>
      <c r="BS9" s="159"/>
      <c r="BT9" s="159"/>
      <c r="BU9" s="159"/>
      <c r="BV9" s="159"/>
      <c r="BW9" s="159"/>
      <c r="BX9" s="159"/>
      <c r="BY9" s="159"/>
      <c r="BZ9" s="159"/>
      <c r="CA9" s="159"/>
      <c r="CB9" s="159"/>
      <c r="CC9" s="159"/>
      <c r="CD9" s="159"/>
      <c r="CE9" s="159"/>
      <c r="CF9" s="159"/>
      <c r="CG9" s="159"/>
      <c r="CH9" s="159"/>
      <c r="CI9" s="159"/>
      <c r="CJ9" s="159"/>
      <c r="CK9" s="159"/>
      <c r="CL9" s="159"/>
      <c r="CM9" s="159"/>
      <c r="CN9" s="159"/>
      <c r="CO9" s="159"/>
      <c r="CP9" s="159"/>
      <c r="CQ9" s="159"/>
      <c r="CR9" s="159"/>
      <c r="CS9" s="159"/>
      <c r="CT9" s="159"/>
      <c r="CU9" s="159"/>
      <c r="CV9" s="159"/>
      <c r="CW9" s="159"/>
      <c r="CX9" s="159"/>
      <c r="CY9" s="159"/>
      <c r="CZ9" s="159"/>
      <c r="DA9" s="159"/>
      <c r="DB9" s="159"/>
      <c r="DC9" s="159"/>
      <c r="DD9" s="159"/>
      <c r="DE9" s="159"/>
      <c r="DF9" s="159"/>
      <c r="DG9" s="159"/>
      <c r="DH9" s="159"/>
      <c r="DI9" s="159"/>
      <c r="DJ9" s="159"/>
      <c r="DK9" s="159"/>
      <c r="DL9" s="159"/>
      <c r="DM9" s="159"/>
      <c r="DN9" s="159"/>
      <c r="DO9" s="159"/>
      <c r="DP9" s="159"/>
      <c r="DQ9" s="159"/>
      <c r="DR9" s="159"/>
      <c r="DS9" s="159"/>
      <c r="DT9" s="159"/>
      <c r="DU9" s="159"/>
      <c r="DV9" s="159"/>
      <c r="DW9" s="159"/>
      <c r="DX9" s="159"/>
      <c r="DY9" s="159"/>
      <c r="DZ9" s="159"/>
      <c r="EA9" s="159"/>
      <c r="EB9" s="159"/>
      <c r="EC9" s="159"/>
      <c r="ED9" s="159"/>
      <c r="EE9" s="159"/>
      <c r="EF9" s="159"/>
      <c r="EG9" s="159"/>
      <c r="EH9" s="159"/>
      <c r="EI9" s="159"/>
      <c r="EJ9" s="159"/>
      <c r="EK9" s="159"/>
      <c r="EL9" s="159"/>
      <c r="EM9" s="159"/>
      <c r="EN9" s="159"/>
      <c r="EO9" s="159"/>
      <c r="EP9" s="159"/>
      <c r="EQ9" s="159"/>
      <c r="ER9" s="159"/>
      <c r="ES9" s="159"/>
      <c r="ET9" s="159"/>
      <c r="EU9" s="159"/>
      <c r="EV9" s="159"/>
      <c r="EW9" s="159"/>
      <c r="EX9" s="159"/>
      <c r="EY9" s="159"/>
      <c r="EZ9" s="159"/>
      <c r="FA9" s="159"/>
      <c r="FB9" s="159"/>
      <c r="FC9" s="159"/>
      <c r="FD9" s="159"/>
      <c r="FE9" s="159"/>
      <c r="FF9" s="159"/>
      <c r="FG9" s="159"/>
      <c r="FH9" s="159"/>
      <c r="FI9" s="159"/>
      <c r="FJ9" s="159"/>
      <c r="FK9" s="159"/>
      <c r="FL9" s="159"/>
      <c r="FM9" s="159"/>
      <c r="FN9" s="159"/>
      <c r="FO9" s="159"/>
      <c r="FP9" s="159"/>
    </row>
    <row r="10" spans="1:214" s="96" customFormat="1" ht="18.75" x14ac:dyDescent="0.25">
      <c r="A10" s="151">
        <v>43585.259375000001</v>
      </c>
      <c r="B10" s="85">
        <v>10000</v>
      </c>
      <c r="C10" s="85"/>
      <c r="D10" s="85"/>
      <c r="E10" s="181"/>
      <c r="F10" s="103"/>
      <c r="G10" s="151">
        <v>43554.259375000001</v>
      </c>
      <c r="H10" s="85">
        <v>22000</v>
      </c>
      <c r="I10" s="85"/>
      <c r="J10" s="85"/>
      <c r="K10" s="181"/>
      <c r="L10" s="193"/>
      <c r="M10" s="151">
        <v>45787</v>
      </c>
      <c r="N10" s="85">
        <v>20000</v>
      </c>
      <c r="O10" s="85"/>
      <c r="P10" s="85"/>
      <c r="Q10" s="181"/>
      <c r="R10" s="193"/>
      <c r="S10" s="111"/>
      <c r="T10" s="111"/>
      <c r="U10" s="111"/>
      <c r="V10" s="111"/>
      <c r="W10" s="111"/>
      <c r="X10" s="111"/>
      <c r="Y10" s="111"/>
      <c r="Z10" s="111"/>
      <c r="AA10" s="111"/>
      <c r="AB10" s="111"/>
      <c r="AC10" s="111"/>
      <c r="AD10" s="111"/>
      <c r="AE10" s="111"/>
      <c r="AF10" s="111"/>
      <c r="AG10" s="111"/>
      <c r="AH10" s="111"/>
      <c r="AI10" s="111"/>
      <c r="AJ10" s="111"/>
      <c r="AK10" s="111"/>
      <c r="AL10" s="111"/>
      <c r="AM10" s="111"/>
      <c r="AN10" s="111"/>
      <c r="AO10" s="111"/>
      <c r="AP10" s="111"/>
      <c r="AQ10" s="111"/>
      <c r="AR10" s="111"/>
      <c r="AS10" s="111"/>
      <c r="AT10" s="111"/>
      <c r="AU10" s="111"/>
      <c r="AV10" s="111"/>
      <c r="AW10" s="111"/>
      <c r="AX10" s="111"/>
      <c r="AY10" s="111"/>
      <c r="AZ10" s="111"/>
      <c r="BA10" s="111"/>
      <c r="BB10" s="111"/>
      <c r="BC10" s="111"/>
      <c r="BD10" s="111"/>
      <c r="BE10" s="111"/>
      <c r="BF10" s="111"/>
      <c r="BG10" s="111"/>
      <c r="BH10" s="111"/>
      <c r="BI10" s="111"/>
      <c r="BJ10" s="111"/>
      <c r="BK10" s="111"/>
      <c r="BL10" s="111"/>
      <c r="BM10" s="111"/>
      <c r="BN10" s="111"/>
      <c r="BO10" s="111"/>
      <c r="BP10" s="111"/>
      <c r="BQ10" s="111"/>
      <c r="BR10" s="111"/>
      <c r="BS10" s="111"/>
      <c r="BT10" s="111"/>
      <c r="BU10" s="111"/>
      <c r="BV10" s="111"/>
      <c r="BW10" s="111"/>
      <c r="BX10" s="111"/>
      <c r="BY10" s="111"/>
      <c r="BZ10" s="111"/>
      <c r="CA10" s="111"/>
      <c r="CB10" s="111"/>
      <c r="CC10" s="111"/>
      <c r="CD10" s="111"/>
      <c r="CE10" s="111"/>
      <c r="CF10" s="111"/>
      <c r="CG10" s="111"/>
      <c r="CH10" s="111"/>
      <c r="CI10" s="111"/>
      <c r="CJ10" s="111"/>
      <c r="CK10" s="111"/>
      <c r="CL10" s="111"/>
      <c r="CM10" s="111"/>
      <c r="CN10" s="111"/>
      <c r="CO10" s="111"/>
      <c r="CP10" s="111"/>
      <c r="CQ10" s="111"/>
      <c r="CR10" s="111"/>
      <c r="CS10" s="111"/>
      <c r="CT10" s="111"/>
      <c r="CU10" s="111"/>
      <c r="CV10" s="111"/>
      <c r="CW10" s="111"/>
      <c r="CX10" s="111"/>
      <c r="CY10" s="111"/>
      <c r="CZ10" s="111"/>
      <c r="DA10" s="111"/>
      <c r="DB10" s="111"/>
      <c r="DC10" s="111"/>
      <c r="DD10" s="111"/>
      <c r="DE10" s="111"/>
      <c r="DF10" s="111"/>
      <c r="DG10" s="111"/>
      <c r="DH10" s="111"/>
      <c r="DI10" s="111"/>
      <c r="DJ10" s="111"/>
      <c r="DK10" s="111"/>
      <c r="DL10" s="111"/>
      <c r="DM10" s="111"/>
      <c r="DN10" s="111"/>
      <c r="DO10" s="111"/>
      <c r="DP10" s="111"/>
      <c r="DQ10" s="111"/>
      <c r="DR10" s="111"/>
      <c r="DS10" s="111"/>
      <c r="DT10" s="111"/>
      <c r="DU10" s="111"/>
      <c r="DV10" s="111"/>
      <c r="DW10" s="111"/>
      <c r="DX10" s="111"/>
      <c r="DY10" s="111"/>
      <c r="DZ10" s="111"/>
      <c r="EA10" s="111"/>
      <c r="EB10" s="111"/>
      <c r="EC10" s="111"/>
      <c r="ED10" s="111"/>
      <c r="EE10" s="111"/>
      <c r="EF10" s="111"/>
      <c r="EG10" s="111"/>
      <c r="EH10" s="111"/>
      <c r="EI10" s="111"/>
      <c r="EJ10" s="111"/>
      <c r="EK10" s="111"/>
      <c r="EL10" s="111"/>
      <c r="EM10" s="111"/>
      <c r="EN10" s="111"/>
      <c r="EO10" s="111"/>
      <c r="EP10" s="111"/>
      <c r="EQ10" s="111"/>
      <c r="ER10" s="111"/>
      <c r="ES10" s="111"/>
      <c r="ET10" s="111"/>
      <c r="EU10" s="111"/>
      <c r="EV10" s="111"/>
      <c r="EW10" s="111"/>
      <c r="EX10" s="111"/>
      <c r="EY10" s="111"/>
      <c r="EZ10" s="111"/>
      <c r="FA10" s="111"/>
      <c r="FB10" s="111"/>
      <c r="FC10" s="111"/>
      <c r="FD10" s="111"/>
      <c r="FE10" s="111"/>
      <c r="FF10" s="111"/>
      <c r="FG10" s="111"/>
      <c r="FH10" s="111"/>
      <c r="FI10" s="111"/>
      <c r="FJ10" s="111"/>
      <c r="FK10" s="111"/>
      <c r="FL10" s="111"/>
      <c r="FM10" s="111"/>
      <c r="FN10" s="111"/>
      <c r="FO10" s="111"/>
      <c r="FP10" s="111"/>
    </row>
    <row r="11" spans="1:214" x14ac:dyDescent="0.25">
      <c r="A11" s="151">
        <v>43585.259375000001</v>
      </c>
      <c r="B11" s="44">
        <v>0</v>
      </c>
      <c r="C11" s="44"/>
      <c r="D11" s="85">
        <f>IF(A11&gt;1,(B10*0.03),"")</f>
        <v>300</v>
      </c>
      <c r="E11" s="181">
        <v>300</v>
      </c>
      <c r="G11" s="151">
        <v>43570.259375000001</v>
      </c>
      <c r="H11" s="44">
        <v>0</v>
      </c>
      <c r="I11" s="44"/>
      <c r="J11" s="85">
        <f>IF(G11&gt;1,(H10*0.03),"")</f>
        <v>660</v>
      </c>
      <c r="K11" s="181">
        <v>0</v>
      </c>
      <c r="L11" s="114"/>
      <c r="M11" s="151">
        <v>45792</v>
      </c>
      <c r="N11" s="44"/>
      <c r="O11" s="44"/>
      <c r="P11" s="85">
        <f>IF(M11&gt;1,(N10*0.03),"")</f>
        <v>600</v>
      </c>
      <c r="Q11" s="181">
        <v>600</v>
      </c>
      <c r="R11" s="114"/>
      <c r="S11" s="111"/>
      <c r="T11" s="111"/>
      <c r="U11" s="111"/>
      <c r="V11" s="111"/>
      <c r="W11" s="111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</row>
    <row r="12" spans="1:214" s="14" customFormat="1" x14ac:dyDescent="0.25">
      <c r="A12" s="151">
        <v>43585.259375000001</v>
      </c>
      <c r="B12" s="44">
        <v>1000</v>
      </c>
      <c r="C12" s="44"/>
      <c r="D12" s="85">
        <f t="shared" ref="D12:D43" si="0">IF(A12&gt;1,D11-(C11*0.03)+(B11*0.03),"")</f>
        <v>300</v>
      </c>
      <c r="E12" s="181">
        <v>300</v>
      </c>
      <c r="F12" s="103"/>
      <c r="G12" s="151">
        <v>43585.259375000001</v>
      </c>
      <c r="H12" s="44">
        <v>1000</v>
      </c>
      <c r="I12" s="44"/>
      <c r="J12" s="85">
        <f t="shared" ref="J12:J43" si="1">IF(G12&gt;1,J11-(I11*0.03)+(H11*0.03),"")</f>
        <v>660</v>
      </c>
      <c r="K12" s="181">
        <v>0</v>
      </c>
      <c r="L12" s="114"/>
      <c r="M12" s="151">
        <v>45807</v>
      </c>
      <c r="N12" s="44"/>
      <c r="O12" s="44">
        <v>5000</v>
      </c>
      <c r="P12" s="85">
        <f t="shared" ref="P12:P43" si="2">IF(M12&gt;1,P11-(O11*0.03)+(N11*0.03),"")</f>
        <v>600</v>
      </c>
      <c r="Q12" s="181">
        <v>600</v>
      </c>
      <c r="R12" s="114"/>
      <c r="S12" s="111"/>
      <c r="T12" s="111"/>
      <c r="U12" s="111"/>
      <c r="V12" s="111"/>
      <c r="W12" s="111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  <c r="AN12" s="112"/>
      <c r="AO12" s="112"/>
      <c r="AP12" s="112"/>
      <c r="AQ12" s="112"/>
      <c r="AR12" s="112"/>
      <c r="AS12" s="112"/>
      <c r="AT12" s="112"/>
      <c r="AU12" s="112"/>
      <c r="AV12" s="112"/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  <c r="BL12" s="112"/>
      <c r="BM12" s="112"/>
      <c r="BN12" s="112"/>
      <c r="BO12" s="112"/>
      <c r="BP12" s="112"/>
      <c r="BQ12" s="112"/>
      <c r="BR12" s="112"/>
      <c r="BS12" s="112"/>
      <c r="BT12" s="112"/>
      <c r="BU12" s="112"/>
      <c r="BV12" s="112"/>
      <c r="BW12" s="112"/>
      <c r="BX12" s="112"/>
      <c r="BY12" s="112"/>
      <c r="BZ12" s="112"/>
      <c r="CA12" s="112"/>
      <c r="CB12" s="112"/>
      <c r="CC12" s="112"/>
      <c r="CD12" s="112"/>
      <c r="CE12" s="112"/>
      <c r="CF12" s="112"/>
      <c r="CG12" s="112"/>
      <c r="CH12" s="112"/>
      <c r="CI12" s="112"/>
      <c r="CJ12" s="112"/>
      <c r="CK12" s="112"/>
      <c r="CL12" s="112"/>
      <c r="CM12" s="112"/>
      <c r="CN12" s="112"/>
      <c r="CO12" s="112"/>
      <c r="CP12" s="112"/>
      <c r="CQ12" s="112"/>
      <c r="CR12" s="112"/>
      <c r="CS12" s="112"/>
      <c r="CT12" s="112"/>
      <c r="CU12" s="112"/>
      <c r="CV12" s="112"/>
      <c r="CW12" s="112"/>
      <c r="CX12" s="112"/>
      <c r="CY12" s="112"/>
      <c r="CZ12" s="112"/>
      <c r="DA12" s="112"/>
      <c r="DB12" s="112"/>
      <c r="DC12" s="112"/>
      <c r="DD12" s="112"/>
      <c r="DE12" s="112"/>
      <c r="DF12" s="112"/>
      <c r="DG12" s="112"/>
      <c r="DH12" s="112"/>
      <c r="DI12" s="112"/>
      <c r="DJ12" s="112"/>
      <c r="DK12" s="112"/>
      <c r="DL12" s="112"/>
      <c r="DM12" s="112"/>
      <c r="DN12" s="112"/>
      <c r="DO12" s="112"/>
      <c r="DP12" s="112"/>
      <c r="DQ12" s="112"/>
      <c r="DR12" s="112"/>
      <c r="DS12" s="112"/>
      <c r="DT12" s="112"/>
      <c r="DU12" s="112"/>
      <c r="DV12" s="112"/>
      <c r="DW12" s="112"/>
      <c r="DX12" s="112"/>
      <c r="DY12" s="112"/>
      <c r="DZ12" s="112"/>
      <c r="EA12" s="112"/>
      <c r="EB12" s="112"/>
      <c r="EC12" s="112"/>
      <c r="ED12" s="112"/>
      <c r="EE12" s="112"/>
      <c r="EF12" s="112"/>
      <c r="EG12" s="112"/>
      <c r="EH12" s="112"/>
      <c r="EI12" s="112"/>
      <c r="EJ12" s="112"/>
      <c r="EK12" s="112"/>
      <c r="EL12" s="112"/>
      <c r="EM12" s="112"/>
      <c r="EN12" s="112"/>
      <c r="EO12" s="112"/>
      <c r="EP12" s="112"/>
      <c r="EQ12" s="112"/>
      <c r="ER12" s="112"/>
      <c r="ES12" s="112"/>
      <c r="ET12" s="112"/>
      <c r="EU12" s="112"/>
      <c r="EV12" s="112"/>
      <c r="EW12" s="112"/>
      <c r="EX12" s="112"/>
      <c r="EY12" s="112"/>
      <c r="EZ12" s="112"/>
      <c r="FA12" s="112"/>
      <c r="FB12" s="112"/>
      <c r="FC12" s="112"/>
      <c r="FD12" s="112"/>
      <c r="FE12" s="112"/>
      <c r="FF12" s="112"/>
      <c r="FG12" s="112"/>
      <c r="FH12" s="112"/>
      <c r="FI12" s="112"/>
      <c r="FJ12" s="112"/>
      <c r="FK12" s="112"/>
      <c r="FL12" s="112"/>
      <c r="FM12" s="112"/>
      <c r="FN12" s="112"/>
      <c r="FO12" s="112"/>
      <c r="FP12" s="112"/>
    </row>
    <row r="13" spans="1:214" x14ac:dyDescent="0.25">
      <c r="A13" s="151">
        <v>43585.259375000001</v>
      </c>
      <c r="B13" s="44">
        <v>0</v>
      </c>
      <c r="C13" s="44">
        <v>1000</v>
      </c>
      <c r="D13" s="85">
        <f t="shared" si="0"/>
        <v>330</v>
      </c>
      <c r="E13" s="181">
        <v>330</v>
      </c>
      <c r="G13" s="151">
        <v>45792</v>
      </c>
      <c r="H13" s="44">
        <v>0</v>
      </c>
      <c r="I13" s="44">
        <v>15000</v>
      </c>
      <c r="J13" s="85">
        <f t="shared" si="1"/>
        <v>690</v>
      </c>
      <c r="K13" s="181">
        <v>0</v>
      </c>
      <c r="L13" s="114"/>
      <c r="M13" s="151">
        <v>45823</v>
      </c>
      <c r="N13" s="44"/>
      <c r="O13" s="44">
        <v>5000</v>
      </c>
      <c r="P13" s="85">
        <f t="shared" si="2"/>
        <v>450</v>
      </c>
      <c r="Q13" s="181">
        <v>450</v>
      </c>
      <c r="R13" s="114"/>
      <c r="S13" s="111"/>
      <c r="T13" s="111"/>
      <c r="U13" s="111"/>
      <c r="V13" s="111"/>
      <c r="W13" s="111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</row>
    <row r="14" spans="1:214" x14ac:dyDescent="0.25">
      <c r="A14" s="151">
        <v>43585.259375000001</v>
      </c>
      <c r="B14" s="44">
        <v>0</v>
      </c>
      <c r="C14" s="44"/>
      <c r="D14" s="85">
        <f t="shared" si="0"/>
        <v>300</v>
      </c>
      <c r="E14" s="181">
        <v>300</v>
      </c>
      <c r="G14" s="151">
        <v>45807</v>
      </c>
      <c r="H14" s="44">
        <v>0</v>
      </c>
      <c r="I14" s="44"/>
      <c r="J14" s="85">
        <f t="shared" si="1"/>
        <v>240</v>
      </c>
      <c r="K14" s="181">
        <v>2000</v>
      </c>
      <c r="L14" s="114"/>
      <c r="M14" s="151">
        <v>45838</v>
      </c>
      <c r="N14" s="44"/>
      <c r="O14" s="44"/>
      <c r="P14" s="85">
        <f t="shared" si="2"/>
        <v>300</v>
      </c>
      <c r="Q14" s="181">
        <v>300</v>
      </c>
      <c r="R14" s="114"/>
      <c r="S14" s="111"/>
      <c r="T14" s="111"/>
      <c r="U14" s="111"/>
      <c r="V14" s="111"/>
      <c r="W14" s="111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</row>
    <row r="15" spans="1:214" x14ac:dyDescent="0.25">
      <c r="A15" s="151">
        <v>43585.259375000001</v>
      </c>
      <c r="B15" s="44">
        <v>3000</v>
      </c>
      <c r="C15" s="44"/>
      <c r="D15" s="85">
        <f t="shared" si="0"/>
        <v>300</v>
      </c>
      <c r="E15" s="181">
        <v>300</v>
      </c>
      <c r="G15" s="151">
        <v>45823</v>
      </c>
      <c r="H15" s="44">
        <v>0</v>
      </c>
      <c r="I15" s="44"/>
      <c r="J15" s="85">
        <f t="shared" si="1"/>
        <v>240</v>
      </c>
      <c r="K15" s="181">
        <v>400</v>
      </c>
      <c r="L15" s="114"/>
      <c r="M15" s="151">
        <v>45853</v>
      </c>
      <c r="N15" s="44"/>
      <c r="O15" s="44"/>
      <c r="P15" s="85">
        <f t="shared" si="2"/>
        <v>300</v>
      </c>
      <c r="Q15" s="181">
        <v>300</v>
      </c>
      <c r="R15" s="114"/>
      <c r="S15" s="111"/>
      <c r="T15" s="111"/>
      <c r="U15" s="111"/>
      <c r="V15" s="111"/>
      <c r="W15" s="111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</row>
    <row r="16" spans="1:214" x14ac:dyDescent="0.25">
      <c r="A16" s="151">
        <v>45787</v>
      </c>
      <c r="B16" s="182">
        <v>0</v>
      </c>
      <c r="C16" s="44"/>
      <c r="D16" s="85">
        <f t="shared" si="0"/>
        <v>390</v>
      </c>
      <c r="E16" s="181">
        <v>390</v>
      </c>
      <c r="G16" s="151">
        <v>45838</v>
      </c>
      <c r="H16" s="182">
        <v>0</v>
      </c>
      <c r="I16" s="44">
        <v>5000</v>
      </c>
      <c r="J16" s="85">
        <f t="shared" si="1"/>
        <v>240</v>
      </c>
      <c r="K16" s="181">
        <v>0</v>
      </c>
      <c r="L16" s="114"/>
      <c r="M16" s="151">
        <v>45868</v>
      </c>
      <c r="N16" s="182"/>
      <c r="O16" s="44"/>
      <c r="P16" s="85">
        <f t="shared" si="2"/>
        <v>300</v>
      </c>
      <c r="Q16" s="181">
        <v>300</v>
      </c>
      <c r="R16" s="114"/>
      <c r="S16" s="111"/>
      <c r="T16" s="111"/>
      <c r="U16" s="111"/>
      <c r="V16" s="111"/>
      <c r="W16" s="111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</row>
    <row r="17" spans="1:214" x14ac:dyDescent="0.25">
      <c r="A17" s="151">
        <v>45792</v>
      </c>
      <c r="B17" s="182">
        <v>3000</v>
      </c>
      <c r="C17" s="44"/>
      <c r="D17" s="85">
        <f t="shared" si="0"/>
        <v>390</v>
      </c>
      <c r="E17" s="181">
        <v>390</v>
      </c>
      <c r="G17" s="151">
        <v>45853</v>
      </c>
      <c r="H17" s="182">
        <v>3000</v>
      </c>
      <c r="I17" s="44"/>
      <c r="J17" s="85">
        <f t="shared" si="1"/>
        <v>90</v>
      </c>
      <c r="K17" s="181">
        <v>0</v>
      </c>
      <c r="L17" s="114"/>
      <c r="M17" s="151">
        <v>45884</v>
      </c>
      <c r="N17" s="182">
        <v>3000</v>
      </c>
      <c r="O17" s="44"/>
      <c r="P17" s="85">
        <f t="shared" si="2"/>
        <v>300</v>
      </c>
      <c r="Q17" s="181">
        <v>300</v>
      </c>
      <c r="R17" s="114"/>
      <c r="S17" s="111"/>
      <c r="T17" s="111"/>
      <c r="U17" s="111"/>
      <c r="V17" s="111"/>
      <c r="W17" s="111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</row>
    <row r="18" spans="1:214" x14ac:dyDescent="0.25">
      <c r="A18" s="151">
        <v>45807</v>
      </c>
      <c r="B18" s="182">
        <v>0</v>
      </c>
      <c r="C18" s="44"/>
      <c r="D18" s="85">
        <f t="shared" si="0"/>
        <v>480</v>
      </c>
      <c r="E18" s="181">
        <v>480</v>
      </c>
      <c r="G18" s="151">
        <v>45868</v>
      </c>
      <c r="H18" s="182">
        <v>0</v>
      </c>
      <c r="I18" s="44">
        <v>2000</v>
      </c>
      <c r="J18" s="85">
        <f t="shared" si="1"/>
        <v>180</v>
      </c>
      <c r="K18" s="181">
        <v>600</v>
      </c>
      <c r="L18" s="114"/>
      <c r="M18" s="151">
        <v>45899</v>
      </c>
      <c r="N18" s="182"/>
      <c r="O18" s="44">
        <v>8000</v>
      </c>
      <c r="P18" s="85">
        <f t="shared" si="2"/>
        <v>390</v>
      </c>
      <c r="Q18" s="181">
        <v>390</v>
      </c>
      <c r="R18" s="114"/>
      <c r="S18" s="111"/>
      <c r="T18" s="111"/>
      <c r="U18" s="111"/>
      <c r="V18" s="111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</row>
    <row r="19" spans="1:214" x14ac:dyDescent="0.25">
      <c r="A19" s="151">
        <v>45823</v>
      </c>
      <c r="B19" s="182">
        <v>0</v>
      </c>
      <c r="C19" s="44">
        <v>12000</v>
      </c>
      <c r="D19" s="85">
        <f t="shared" si="0"/>
        <v>480</v>
      </c>
      <c r="E19" s="181">
        <v>480</v>
      </c>
      <c r="G19" s="151">
        <v>45884</v>
      </c>
      <c r="H19" s="182">
        <v>0</v>
      </c>
      <c r="I19" s="44"/>
      <c r="J19" s="85">
        <f t="shared" si="1"/>
        <v>120</v>
      </c>
      <c r="K19" s="181"/>
      <c r="L19" s="114"/>
      <c r="M19" s="151">
        <v>45915</v>
      </c>
      <c r="N19" s="182">
        <v>5000</v>
      </c>
      <c r="O19" s="44"/>
      <c r="P19" s="85">
        <f t="shared" si="2"/>
        <v>150</v>
      </c>
      <c r="Q19" s="181">
        <v>0</v>
      </c>
      <c r="R19" s="114"/>
      <c r="S19" s="111"/>
      <c r="T19" s="111"/>
      <c r="U19" s="111"/>
      <c r="V19" s="111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</row>
    <row r="20" spans="1:214" x14ac:dyDescent="0.25">
      <c r="A20" s="151">
        <v>45838</v>
      </c>
      <c r="B20" s="44">
        <v>0</v>
      </c>
      <c r="C20" s="44">
        <v>2500</v>
      </c>
      <c r="D20" s="85">
        <f t="shared" si="0"/>
        <v>120</v>
      </c>
      <c r="E20" s="181">
        <v>120</v>
      </c>
      <c r="G20" s="151">
        <v>45899</v>
      </c>
      <c r="H20" s="44">
        <v>0</v>
      </c>
      <c r="I20" s="44">
        <v>4000</v>
      </c>
      <c r="J20" s="85">
        <f t="shared" si="1"/>
        <v>120</v>
      </c>
      <c r="K20" s="181"/>
      <c r="L20" s="114"/>
      <c r="M20" s="151">
        <v>45930</v>
      </c>
      <c r="N20" s="44"/>
      <c r="O20" s="44"/>
      <c r="P20" s="85">
        <f t="shared" si="2"/>
        <v>300</v>
      </c>
      <c r="Q20" s="181">
        <v>450</v>
      </c>
      <c r="R20" s="114"/>
      <c r="S20" s="111"/>
      <c r="T20" s="111"/>
      <c r="U20" s="111"/>
      <c r="V20" s="111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</row>
    <row r="21" spans="1:214" x14ac:dyDescent="0.25">
      <c r="A21" s="151">
        <v>45853</v>
      </c>
      <c r="B21" s="44">
        <v>0</v>
      </c>
      <c r="C21" s="44"/>
      <c r="D21" s="85">
        <f t="shared" si="0"/>
        <v>45</v>
      </c>
      <c r="E21" s="181">
        <v>0</v>
      </c>
      <c r="G21" s="151">
        <v>45915</v>
      </c>
      <c r="H21" s="44">
        <v>0</v>
      </c>
      <c r="I21" s="44"/>
      <c r="J21" s="85">
        <f t="shared" si="1"/>
        <v>0</v>
      </c>
      <c r="K21" s="181">
        <v>240</v>
      </c>
      <c r="L21" s="114"/>
      <c r="M21" s="151"/>
      <c r="N21" s="44"/>
      <c r="O21" s="44"/>
      <c r="P21" s="85" t="str">
        <f t="shared" si="2"/>
        <v/>
      </c>
      <c r="Q21" s="181"/>
      <c r="R21" s="114"/>
      <c r="S21" s="111"/>
      <c r="T21" s="111"/>
      <c r="U21" s="111"/>
      <c r="V21" s="111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</row>
    <row r="22" spans="1:214" x14ac:dyDescent="0.25">
      <c r="A22" s="151">
        <v>45868</v>
      </c>
      <c r="B22" s="44">
        <v>0</v>
      </c>
      <c r="C22" s="44"/>
      <c r="D22" s="85">
        <f t="shared" si="0"/>
        <v>45</v>
      </c>
      <c r="E22" s="181">
        <v>0</v>
      </c>
      <c r="G22" s="151">
        <v>45930</v>
      </c>
      <c r="H22" s="44">
        <v>0</v>
      </c>
      <c r="I22" s="44"/>
      <c r="J22" s="85">
        <f t="shared" si="1"/>
        <v>0</v>
      </c>
      <c r="K22" s="181"/>
      <c r="L22" s="114"/>
      <c r="M22" s="151"/>
      <c r="N22" s="44"/>
      <c r="O22" s="44"/>
      <c r="P22" s="85" t="str">
        <f t="shared" si="2"/>
        <v/>
      </c>
      <c r="Q22" s="181"/>
      <c r="R22" s="114"/>
      <c r="S22" s="111"/>
      <c r="T22" s="111"/>
      <c r="U22" s="111"/>
      <c r="V22" s="111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</row>
    <row r="23" spans="1:214" x14ac:dyDescent="0.25">
      <c r="A23" s="151">
        <v>45884</v>
      </c>
      <c r="B23" s="44">
        <v>0</v>
      </c>
      <c r="C23" s="44"/>
      <c r="D23" s="85">
        <f t="shared" si="0"/>
        <v>45</v>
      </c>
      <c r="E23" s="181">
        <v>0</v>
      </c>
      <c r="G23" s="196"/>
      <c r="H23" s="84"/>
      <c r="I23" s="84"/>
      <c r="J23" s="84" t="str">
        <f t="shared" si="1"/>
        <v/>
      </c>
      <c r="K23" s="197" t="s">
        <v>107</v>
      </c>
      <c r="L23" s="114"/>
      <c r="M23" s="151"/>
      <c r="N23" s="85"/>
      <c r="O23" s="85"/>
      <c r="P23" s="85" t="str">
        <f t="shared" si="2"/>
        <v/>
      </c>
      <c r="Q23" s="297"/>
      <c r="R23" s="114"/>
      <c r="S23" s="111"/>
      <c r="T23" s="111"/>
      <c r="U23" s="111"/>
      <c r="V23" s="111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</row>
    <row r="24" spans="1:214" x14ac:dyDescent="0.25">
      <c r="A24" s="151">
        <v>45899</v>
      </c>
      <c r="B24" s="44">
        <v>0</v>
      </c>
      <c r="C24" s="44"/>
      <c r="D24" s="85">
        <f t="shared" si="0"/>
        <v>45</v>
      </c>
      <c r="E24" s="181">
        <v>0</v>
      </c>
      <c r="G24" s="196"/>
      <c r="H24" s="84"/>
      <c r="I24" s="84"/>
      <c r="J24" s="84" t="str">
        <f t="shared" si="1"/>
        <v/>
      </c>
      <c r="K24" s="198"/>
      <c r="L24" s="114"/>
      <c r="M24" s="151"/>
      <c r="N24" s="85"/>
      <c r="O24" s="85"/>
      <c r="P24" s="85" t="str">
        <f t="shared" si="2"/>
        <v/>
      </c>
      <c r="Q24" s="298"/>
      <c r="R24" s="114"/>
      <c r="S24" s="111"/>
      <c r="T24" s="111"/>
      <c r="U24" s="111"/>
      <c r="V24" s="111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</row>
    <row r="25" spans="1:214" x14ac:dyDescent="0.25">
      <c r="A25" s="151">
        <v>45915</v>
      </c>
      <c r="B25" s="44">
        <v>0</v>
      </c>
      <c r="C25" s="44">
        <v>1500</v>
      </c>
      <c r="D25" s="85">
        <f t="shared" si="0"/>
        <v>45</v>
      </c>
      <c r="E25" s="181">
        <v>225</v>
      </c>
      <c r="G25" s="151"/>
      <c r="H25" s="44"/>
      <c r="I25" s="44"/>
      <c r="J25" s="85" t="str">
        <f t="shared" si="1"/>
        <v/>
      </c>
      <c r="K25" s="181"/>
      <c r="L25" s="114"/>
      <c r="M25" s="151"/>
      <c r="N25" s="44"/>
      <c r="O25" s="44"/>
      <c r="P25" s="85" t="str">
        <f t="shared" si="2"/>
        <v/>
      </c>
      <c r="Q25" s="181"/>
      <c r="R25" s="114"/>
      <c r="S25" s="111"/>
      <c r="T25" s="111"/>
      <c r="U25" s="111"/>
      <c r="V25" s="111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</row>
    <row r="26" spans="1:214" x14ac:dyDescent="0.25">
      <c r="A26" s="151">
        <v>45930</v>
      </c>
      <c r="B26" s="182">
        <v>0</v>
      </c>
      <c r="C26" s="44"/>
      <c r="D26" s="85">
        <f t="shared" si="0"/>
        <v>0</v>
      </c>
      <c r="E26" s="181"/>
      <c r="G26" s="151"/>
      <c r="H26" s="182"/>
      <c r="I26" s="44"/>
      <c r="J26" s="85" t="str">
        <f t="shared" si="1"/>
        <v/>
      </c>
      <c r="K26" s="181"/>
      <c r="L26" s="114"/>
      <c r="M26" s="151"/>
      <c r="N26" s="182"/>
      <c r="O26" s="44"/>
      <c r="P26" s="85" t="str">
        <f t="shared" si="2"/>
        <v/>
      </c>
      <c r="Q26" s="181"/>
      <c r="R26" s="114"/>
      <c r="S26" s="111"/>
      <c r="T26" s="111"/>
      <c r="U26" s="111"/>
      <c r="V26" s="111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</row>
    <row r="27" spans="1:214" x14ac:dyDescent="0.25">
      <c r="A27" s="196"/>
      <c r="B27" s="84"/>
      <c r="C27" s="84"/>
      <c r="D27" s="84" t="str">
        <f t="shared" si="0"/>
        <v/>
      </c>
      <c r="E27" s="197" t="s">
        <v>107</v>
      </c>
      <c r="G27" s="151"/>
      <c r="H27" s="182"/>
      <c r="I27" s="44"/>
      <c r="J27" s="85" t="str">
        <f t="shared" si="1"/>
        <v/>
      </c>
      <c r="K27" s="181"/>
      <c r="L27" s="114"/>
      <c r="M27" s="151"/>
      <c r="N27" s="182"/>
      <c r="O27" s="44"/>
      <c r="P27" s="85" t="str">
        <f t="shared" si="2"/>
        <v/>
      </c>
      <c r="Q27" s="181"/>
      <c r="R27" s="114"/>
      <c r="S27" s="111"/>
      <c r="T27" s="111"/>
      <c r="U27" s="111"/>
      <c r="V27" s="111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</row>
    <row r="28" spans="1:214" x14ac:dyDescent="0.25">
      <c r="A28" s="196"/>
      <c r="B28" s="84"/>
      <c r="C28" s="84"/>
      <c r="D28" s="84" t="str">
        <f t="shared" si="0"/>
        <v/>
      </c>
      <c r="E28" s="198"/>
      <c r="G28" s="151"/>
      <c r="H28" s="182"/>
      <c r="I28" s="44"/>
      <c r="J28" s="85" t="str">
        <f t="shared" si="1"/>
        <v/>
      </c>
      <c r="K28" s="181"/>
      <c r="L28" s="114"/>
      <c r="M28" s="151"/>
      <c r="N28" s="182"/>
      <c r="O28" s="44"/>
      <c r="P28" s="85" t="str">
        <f t="shared" si="2"/>
        <v/>
      </c>
      <c r="Q28" s="181"/>
      <c r="R28" s="114"/>
      <c r="S28" s="111"/>
      <c r="T28" s="111"/>
      <c r="U28" s="111"/>
      <c r="V28" s="111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</row>
    <row r="29" spans="1:214" x14ac:dyDescent="0.25">
      <c r="A29" s="151"/>
      <c r="B29" s="182"/>
      <c r="C29" s="44"/>
      <c r="D29" s="85" t="str">
        <f t="shared" si="0"/>
        <v/>
      </c>
      <c r="E29" s="181"/>
      <c r="G29" s="151"/>
      <c r="H29" s="182"/>
      <c r="I29" s="44"/>
      <c r="J29" s="85" t="str">
        <f t="shared" si="1"/>
        <v/>
      </c>
      <c r="K29" s="181"/>
      <c r="L29" s="114"/>
      <c r="M29" s="151"/>
      <c r="N29" s="182"/>
      <c r="O29" s="44"/>
      <c r="P29" s="85" t="str">
        <f t="shared" si="2"/>
        <v/>
      </c>
      <c r="Q29" s="181"/>
      <c r="R29" s="114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</row>
    <row r="30" spans="1:214" x14ac:dyDescent="0.25">
      <c r="A30" s="151"/>
      <c r="B30" s="182"/>
      <c r="C30" s="44"/>
      <c r="D30" s="85" t="str">
        <f t="shared" si="0"/>
        <v/>
      </c>
      <c r="E30" s="181"/>
      <c r="G30" s="151"/>
      <c r="H30" s="182"/>
      <c r="I30" s="44"/>
      <c r="J30" s="85" t="str">
        <f t="shared" si="1"/>
        <v/>
      </c>
      <c r="K30" s="181"/>
      <c r="L30" s="114"/>
      <c r="M30" s="151"/>
      <c r="N30" s="182"/>
      <c r="O30" s="44"/>
      <c r="P30" s="85" t="str">
        <f t="shared" si="2"/>
        <v/>
      </c>
      <c r="Q30" s="181"/>
      <c r="R30" s="114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</row>
    <row r="31" spans="1:214" x14ac:dyDescent="0.25">
      <c r="A31" s="151"/>
      <c r="B31" s="182"/>
      <c r="C31" s="44"/>
      <c r="D31" s="85" t="str">
        <f t="shared" si="0"/>
        <v/>
      </c>
      <c r="E31" s="181"/>
      <c r="G31" s="151"/>
      <c r="H31" s="182"/>
      <c r="I31" s="44"/>
      <c r="J31" s="85" t="str">
        <f t="shared" si="1"/>
        <v/>
      </c>
      <c r="K31" s="181"/>
      <c r="L31" s="114"/>
      <c r="M31" s="151"/>
      <c r="N31" s="182"/>
      <c r="O31" s="44"/>
      <c r="P31" s="85" t="str">
        <f t="shared" si="2"/>
        <v/>
      </c>
      <c r="Q31" s="181"/>
      <c r="R31" s="114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</row>
    <row r="32" spans="1:214" x14ac:dyDescent="0.25">
      <c r="A32" s="151"/>
      <c r="B32" s="182"/>
      <c r="C32" s="44"/>
      <c r="D32" s="85" t="str">
        <f t="shared" si="0"/>
        <v/>
      </c>
      <c r="E32" s="181"/>
      <c r="G32" s="151"/>
      <c r="H32" s="182"/>
      <c r="I32" s="44"/>
      <c r="J32" s="85" t="str">
        <f t="shared" si="1"/>
        <v/>
      </c>
      <c r="K32" s="181"/>
      <c r="L32" s="114"/>
      <c r="M32" s="151"/>
      <c r="N32" s="182"/>
      <c r="O32" s="44"/>
      <c r="P32" s="85" t="str">
        <f t="shared" si="2"/>
        <v/>
      </c>
      <c r="Q32" s="181"/>
      <c r="R32" s="114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</row>
    <row r="33" spans="1:214" x14ac:dyDescent="0.25">
      <c r="A33" s="151"/>
      <c r="B33" s="182"/>
      <c r="C33" s="44"/>
      <c r="D33" s="85" t="str">
        <f t="shared" si="0"/>
        <v/>
      </c>
      <c r="E33" s="181"/>
      <c r="G33" s="151"/>
      <c r="H33" s="182"/>
      <c r="I33" s="44"/>
      <c r="J33" s="85" t="str">
        <f t="shared" si="1"/>
        <v/>
      </c>
      <c r="K33" s="181"/>
      <c r="L33" s="114"/>
      <c r="M33" s="151"/>
      <c r="N33" s="182"/>
      <c r="O33" s="44"/>
      <c r="P33" s="85" t="str">
        <f t="shared" si="2"/>
        <v/>
      </c>
      <c r="Q33" s="181"/>
      <c r="R33" s="114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</row>
    <row r="34" spans="1:214" x14ac:dyDescent="0.25">
      <c r="A34" s="151"/>
      <c r="B34" s="182"/>
      <c r="C34" s="44"/>
      <c r="D34" s="85" t="str">
        <f t="shared" si="0"/>
        <v/>
      </c>
      <c r="E34" s="181"/>
      <c r="G34" s="151"/>
      <c r="H34" s="182"/>
      <c r="I34" s="44"/>
      <c r="J34" s="85" t="str">
        <f t="shared" si="1"/>
        <v/>
      </c>
      <c r="K34" s="181"/>
      <c r="L34" s="114"/>
      <c r="M34" s="151"/>
      <c r="N34" s="182"/>
      <c r="O34" s="44"/>
      <c r="P34" s="85" t="str">
        <f t="shared" si="2"/>
        <v/>
      </c>
      <c r="Q34" s="181"/>
      <c r="R34" s="114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</row>
    <row r="35" spans="1:214" x14ac:dyDescent="0.25">
      <c r="A35" s="151"/>
      <c r="B35" s="182"/>
      <c r="C35" s="44"/>
      <c r="D35" s="85" t="str">
        <f t="shared" si="0"/>
        <v/>
      </c>
      <c r="E35" s="181"/>
      <c r="G35" s="151"/>
      <c r="H35" s="182"/>
      <c r="I35" s="44"/>
      <c r="J35" s="85" t="str">
        <f t="shared" si="1"/>
        <v/>
      </c>
      <c r="K35" s="181"/>
      <c r="L35" s="114"/>
      <c r="M35" s="151"/>
      <c r="N35" s="182"/>
      <c r="O35" s="44"/>
      <c r="P35" s="85" t="str">
        <f t="shared" si="2"/>
        <v/>
      </c>
      <c r="Q35" s="181"/>
      <c r="R35" s="114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</row>
    <row r="36" spans="1:214" x14ac:dyDescent="0.25">
      <c r="A36" s="151"/>
      <c r="B36" s="182"/>
      <c r="C36" s="44"/>
      <c r="D36" s="85" t="str">
        <f t="shared" si="0"/>
        <v/>
      </c>
      <c r="E36" s="181"/>
      <c r="G36" s="151"/>
      <c r="H36" s="182"/>
      <c r="I36" s="44"/>
      <c r="J36" s="85" t="str">
        <f t="shared" si="1"/>
        <v/>
      </c>
      <c r="K36" s="181"/>
      <c r="L36" s="114"/>
      <c r="M36" s="151"/>
      <c r="N36" s="182"/>
      <c r="O36" s="44"/>
      <c r="P36" s="85" t="str">
        <f t="shared" si="2"/>
        <v/>
      </c>
      <c r="Q36" s="181"/>
      <c r="R36" s="114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</row>
    <row r="37" spans="1:214" x14ac:dyDescent="0.25">
      <c r="A37" s="151"/>
      <c r="B37" s="182"/>
      <c r="C37" s="44"/>
      <c r="D37" s="85" t="str">
        <f t="shared" si="0"/>
        <v/>
      </c>
      <c r="E37" s="181"/>
      <c r="G37" s="151"/>
      <c r="H37" s="182"/>
      <c r="I37" s="44"/>
      <c r="J37" s="85" t="str">
        <f t="shared" si="1"/>
        <v/>
      </c>
      <c r="K37" s="181"/>
      <c r="L37" s="114"/>
      <c r="M37" s="151"/>
      <c r="N37" s="182"/>
      <c r="O37" s="44"/>
      <c r="P37" s="85" t="str">
        <f t="shared" si="2"/>
        <v/>
      </c>
      <c r="Q37" s="181"/>
      <c r="R37" s="114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</row>
    <row r="38" spans="1:214" x14ac:dyDescent="0.25">
      <c r="A38" s="151"/>
      <c r="B38" s="182"/>
      <c r="C38" s="44"/>
      <c r="D38" s="85" t="str">
        <f t="shared" si="0"/>
        <v/>
      </c>
      <c r="E38" s="181"/>
      <c r="G38" s="151"/>
      <c r="H38" s="182"/>
      <c r="I38" s="44"/>
      <c r="J38" s="85" t="str">
        <f t="shared" si="1"/>
        <v/>
      </c>
      <c r="K38" s="181"/>
      <c r="L38" s="114"/>
      <c r="M38" s="151"/>
      <c r="N38" s="182"/>
      <c r="O38" s="44"/>
      <c r="P38" s="85" t="str">
        <f t="shared" si="2"/>
        <v/>
      </c>
      <c r="Q38" s="181"/>
      <c r="R38" s="114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</row>
    <row r="39" spans="1:214" x14ac:dyDescent="0.25">
      <c r="A39" s="151"/>
      <c r="B39" s="182"/>
      <c r="C39" s="44"/>
      <c r="D39" s="85" t="str">
        <f t="shared" si="0"/>
        <v/>
      </c>
      <c r="E39" s="181"/>
      <c r="G39" s="151"/>
      <c r="H39" s="182"/>
      <c r="I39" s="44"/>
      <c r="J39" s="85" t="str">
        <f t="shared" si="1"/>
        <v/>
      </c>
      <c r="K39" s="181"/>
      <c r="L39" s="114"/>
      <c r="M39" s="151"/>
      <c r="N39" s="182"/>
      <c r="O39" s="44"/>
      <c r="P39" s="85" t="str">
        <f t="shared" si="2"/>
        <v/>
      </c>
      <c r="Q39" s="181"/>
      <c r="R39" s="114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</row>
    <row r="40" spans="1:214" x14ac:dyDescent="0.25">
      <c r="A40" s="151"/>
      <c r="B40" s="182"/>
      <c r="C40" s="44"/>
      <c r="D40" s="85" t="str">
        <f t="shared" si="0"/>
        <v/>
      </c>
      <c r="E40" s="181"/>
      <c r="G40" s="151"/>
      <c r="H40" s="182"/>
      <c r="I40" s="44"/>
      <c r="J40" s="85" t="str">
        <f t="shared" si="1"/>
        <v/>
      </c>
      <c r="K40" s="181"/>
      <c r="L40" s="114"/>
      <c r="M40" s="151"/>
      <c r="N40" s="182"/>
      <c r="O40" s="44"/>
      <c r="P40" s="85" t="str">
        <f t="shared" si="2"/>
        <v/>
      </c>
      <c r="Q40" s="181"/>
      <c r="R40" s="114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</row>
    <row r="41" spans="1:214" x14ac:dyDescent="0.25">
      <c r="A41" s="151"/>
      <c r="B41" s="182"/>
      <c r="C41" s="44"/>
      <c r="D41" s="85" t="str">
        <f t="shared" si="0"/>
        <v/>
      </c>
      <c r="E41" s="181"/>
      <c r="G41" s="151"/>
      <c r="H41" s="182"/>
      <c r="I41" s="44"/>
      <c r="J41" s="85" t="str">
        <f t="shared" si="1"/>
        <v/>
      </c>
      <c r="K41" s="181"/>
      <c r="L41" s="114"/>
      <c r="M41" s="151"/>
      <c r="N41" s="182"/>
      <c r="O41" s="44"/>
      <c r="P41" s="85" t="str">
        <f t="shared" si="2"/>
        <v/>
      </c>
      <c r="Q41" s="181"/>
      <c r="R41" s="114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</row>
    <row r="42" spans="1:214" x14ac:dyDescent="0.25">
      <c r="A42" s="151"/>
      <c r="B42" s="182"/>
      <c r="C42" s="44"/>
      <c r="D42" s="85" t="str">
        <f t="shared" si="0"/>
        <v/>
      </c>
      <c r="E42" s="181"/>
      <c r="G42" s="151"/>
      <c r="H42" s="182"/>
      <c r="I42" s="44"/>
      <c r="J42" s="85" t="str">
        <f t="shared" si="1"/>
        <v/>
      </c>
      <c r="K42" s="181"/>
      <c r="L42" s="114"/>
      <c r="M42" s="151"/>
      <c r="N42" s="182"/>
      <c r="O42" s="44"/>
      <c r="P42" s="85" t="str">
        <f t="shared" si="2"/>
        <v/>
      </c>
      <c r="Q42" s="181"/>
      <c r="R42" s="114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</row>
    <row r="43" spans="1:214" ht="15.75" thickBot="1" x14ac:dyDescent="0.3">
      <c r="A43" s="152"/>
      <c r="B43" s="183"/>
      <c r="C43" s="184"/>
      <c r="D43" s="85" t="str">
        <f t="shared" si="0"/>
        <v/>
      </c>
      <c r="E43" s="194"/>
      <c r="G43" s="152"/>
      <c r="H43" s="183"/>
      <c r="I43" s="184"/>
      <c r="J43" s="85" t="str">
        <f t="shared" si="1"/>
        <v/>
      </c>
      <c r="K43" s="194"/>
      <c r="L43" s="114"/>
      <c r="M43" s="152"/>
      <c r="N43" s="183"/>
      <c r="O43" s="184"/>
      <c r="P43" s="85" t="str">
        <f t="shared" si="2"/>
        <v/>
      </c>
      <c r="Q43" s="194"/>
      <c r="R43" s="114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</row>
    <row r="44" spans="1:214" x14ac:dyDescent="0.25">
      <c r="K44" s="4"/>
      <c r="L44" s="114"/>
      <c r="Q44" s="4"/>
      <c r="R44" s="114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</row>
    <row r="45" spans="1:214" x14ac:dyDescent="0.25">
      <c r="K45" s="4"/>
      <c r="L45" s="114"/>
      <c r="Q45" s="4"/>
      <c r="R45" s="114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</row>
    <row r="46" spans="1:214" x14ac:dyDescent="0.25">
      <c r="K46" s="4"/>
      <c r="L46" s="114"/>
      <c r="Q46" s="4"/>
      <c r="R46" s="114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</row>
    <row r="47" spans="1:214" x14ac:dyDescent="0.25">
      <c r="A47" s="44"/>
      <c r="B47" s="44"/>
      <c r="C47" s="44"/>
      <c r="D47" s="44"/>
      <c r="E47" s="44"/>
      <c r="J47" s="4"/>
      <c r="K47" s="4"/>
      <c r="L47" s="114"/>
      <c r="P47" s="4"/>
      <c r="Q47" s="4"/>
      <c r="R47" s="114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</row>
    <row r="48" spans="1:214" x14ac:dyDescent="0.25">
      <c r="A48" s="44"/>
      <c r="B48" s="44"/>
      <c r="C48" s="44"/>
      <c r="D48" s="44"/>
      <c r="E48" s="44"/>
      <c r="I48" s="4"/>
      <c r="J48" s="4"/>
      <c r="K48" s="4"/>
      <c r="L48" s="114"/>
      <c r="O48" s="4"/>
      <c r="P48" s="4"/>
      <c r="Q48" s="4"/>
      <c r="R48" s="114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</row>
    <row r="49" spans="1:214" x14ac:dyDescent="0.25">
      <c r="A49" s="44"/>
      <c r="B49" s="44"/>
      <c r="C49" s="44"/>
      <c r="D49" s="44"/>
      <c r="E49" s="44"/>
      <c r="I49" s="4"/>
      <c r="J49" s="4"/>
      <c r="K49" s="4"/>
      <c r="L49" s="114"/>
      <c r="O49" s="4"/>
      <c r="P49" s="4"/>
      <c r="Q49" s="4"/>
      <c r="R49" s="114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</row>
    <row r="50" spans="1:214" x14ac:dyDescent="0.25">
      <c r="A50" s="44"/>
      <c r="B50" s="44"/>
      <c r="C50" s="44"/>
      <c r="D50" s="44"/>
      <c r="E50" s="44"/>
      <c r="I50" s="4"/>
      <c r="J50" s="4"/>
      <c r="K50" s="4"/>
      <c r="L50" s="114"/>
      <c r="O50" s="4"/>
      <c r="P50" s="4"/>
      <c r="Q50" s="4"/>
      <c r="R50" s="114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</row>
    <row r="51" spans="1:214" x14ac:dyDescent="0.25">
      <c r="A51" s="44"/>
      <c r="B51" s="44"/>
      <c r="C51" s="44"/>
      <c r="D51" s="44"/>
      <c r="E51" s="44"/>
      <c r="I51" s="4"/>
      <c r="J51" s="4"/>
      <c r="K51" s="4"/>
      <c r="L51" s="114"/>
      <c r="O51" s="4"/>
      <c r="P51" s="4"/>
      <c r="Q51" s="4"/>
      <c r="R51" s="114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</row>
    <row r="52" spans="1:214" x14ac:dyDescent="0.25">
      <c r="A52" s="84">
        <v>1</v>
      </c>
      <c r="B52" s="182"/>
      <c r="C52" s="182">
        <v>3</v>
      </c>
      <c r="D52" s="182">
        <v>4</v>
      </c>
      <c r="E52" s="84">
        <v>5</v>
      </c>
      <c r="F52" s="179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114">
        <v>12</v>
      </c>
      <c r="M52" s="5">
        <v>7</v>
      </c>
      <c r="N52" s="5">
        <v>8</v>
      </c>
      <c r="O52" s="98">
        <v>9</v>
      </c>
      <c r="P52" s="5">
        <v>10</v>
      </c>
      <c r="Q52" s="5">
        <v>11</v>
      </c>
      <c r="R52" s="114">
        <v>12</v>
      </c>
      <c r="S52" s="112">
        <v>19</v>
      </c>
      <c r="T52" s="112">
        <v>20</v>
      </c>
      <c r="U52" s="113">
        <v>21</v>
      </c>
      <c r="V52" s="112">
        <v>22</v>
      </c>
      <c r="W52" s="112">
        <v>23</v>
      </c>
      <c r="X52" s="112">
        <v>24</v>
      </c>
      <c r="Y52" s="113">
        <v>25</v>
      </c>
      <c r="Z52" s="112">
        <v>26</v>
      </c>
      <c r="AA52" s="112">
        <v>27</v>
      </c>
      <c r="AB52" s="112">
        <v>28</v>
      </c>
      <c r="AC52" s="113">
        <v>29</v>
      </c>
      <c r="AD52" s="3">
        <v>30</v>
      </c>
      <c r="AE52" s="112">
        <v>31</v>
      </c>
      <c r="AF52" s="112">
        <v>32</v>
      </c>
      <c r="AG52" s="113">
        <v>33</v>
      </c>
      <c r="AH52" s="111">
        <v>34</v>
      </c>
      <c r="AI52" s="3">
        <v>35</v>
      </c>
      <c r="AJ52" s="112">
        <v>36</v>
      </c>
      <c r="AK52" s="113">
        <v>37</v>
      </c>
      <c r="AL52" s="112">
        <v>38</v>
      </c>
      <c r="AM52" s="111">
        <v>39</v>
      </c>
      <c r="AN52" s="3">
        <v>40</v>
      </c>
      <c r="AO52" s="113">
        <v>41</v>
      </c>
      <c r="AP52" s="112">
        <v>42</v>
      </c>
      <c r="AQ52" s="112">
        <v>43</v>
      </c>
      <c r="AR52" s="111">
        <v>44</v>
      </c>
      <c r="AS52" s="113">
        <v>45</v>
      </c>
      <c r="AT52" s="112">
        <v>46</v>
      </c>
      <c r="AU52" s="112">
        <v>47</v>
      </c>
      <c r="AV52" s="112">
        <v>48</v>
      </c>
      <c r="AW52" s="113">
        <v>49</v>
      </c>
      <c r="AX52" s="3">
        <v>50</v>
      </c>
      <c r="AY52" s="112">
        <v>51</v>
      </c>
      <c r="AZ52" s="112">
        <v>52</v>
      </c>
      <c r="BA52" s="113">
        <v>53</v>
      </c>
      <c r="BB52" s="111">
        <v>54</v>
      </c>
      <c r="BC52" s="3">
        <v>55</v>
      </c>
      <c r="BD52" s="112">
        <v>56</v>
      </c>
      <c r="BE52" s="113">
        <v>57</v>
      </c>
      <c r="BF52" s="112">
        <v>58</v>
      </c>
      <c r="BG52" s="111">
        <v>59</v>
      </c>
      <c r="BH52" s="3">
        <v>60</v>
      </c>
      <c r="BI52" s="113">
        <v>61</v>
      </c>
      <c r="BJ52" s="112">
        <v>62</v>
      </c>
      <c r="BK52" s="112">
        <v>63</v>
      </c>
      <c r="BL52" s="111">
        <v>64</v>
      </c>
      <c r="BM52" s="113">
        <v>65</v>
      </c>
      <c r="BN52" s="112">
        <v>66</v>
      </c>
      <c r="BO52" s="112">
        <v>67</v>
      </c>
      <c r="BP52" s="112">
        <v>68</v>
      </c>
      <c r="BQ52" s="113">
        <v>69</v>
      </c>
      <c r="BR52" s="3">
        <v>70</v>
      </c>
      <c r="BS52" s="112">
        <v>71</v>
      </c>
      <c r="BT52" s="112">
        <v>72</v>
      </c>
      <c r="BU52" s="113">
        <v>73</v>
      </c>
      <c r="BV52" s="111">
        <v>74</v>
      </c>
      <c r="BW52" s="3">
        <v>75</v>
      </c>
      <c r="BX52" s="112">
        <v>76</v>
      </c>
      <c r="BY52" s="113">
        <v>77</v>
      </c>
      <c r="BZ52" s="112">
        <v>78</v>
      </c>
      <c r="CA52" s="111">
        <v>79</v>
      </c>
      <c r="CB52" s="3">
        <v>80</v>
      </c>
      <c r="CC52" s="113">
        <v>81</v>
      </c>
      <c r="CD52" s="112">
        <v>82</v>
      </c>
      <c r="CE52" s="112">
        <v>83</v>
      </c>
      <c r="CF52" s="111">
        <v>84</v>
      </c>
      <c r="CG52" s="113">
        <v>85</v>
      </c>
      <c r="CH52" s="112">
        <v>86</v>
      </c>
      <c r="CI52" s="112">
        <v>87</v>
      </c>
      <c r="CJ52" s="112">
        <v>88</v>
      </c>
      <c r="CK52" s="113">
        <v>89</v>
      </c>
      <c r="CL52" s="3">
        <v>90</v>
      </c>
      <c r="CM52" s="112">
        <v>91</v>
      </c>
      <c r="CN52" s="112">
        <v>92</v>
      </c>
      <c r="CO52" s="113">
        <v>93</v>
      </c>
      <c r="CP52" s="111">
        <v>94</v>
      </c>
      <c r="CQ52" s="3">
        <v>95</v>
      </c>
      <c r="CR52" s="112">
        <v>96</v>
      </c>
      <c r="CS52" s="113">
        <v>97</v>
      </c>
      <c r="CT52" s="112">
        <v>98</v>
      </c>
      <c r="CU52" s="111">
        <v>99</v>
      </c>
      <c r="CV52" s="3">
        <v>100</v>
      </c>
      <c r="CW52" s="113">
        <v>101</v>
      </c>
      <c r="CX52" s="112">
        <v>102</v>
      </c>
      <c r="CY52" s="112">
        <v>103</v>
      </c>
      <c r="CZ52" s="111">
        <v>104</v>
      </c>
      <c r="DA52" s="113">
        <v>105</v>
      </c>
      <c r="DB52" s="112">
        <v>106</v>
      </c>
      <c r="DC52" s="112">
        <v>107</v>
      </c>
      <c r="DD52" s="112">
        <v>108</v>
      </c>
      <c r="DE52" s="113">
        <v>109</v>
      </c>
      <c r="DF52" s="3">
        <v>110</v>
      </c>
      <c r="DG52" s="112">
        <v>111</v>
      </c>
      <c r="DH52" s="112">
        <v>112</v>
      </c>
      <c r="DI52" s="113">
        <v>113</v>
      </c>
      <c r="DJ52" s="111">
        <v>114</v>
      </c>
      <c r="DK52" s="3">
        <v>115</v>
      </c>
      <c r="DL52" s="112">
        <v>116</v>
      </c>
      <c r="DM52" s="113">
        <v>117</v>
      </c>
      <c r="DN52" s="112">
        <v>118</v>
      </c>
      <c r="DO52" s="111">
        <v>119</v>
      </c>
      <c r="DP52" s="3">
        <v>120</v>
      </c>
      <c r="DQ52" s="113">
        <v>121</v>
      </c>
      <c r="DR52" s="112">
        <v>122</v>
      </c>
      <c r="DS52" s="112">
        <v>123</v>
      </c>
      <c r="DT52" s="111">
        <v>124</v>
      </c>
      <c r="DU52" s="113">
        <v>125</v>
      </c>
      <c r="DV52" s="112">
        <v>126</v>
      </c>
      <c r="DW52" s="112">
        <v>127</v>
      </c>
      <c r="DX52" s="112">
        <v>128</v>
      </c>
      <c r="DY52" s="113">
        <v>129</v>
      </c>
      <c r="DZ52" s="3">
        <v>130</v>
      </c>
      <c r="EA52" s="112">
        <v>131</v>
      </c>
      <c r="EB52" s="112">
        <v>132</v>
      </c>
      <c r="EC52" s="113">
        <v>133</v>
      </c>
      <c r="ED52" s="111">
        <v>134</v>
      </c>
      <c r="EE52" s="3">
        <v>135</v>
      </c>
      <c r="EF52" s="112">
        <v>136</v>
      </c>
      <c r="EG52" s="113">
        <v>137</v>
      </c>
      <c r="EH52" s="112">
        <v>138</v>
      </c>
      <c r="EI52" s="111">
        <v>139</v>
      </c>
      <c r="EJ52" s="3">
        <v>140</v>
      </c>
      <c r="EK52" s="113">
        <v>141</v>
      </c>
      <c r="EL52" s="112">
        <v>142</v>
      </c>
      <c r="EM52" s="112">
        <v>143</v>
      </c>
      <c r="EN52" s="111">
        <v>144</v>
      </c>
      <c r="EO52" s="113">
        <v>145</v>
      </c>
      <c r="EP52" s="112">
        <v>146</v>
      </c>
      <c r="EQ52" s="112">
        <v>147</v>
      </c>
      <c r="ER52" s="112">
        <v>148</v>
      </c>
      <c r="ES52" s="113">
        <v>149</v>
      </c>
      <c r="ET52" s="3">
        <v>150</v>
      </c>
      <c r="EU52" s="112">
        <v>151</v>
      </c>
      <c r="EV52" s="112">
        <v>152</v>
      </c>
      <c r="EW52" s="113">
        <v>153</v>
      </c>
      <c r="EX52" s="111">
        <v>154</v>
      </c>
      <c r="EY52" s="3">
        <v>155</v>
      </c>
      <c r="EZ52" s="112">
        <v>156</v>
      </c>
      <c r="FA52" s="113">
        <v>157</v>
      </c>
      <c r="FB52" s="112">
        <v>158</v>
      </c>
      <c r="FC52" s="111">
        <v>159</v>
      </c>
      <c r="FD52" s="3">
        <v>160</v>
      </c>
      <c r="FE52" s="113">
        <v>161</v>
      </c>
      <c r="FF52" s="112">
        <v>162</v>
      </c>
      <c r="FG52" s="112">
        <v>163</v>
      </c>
      <c r="FH52" s="111">
        <v>164</v>
      </c>
      <c r="FI52" s="113">
        <v>165</v>
      </c>
      <c r="FJ52" s="112">
        <v>166</v>
      </c>
      <c r="FK52" s="112">
        <v>167</v>
      </c>
      <c r="FL52" s="112">
        <v>168</v>
      </c>
      <c r="FM52" s="113">
        <v>169</v>
      </c>
      <c r="FN52" s="3">
        <v>170</v>
      </c>
      <c r="FO52" s="112">
        <v>171</v>
      </c>
      <c r="FP52" s="112">
        <v>172</v>
      </c>
      <c r="FQ52" s="113">
        <v>173</v>
      </c>
      <c r="FR52" s="111">
        <v>174</v>
      </c>
      <c r="FS52" s="3">
        <v>175</v>
      </c>
      <c r="FT52" s="112">
        <v>176</v>
      </c>
      <c r="FU52" s="113">
        <v>177</v>
      </c>
      <c r="FV52" s="112">
        <v>178</v>
      </c>
      <c r="FW52" s="111">
        <v>179</v>
      </c>
      <c r="FX52" s="3">
        <v>180</v>
      </c>
      <c r="FY52" s="113">
        <v>181</v>
      </c>
      <c r="FZ52" s="112">
        <v>182</v>
      </c>
      <c r="GA52" s="112">
        <v>183</v>
      </c>
      <c r="GB52" s="111">
        <v>184</v>
      </c>
      <c r="GC52" s="113">
        <v>185</v>
      </c>
      <c r="GD52" s="112">
        <v>186</v>
      </c>
      <c r="GE52" s="112">
        <v>187</v>
      </c>
      <c r="GF52" s="112">
        <v>188</v>
      </c>
      <c r="GG52" s="113">
        <v>189</v>
      </c>
      <c r="GH52" s="3">
        <v>190</v>
      </c>
      <c r="GI52" s="112">
        <v>191</v>
      </c>
      <c r="GJ52" s="112">
        <v>192</v>
      </c>
      <c r="GK52" s="113">
        <v>193</v>
      </c>
      <c r="GL52" s="111">
        <v>194</v>
      </c>
      <c r="GM52" s="3">
        <v>195</v>
      </c>
      <c r="GN52" s="112">
        <v>196</v>
      </c>
      <c r="GO52" s="113">
        <v>197</v>
      </c>
      <c r="GP52" s="112">
        <v>198</v>
      </c>
      <c r="GQ52" s="111">
        <v>199</v>
      </c>
      <c r="GR52" s="3">
        <v>200</v>
      </c>
      <c r="GS52" s="113">
        <v>201</v>
      </c>
      <c r="GT52" s="112">
        <v>202</v>
      </c>
      <c r="GU52" s="112">
        <v>203</v>
      </c>
      <c r="GV52" s="111">
        <v>204</v>
      </c>
      <c r="GW52" s="113">
        <v>205</v>
      </c>
      <c r="GX52" s="112">
        <v>206</v>
      </c>
      <c r="GY52" s="112">
        <v>207</v>
      </c>
      <c r="GZ52" s="112">
        <v>208</v>
      </c>
      <c r="HA52" s="113">
        <v>209</v>
      </c>
      <c r="HB52" s="3">
        <v>210</v>
      </c>
      <c r="HC52" s="112">
        <v>211</v>
      </c>
      <c r="HD52" s="112">
        <v>212</v>
      </c>
      <c r="HE52" s="113">
        <v>213</v>
      </c>
      <c r="HF52" s="3"/>
    </row>
    <row r="53" spans="1:214" x14ac:dyDescent="0.25">
      <c r="A53" s="185"/>
      <c r="B53" s="182"/>
      <c r="C53" s="182"/>
      <c r="D53" s="182"/>
      <c r="E53" s="186"/>
      <c r="F53" s="179"/>
      <c r="G53" s="4"/>
      <c r="H53" s="4"/>
      <c r="I53" s="4"/>
      <c r="J53" s="4"/>
      <c r="K53" s="4"/>
      <c r="L53" s="114"/>
      <c r="M53" s="4"/>
      <c r="N53" s="4"/>
      <c r="O53" s="4"/>
      <c r="P53" s="4"/>
      <c r="Q53" s="4"/>
      <c r="R53" s="114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</row>
    <row r="54" spans="1:214" x14ac:dyDescent="0.25">
      <c r="A54" s="185"/>
      <c r="B54" s="182"/>
      <c r="C54" s="182"/>
      <c r="D54" s="182"/>
      <c r="E54" s="186"/>
      <c r="F54" s="179"/>
      <c r="G54" s="4"/>
      <c r="H54" s="4"/>
      <c r="I54" s="4"/>
      <c r="J54" s="4"/>
      <c r="K54" s="4"/>
      <c r="L54" s="114"/>
      <c r="M54" s="4"/>
      <c r="N54" s="4"/>
      <c r="O54" s="4"/>
      <c r="P54" s="4"/>
      <c r="Q54" s="4"/>
      <c r="R54" s="114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</row>
    <row r="55" spans="1:214" x14ac:dyDescent="0.25">
      <c r="A55" s="185"/>
      <c r="B55" s="182"/>
      <c r="C55" s="182"/>
      <c r="D55" s="182"/>
      <c r="E55" s="186"/>
      <c r="F55" s="179"/>
      <c r="G55" s="4"/>
      <c r="H55" s="4"/>
      <c r="I55" s="4"/>
      <c r="J55" s="4"/>
      <c r="K55" s="4"/>
      <c r="L55" s="114"/>
      <c r="M55" s="4"/>
      <c r="N55" s="4"/>
      <c r="O55" s="4"/>
      <c r="P55" s="4"/>
      <c r="Q55" s="4"/>
      <c r="R55" s="114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</row>
    <row r="56" spans="1:214" x14ac:dyDescent="0.25">
      <c r="A56" s="185"/>
      <c r="B56" s="182"/>
      <c r="C56" s="182"/>
      <c r="D56" s="182"/>
      <c r="E56" s="186"/>
      <c r="F56" s="179"/>
      <c r="G56" s="4"/>
      <c r="H56" s="4"/>
      <c r="I56" s="4"/>
      <c r="J56" s="4"/>
      <c r="K56" s="4"/>
      <c r="L56" s="114"/>
      <c r="M56" s="4"/>
      <c r="N56" s="4"/>
      <c r="O56" s="4"/>
      <c r="P56" s="4"/>
      <c r="Q56" s="4"/>
      <c r="R56" s="114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</row>
    <row r="57" spans="1:214" x14ac:dyDescent="0.25">
      <c r="A57" s="185"/>
      <c r="B57" s="182"/>
      <c r="C57" s="182"/>
      <c r="D57" s="182"/>
      <c r="E57" s="186"/>
      <c r="F57" s="179"/>
      <c r="G57" s="4"/>
      <c r="H57" s="4"/>
      <c r="I57" s="4"/>
      <c r="J57" s="4"/>
      <c r="K57" s="4"/>
      <c r="L57" s="114"/>
      <c r="M57" s="4"/>
      <c r="N57" s="4"/>
      <c r="O57" s="4"/>
      <c r="P57" s="4"/>
      <c r="Q57" s="4"/>
      <c r="R57" s="114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</row>
    <row r="58" spans="1:214" x14ac:dyDescent="0.25">
      <c r="A58" s="185"/>
      <c r="B58" s="182"/>
      <c r="C58" s="182"/>
      <c r="D58" s="182"/>
      <c r="E58" s="186"/>
      <c r="F58" s="179"/>
      <c r="G58" s="4"/>
      <c r="H58" s="4"/>
      <c r="I58" s="4"/>
      <c r="J58" s="4"/>
      <c r="K58" s="4"/>
      <c r="L58" s="114"/>
      <c r="M58" s="4"/>
      <c r="N58" s="4"/>
      <c r="O58" s="4"/>
      <c r="P58" s="4"/>
      <c r="Q58" s="4"/>
      <c r="R58" s="114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</row>
    <row r="59" spans="1:214" x14ac:dyDescent="0.25">
      <c r="A59" s="185"/>
      <c r="B59" s="182"/>
      <c r="C59" s="182"/>
      <c r="D59" s="182"/>
      <c r="E59" s="186"/>
      <c r="F59" s="179"/>
      <c r="G59" s="4"/>
      <c r="H59" s="4"/>
      <c r="I59" s="4"/>
      <c r="J59" s="4"/>
      <c r="K59" s="4"/>
      <c r="L59" s="114"/>
      <c r="M59" s="4"/>
      <c r="N59" s="4"/>
      <c r="O59" s="4"/>
      <c r="P59" s="4"/>
      <c r="Q59" s="4"/>
      <c r="R59" s="114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</row>
    <row r="60" spans="1:214" x14ac:dyDescent="0.25">
      <c r="A60" s="185"/>
      <c r="B60" s="182"/>
      <c r="C60" s="182"/>
      <c r="D60" s="182"/>
      <c r="E60" s="186"/>
      <c r="F60" s="179"/>
      <c r="G60" s="4"/>
      <c r="H60" s="4"/>
      <c r="I60" s="4"/>
      <c r="J60" s="4"/>
      <c r="K60" s="4"/>
      <c r="L60" s="114"/>
      <c r="M60" s="4"/>
      <c r="N60" s="4"/>
      <c r="O60" s="4"/>
      <c r="P60" s="4"/>
      <c r="Q60" s="4"/>
      <c r="R60" s="114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</row>
    <row r="61" spans="1:214" x14ac:dyDescent="0.25">
      <c r="A61" s="185"/>
      <c r="B61" s="182"/>
      <c r="C61" s="182"/>
      <c r="D61" s="182"/>
      <c r="E61" s="186"/>
      <c r="F61" s="179"/>
      <c r="G61" s="4"/>
      <c r="H61" s="4"/>
      <c r="I61" s="4"/>
      <c r="J61" s="4"/>
      <c r="K61" s="4"/>
      <c r="L61" s="114"/>
      <c r="M61" s="4"/>
      <c r="N61" s="4"/>
      <c r="O61" s="4"/>
      <c r="P61" s="4"/>
      <c r="Q61" s="4"/>
      <c r="R61" s="114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</row>
    <row r="62" spans="1:214" x14ac:dyDescent="0.25">
      <c r="A62" s="185"/>
      <c r="B62" s="182"/>
      <c r="C62" s="182"/>
      <c r="D62" s="182"/>
      <c r="E62" s="186"/>
      <c r="F62" s="179"/>
      <c r="G62" s="4"/>
      <c r="H62" s="4"/>
      <c r="I62" s="4"/>
      <c r="J62" s="4"/>
      <c r="K62" s="4"/>
      <c r="L62" s="114"/>
      <c r="M62" s="4"/>
      <c r="N62" s="4"/>
      <c r="O62" s="4"/>
      <c r="P62" s="4"/>
      <c r="Q62" s="4"/>
      <c r="R62" s="114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</row>
    <row r="63" spans="1:214" x14ac:dyDescent="0.25">
      <c r="A63" s="185"/>
      <c r="B63" s="182"/>
      <c r="C63" s="182"/>
      <c r="D63" s="182"/>
      <c r="E63" s="186"/>
      <c r="F63" s="179"/>
      <c r="G63" s="4"/>
      <c r="H63" s="4"/>
      <c r="I63" s="4"/>
      <c r="J63" s="4"/>
      <c r="K63" s="4"/>
      <c r="L63" s="114"/>
      <c r="M63" s="4"/>
      <c r="N63" s="4"/>
      <c r="O63" s="4"/>
      <c r="P63" s="4"/>
      <c r="Q63" s="4"/>
      <c r="R63" s="114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</row>
    <row r="64" spans="1:214" x14ac:dyDescent="0.25">
      <c r="A64" s="187"/>
      <c r="B64" s="182"/>
      <c r="C64" s="182"/>
      <c r="D64" s="182"/>
      <c r="E64" s="186"/>
      <c r="F64" s="179"/>
      <c r="G64" s="4"/>
      <c r="H64" s="4"/>
      <c r="I64" s="4"/>
      <c r="J64" s="4"/>
      <c r="K64" s="4"/>
      <c r="L64" s="114"/>
      <c r="M64" s="4"/>
      <c r="N64" s="4"/>
      <c r="O64" s="4"/>
      <c r="P64" s="4"/>
      <c r="Q64" s="4"/>
      <c r="R64" s="114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</row>
    <row r="65" spans="1:214" x14ac:dyDescent="0.25">
      <c r="A65" s="44"/>
      <c r="B65" s="182"/>
      <c r="C65" s="44"/>
      <c r="D65" s="182"/>
      <c r="E65" s="186"/>
      <c r="F65" s="179"/>
      <c r="G65" s="4"/>
      <c r="H65" s="4"/>
      <c r="I65" s="4"/>
      <c r="J65" s="4"/>
      <c r="K65" s="4"/>
      <c r="L65" s="114"/>
      <c r="M65" s="4"/>
      <c r="N65" s="4"/>
      <c r="O65" s="4"/>
      <c r="P65" s="4"/>
      <c r="Q65" s="4"/>
      <c r="R65" s="114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</row>
    <row r="66" spans="1:214" x14ac:dyDescent="0.25">
      <c r="A66" s="44"/>
      <c r="B66" s="44"/>
      <c r="C66" s="44"/>
      <c r="D66" s="44"/>
      <c r="E66" s="186"/>
      <c r="F66" s="179"/>
      <c r="G66" s="4"/>
      <c r="H66" s="4"/>
      <c r="I66" s="4"/>
      <c r="J66" s="4"/>
      <c r="K66" s="4"/>
      <c r="L66" s="114"/>
      <c r="M66" s="4"/>
      <c r="N66" s="4"/>
      <c r="O66" s="4"/>
      <c r="P66" s="4"/>
      <c r="Q66" s="4"/>
      <c r="R66" s="114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</row>
    <row r="67" spans="1:214" x14ac:dyDescent="0.25">
      <c r="A67" s="44"/>
      <c r="B67" s="44"/>
      <c r="C67" s="44"/>
      <c r="D67" s="44"/>
      <c r="E67" s="186"/>
      <c r="F67" s="179"/>
      <c r="G67" s="4"/>
      <c r="H67" s="4"/>
      <c r="I67" s="4"/>
      <c r="J67" s="4"/>
      <c r="K67" s="4"/>
      <c r="L67" s="114"/>
      <c r="M67" s="4"/>
      <c r="N67" s="4"/>
      <c r="O67" s="4"/>
      <c r="P67" s="4"/>
      <c r="Q67" s="4"/>
      <c r="R67" s="114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</row>
    <row r="68" spans="1:214" x14ac:dyDescent="0.25">
      <c r="A68" s="44"/>
      <c r="B68" s="44"/>
      <c r="C68" s="44"/>
      <c r="D68" s="44"/>
      <c r="E68" s="186"/>
      <c r="F68" s="179"/>
      <c r="G68" s="4"/>
      <c r="H68" s="4"/>
      <c r="I68" s="4"/>
      <c r="J68" s="4"/>
      <c r="K68" s="4"/>
      <c r="L68" s="114"/>
      <c r="M68" s="4"/>
      <c r="N68" s="4"/>
      <c r="O68" s="4"/>
      <c r="P68" s="4"/>
      <c r="Q68" s="4"/>
      <c r="R68" s="114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</row>
    <row r="69" spans="1:214" x14ac:dyDescent="0.25">
      <c r="A69" s="44"/>
      <c r="B69" s="44"/>
      <c r="C69" s="44"/>
      <c r="D69" s="44"/>
      <c r="E69" s="186"/>
      <c r="F69" s="179"/>
      <c r="G69" s="4"/>
      <c r="H69" s="4"/>
      <c r="I69" s="4"/>
      <c r="J69" s="4"/>
      <c r="K69" s="4"/>
      <c r="L69" s="114"/>
      <c r="M69" s="4"/>
      <c r="N69" s="4"/>
      <c r="O69" s="4"/>
      <c r="P69" s="4"/>
      <c r="Q69" s="4"/>
      <c r="R69" s="114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</row>
    <row r="70" spans="1:214" x14ac:dyDescent="0.25">
      <c r="A70" s="44"/>
      <c r="B70" s="44"/>
      <c r="C70" s="44"/>
      <c r="D70" s="44"/>
      <c r="E70" s="186"/>
      <c r="F70" s="179"/>
      <c r="G70" s="4"/>
      <c r="H70" s="4"/>
      <c r="I70" s="4"/>
      <c r="J70" s="4"/>
      <c r="K70" s="4"/>
      <c r="L70" s="114"/>
      <c r="M70" s="4"/>
      <c r="N70" s="4"/>
      <c r="O70" s="4"/>
      <c r="P70" s="4"/>
      <c r="Q70" s="4"/>
      <c r="R70" s="114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</row>
    <row r="71" spans="1:214" x14ac:dyDescent="0.25">
      <c r="E71" s="188"/>
      <c r="F71" s="114"/>
      <c r="G71" s="4"/>
      <c r="H71" s="4"/>
      <c r="I71" s="4"/>
      <c r="J71" s="4"/>
      <c r="K71" s="4"/>
      <c r="L71" s="114"/>
      <c r="M71" s="4"/>
      <c r="N71" s="4"/>
      <c r="O71" s="4"/>
      <c r="P71" s="4"/>
      <c r="Q71" s="4"/>
      <c r="R71" s="114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</row>
    <row r="72" spans="1:214" x14ac:dyDescent="0.25">
      <c r="E72" s="186"/>
      <c r="F72" s="114"/>
      <c r="G72" s="4"/>
      <c r="H72" s="4"/>
      <c r="I72" s="4"/>
      <c r="J72" s="4"/>
      <c r="K72" s="4"/>
      <c r="L72" s="114"/>
      <c r="M72" s="4"/>
      <c r="N72" s="4"/>
      <c r="O72" s="4"/>
      <c r="P72" s="4"/>
      <c r="Q72" s="4"/>
      <c r="R72" s="114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</row>
    <row r="73" spans="1:214" x14ac:dyDescent="0.25">
      <c r="E73" s="186"/>
      <c r="F73" s="114"/>
      <c r="G73" s="4"/>
      <c r="H73" s="4"/>
      <c r="I73" s="4"/>
      <c r="J73" s="4"/>
      <c r="K73" s="4"/>
      <c r="L73" s="114"/>
      <c r="M73" s="4"/>
      <c r="N73" s="4"/>
      <c r="O73" s="4"/>
      <c r="P73" s="4"/>
      <c r="Q73" s="4"/>
      <c r="R73" s="114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</row>
    <row r="74" spans="1:214" x14ac:dyDescent="0.25">
      <c r="E74" s="186"/>
      <c r="F74" s="114"/>
      <c r="G74" s="4"/>
      <c r="H74" s="4"/>
      <c r="I74" s="4"/>
      <c r="J74" s="4"/>
      <c r="K74" s="4"/>
      <c r="L74" s="114"/>
      <c r="M74" s="4"/>
      <c r="N74" s="4"/>
      <c r="O74" s="4"/>
      <c r="P74" s="4"/>
      <c r="Q74" s="4"/>
      <c r="R74" s="114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</row>
    <row r="75" spans="1:214" x14ac:dyDescent="0.25">
      <c r="E75" s="186"/>
      <c r="F75" s="114"/>
      <c r="G75" s="4"/>
      <c r="H75" s="4"/>
      <c r="I75" s="4"/>
      <c r="J75" s="4"/>
      <c r="K75" s="4"/>
      <c r="L75" s="114"/>
      <c r="M75" s="4"/>
      <c r="N75" s="4"/>
      <c r="O75" s="4"/>
      <c r="P75" s="4"/>
      <c r="Q75" s="4"/>
      <c r="R75" s="114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</row>
    <row r="76" spans="1:214" x14ac:dyDescent="0.25">
      <c r="E76" s="186"/>
      <c r="F76" s="114"/>
      <c r="G76" s="4"/>
      <c r="H76" s="4"/>
      <c r="I76" s="4"/>
      <c r="J76" s="4"/>
      <c r="K76" s="4"/>
      <c r="L76" s="114"/>
      <c r="M76" s="4"/>
      <c r="N76" s="4"/>
      <c r="O76" s="4"/>
      <c r="P76" s="4"/>
      <c r="Q76" s="4"/>
      <c r="R76" s="114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</row>
    <row r="77" spans="1:214" x14ac:dyDescent="0.25">
      <c r="E77" s="186"/>
      <c r="F77" s="114"/>
      <c r="G77" s="4"/>
      <c r="H77" s="4"/>
      <c r="I77" s="4"/>
      <c r="J77" s="4"/>
      <c r="K77" s="4"/>
      <c r="L77" s="114"/>
      <c r="M77" s="4"/>
      <c r="N77" s="4"/>
      <c r="O77" s="4"/>
      <c r="P77" s="4"/>
      <c r="Q77" s="4"/>
      <c r="R77" s="114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</row>
    <row r="78" spans="1:214" x14ac:dyDescent="0.25">
      <c r="E78" s="186"/>
      <c r="F78" s="114"/>
      <c r="G78" s="4"/>
      <c r="H78" s="4"/>
      <c r="I78" s="4"/>
      <c r="J78" s="4"/>
      <c r="K78" s="4"/>
      <c r="L78" s="114"/>
      <c r="M78" s="4"/>
      <c r="N78" s="4"/>
      <c r="O78" s="4"/>
      <c r="P78" s="4"/>
      <c r="Q78" s="4"/>
      <c r="R78" s="114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</row>
    <row r="79" spans="1:214" x14ac:dyDescent="0.25">
      <c r="E79" s="186"/>
      <c r="F79" s="114"/>
      <c r="G79" s="4"/>
      <c r="H79" s="4"/>
      <c r="I79" s="4"/>
      <c r="J79" s="4"/>
      <c r="K79" s="4"/>
      <c r="L79" s="114"/>
      <c r="M79" s="4"/>
      <c r="N79" s="4"/>
      <c r="O79" s="4"/>
      <c r="P79" s="4"/>
      <c r="Q79" s="4"/>
      <c r="R79" s="114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</row>
    <row r="80" spans="1:214" x14ac:dyDescent="0.25">
      <c r="E80" s="186"/>
      <c r="F80" s="114"/>
      <c r="G80" s="4"/>
      <c r="H80" s="4"/>
      <c r="I80" s="4"/>
      <c r="J80" s="4"/>
      <c r="K80" s="4"/>
      <c r="L80" s="114"/>
      <c r="M80" s="4"/>
      <c r="N80" s="4"/>
      <c r="O80" s="4"/>
      <c r="P80" s="4"/>
      <c r="Q80" s="4"/>
      <c r="R80" s="114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</row>
    <row r="81" spans="5:214" x14ac:dyDescent="0.25">
      <c r="E81" s="186"/>
      <c r="F81" s="114"/>
      <c r="G81" s="4"/>
      <c r="H81" s="4"/>
      <c r="I81" s="4"/>
      <c r="J81" s="4"/>
      <c r="K81" s="4"/>
      <c r="L81" s="114"/>
      <c r="M81" s="4"/>
      <c r="N81" s="4"/>
      <c r="O81" s="4"/>
      <c r="P81" s="4"/>
      <c r="Q81" s="4"/>
      <c r="R81" s="114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</row>
    <row r="82" spans="5:214" x14ac:dyDescent="0.25">
      <c r="E82" s="186"/>
      <c r="F82" s="114"/>
      <c r="G82" s="4"/>
      <c r="H82" s="4"/>
      <c r="I82" s="4"/>
      <c r="J82" s="4"/>
      <c r="K82" s="4"/>
      <c r="L82" s="114"/>
      <c r="M82" s="4"/>
      <c r="N82" s="4"/>
      <c r="O82" s="4"/>
      <c r="P82" s="4"/>
      <c r="Q82" s="4"/>
      <c r="R82" s="114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</row>
    <row r="83" spans="5:214" x14ac:dyDescent="0.25">
      <c r="E83" s="186"/>
      <c r="F83" s="114"/>
      <c r="G83" s="4"/>
      <c r="H83" s="4"/>
      <c r="I83" s="4"/>
      <c r="J83" s="4"/>
      <c r="K83" s="4"/>
      <c r="L83" s="114"/>
      <c r="M83" s="4"/>
      <c r="N83" s="4"/>
      <c r="O83" s="4"/>
      <c r="P83" s="4"/>
      <c r="Q83" s="4"/>
      <c r="R83" s="114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</row>
    <row r="84" spans="5:214" x14ac:dyDescent="0.25">
      <c r="E84" s="186"/>
      <c r="F84" s="114"/>
      <c r="G84" s="4"/>
      <c r="H84" s="4"/>
      <c r="I84" s="4"/>
      <c r="J84" s="4"/>
      <c r="K84" s="4"/>
      <c r="L84" s="114"/>
      <c r="M84" s="4"/>
      <c r="N84" s="4"/>
      <c r="O84" s="4"/>
      <c r="P84" s="4"/>
      <c r="Q84" s="4"/>
      <c r="R84" s="114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</row>
    <row r="85" spans="5:214" x14ac:dyDescent="0.25">
      <c r="E85" s="186"/>
      <c r="F85" s="114"/>
      <c r="G85" s="4"/>
      <c r="H85" s="4"/>
      <c r="I85" s="4"/>
      <c r="J85" s="4"/>
      <c r="K85" s="4"/>
      <c r="L85" s="114"/>
      <c r="M85" s="4"/>
      <c r="N85" s="4"/>
      <c r="O85" s="4"/>
      <c r="P85" s="4"/>
      <c r="Q85" s="4"/>
      <c r="R85" s="114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</row>
    <row r="86" spans="5:214" x14ac:dyDescent="0.25">
      <c r="E86" s="186"/>
      <c r="F86" s="114"/>
      <c r="G86" s="4"/>
      <c r="H86" s="4"/>
      <c r="I86" s="4"/>
      <c r="J86" s="4"/>
      <c r="K86" s="4"/>
      <c r="L86" s="114"/>
      <c r="M86" s="4"/>
      <c r="N86" s="4"/>
      <c r="O86" s="4"/>
      <c r="P86" s="4"/>
      <c r="Q86" s="4"/>
      <c r="R86" s="114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</row>
    <row r="87" spans="5:214" x14ac:dyDescent="0.25">
      <c r="E87" s="186"/>
      <c r="F87" s="114"/>
      <c r="G87" s="4"/>
      <c r="H87" s="4"/>
      <c r="I87" s="4"/>
      <c r="J87" s="4"/>
      <c r="K87" s="4"/>
      <c r="L87" s="114"/>
      <c r="M87" s="4"/>
      <c r="N87" s="4"/>
      <c r="O87" s="4"/>
      <c r="P87" s="4"/>
      <c r="Q87" s="4"/>
      <c r="R87" s="114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</row>
    <row r="88" spans="5:214" x14ac:dyDescent="0.25">
      <c r="E88" s="186"/>
      <c r="F88" s="114"/>
      <c r="G88" s="4"/>
      <c r="H88" s="4"/>
      <c r="I88" s="4"/>
      <c r="J88" s="4"/>
      <c r="K88" s="4"/>
      <c r="L88" s="114"/>
      <c r="M88" s="4"/>
      <c r="N88" s="4"/>
      <c r="O88" s="4"/>
      <c r="P88" s="4"/>
      <c r="Q88" s="4"/>
      <c r="R88" s="114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</row>
    <row r="89" spans="5:214" x14ac:dyDescent="0.25">
      <c r="E89" s="186"/>
      <c r="F89" s="114"/>
      <c r="G89" s="4"/>
      <c r="H89" s="4"/>
      <c r="I89" s="4"/>
      <c r="J89" s="4"/>
      <c r="K89" s="4"/>
      <c r="L89" s="114"/>
      <c r="M89" s="4"/>
      <c r="N89" s="4"/>
      <c r="O89" s="4"/>
      <c r="P89" s="4"/>
      <c r="Q89" s="4"/>
      <c r="R89" s="114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</row>
    <row r="90" spans="5:214" x14ac:dyDescent="0.25">
      <c r="E90" s="186"/>
      <c r="F90" s="114"/>
      <c r="G90" s="4"/>
      <c r="H90" s="4"/>
      <c r="I90" s="4"/>
      <c r="J90" s="4"/>
      <c r="K90" s="4"/>
      <c r="L90" s="114"/>
      <c r="M90" s="4"/>
      <c r="N90" s="4"/>
      <c r="O90" s="4"/>
      <c r="P90" s="4"/>
      <c r="Q90" s="4"/>
      <c r="R90" s="114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</row>
    <row r="91" spans="5:214" x14ac:dyDescent="0.25">
      <c r="E91" s="186"/>
      <c r="F91" s="114"/>
      <c r="G91" s="4"/>
      <c r="H91" s="4"/>
      <c r="I91" s="4"/>
      <c r="J91" s="4"/>
      <c r="K91" s="4"/>
      <c r="L91" s="114"/>
      <c r="M91" s="4"/>
      <c r="N91" s="4"/>
      <c r="O91" s="4"/>
      <c r="P91" s="4"/>
      <c r="Q91" s="4"/>
      <c r="R91" s="114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</row>
    <row r="92" spans="5:214" x14ac:dyDescent="0.25">
      <c r="E92" s="186"/>
      <c r="F92" s="114"/>
      <c r="G92" s="4"/>
      <c r="H92" s="4"/>
      <c r="I92" s="4"/>
      <c r="J92" s="4"/>
      <c r="K92" s="4"/>
      <c r="L92" s="114"/>
      <c r="M92" s="4"/>
      <c r="N92" s="4"/>
      <c r="O92" s="4"/>
      <c r="P92" s="4"/>
      <c r="Q92" s="4"/>
      <c r="R92" s="114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</row>
    <row r="93" spans="5:214" x14ac:dyDescent="0.25">
      <c r="E93" s="186"/>
      <c r="F93" s="114"/>
      <c r="G93" s="4"/>
      <c r="H93" s="4"/>
      <c r="I93" s="4"/>
      <c r="J93" s="4"/>
      <c r="K93" s="4"/>
      <c r="L93" s="114"/>
      <c r="M93" s="4"/>
      <c r="N93" s="4"/>
      <c r="O93" s="4"/>
      <c r="P93" s="4"/>
      <c r="Q93" s="4"/>
      <c r="R93" s="114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</row>
    <row r="94" spans="5:214" x14ac:dyDescent="0.25">
      <c r="E94" s="186"/>
      <c r="F94" s="114"/>
      <c r="G94" s="4"/>
      <c r="H94" s="4"/>
      <c r="I94" s="4"/>
      <c r="J94" s="4"/>
      <c r="K94" s="4"/>
      <c r="L94" s="114"/>
      <c r="M94" s="4"/>
      <c r="N94" s="4"/>
      <c r="O94" s="4"/>
      <c r="P94" s="4"/>
      <c r="Q94" s="4"/>
      <c r="R94" s="114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</row>
    <row r="95" spans="5:214" x14ac:dyDescent="0.25">
      <c r="E95" s="186"/>
      <c r="F95" s="114"/>
      <c r="G95" s="4"/>
      <c r="H95" s="4"/>
      <c r="I95" s="4"/>
      <c r="J95" s="4"/>
      <c r="K95" s="4"/>
      <c r="L95" s="114"/>
      <c r="M95" s="4"/>
      <c r="N95" s="4"/>
      <c r="O95" s="4"/>
      <c r="P95" s="4"/>
      <c r="Q95" s="4"/>
      <c r="R95" s="114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</row>
    <row r="96" spans="5:214" x14ac:dyDescent="0.25">
      <c r="E96" s="189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</row>
    <row r="97" spans="1:214" x14ac:dyDescent="0.25">
      <c r="E97" s="189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</row>
    <row r="98" spans="1:214" x14ac:dyDescent="0.25"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</row>
    <row r="99" spans="1:214" x14ac:dyDescent="0.25">
      <c r="A99" s="190" t="s">
        <v>10</v>
      </c>
      <c r="B99" s="190" t="s">
        <v>8</v>
      </c>
      <c r="C99" s="190" t="s">
        <v>9</v>
      </c>
      <c r="D99" s="190" t="s">
        <v>7</v>
      </c>
      <c r="E99" s="190" t="s">
        <v>11</v>
      </c>
      <c r="F99" s="103" t="s">
        <v>12</v>
      </c>
      <c r="G99" s="8" t="s">
        <v>18</v>
      </c>
      <c r="H99" s="8" t="s">
        <v>16</v>
      </c>
      <c r="M99" s="8" t="s">
        <v>18</v>
      </c>
      <c r="N99" s="8" t="s">
        <v>16</v>
      </c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</row>
    <row r="100" spans="1:214" x14ac:dyDescent="0.25">
      <c r="A100" s="41" t="s">
        <v>41</v>
      </c>
      <c r="B100" s="41">
        <f>COUNTA(A1:HA1)</f>
        <v>3</v>
      </c>
      <c r="C100" s="41">
        <f>COUNTA(A1:A95)</f>
        <v>24</v>
      </c>
      <c r="D100" s="41">
        <f>SUM(E100,H100)</f>
        <v>28633</v>
      </c>
      <c r="E100" s="41">
        <f>SUM(B10:B95)</f>
        <v>17000</v>
      </c>
      <c r="F100" s="103">
        <f>SUM(C10:C95)</f>
        <v>17003</v>
      </c>
      <c r="G100">
        <v>5370</v>
      </c>
      <c r="H100">
        <f>F100-G100</f>
        <v>11633</v>
      </c>
      <c r="M100">
        <v>5370</v>
      </c>
      <c r="N100">
        <f>L100-M100</f>
        <v>-5370</v>
      </c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</row>
    <row r="101" spans="1:214" x14ac:dyDescent="0.25">
      <c r="A101" s="41" t="s">
        <v>42</v>
      </c>
      <c r="C101" s="41">
        <f>COUNTA(E1:E95)</f>
        <v>22</v>
      </c>
      <c r="D101" s="41">
        <f>SUM(E101,H101)</f>
        <v>585521.77812499995</v>
      </c>
      <c r="E101" s="41">
        <f>SUM(F10:F95)</f>
        <v>6</v>
      </c>
      <c r="F101" s="103">
        <f>SUM(G10:G95)</f>
        <v>589325.77812499995</v>
      </c>
      <c r="G101">
        <v>3810</v>
      </c>
      <c r="H101">
        <f>F101-G101</f>
        <v>585515.77812499995</v>
      </c>
      <c r="M101">
        <v>3810</v>
      </c>
      <c r="N101">
        <f>L101-M101</f>
        <v>-3810</v>
      </c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</row>
    <row r="102" spans="1:214" x14ac:dyDescent="0.25">
      <c r="A102" s="41" t="s">
        <v>82</v>
      </c>
      <c r="C102" s="41">
        <f>COUNTA(I1:I95)</f>
        <v>10</v>
      </c>
      <c r="D102" s="41">
        <f>SUM(E102,H102)</f>
        <v>3261</v>
      </c>
      <c r="E102" s="41">
        <f>SUM(J5:J95)</f>
        <v>3250</v>
      </c>
      <c r="F102" s="103">
        <f>SUM(K44:K95)</f>
        <v>11</v>
      </c>
      <c r="H102">
        <f>F102-G102</f>
        <v>11</v>
      </c>
      <c r="N102">
        <f>L102-M102</f>
        <v>0</v>
      </c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</row>
    <row r="103" spans="1:214" x14ac:dyDescent="0.25">
      <c r="A103" s="41" t="s">
        <v>83</v>
      </c>
      <c r="C103" s="41">
        <f>COUNTA(M1:M95)</f>
        <v>18</v>
      </c>
      <c r="D103" s="41">
        <f>SUM(E103,H103)</f>
        <v>49707</v>
      </c>
      <c r="E103" s="41">
        <f>SUM(N5:N95)</f>
        <v>31698</v>
      </c>
      <c r="F103" s="103">
        <f>SUM(O5:O95)</f>
        <v>18009</v>
      </c>
      <c r="H103">
        <f>F103-G103</f>
        <v>18009</v>
      </c>
      <c r="N103">
        <f>L103-M103</f>
        <v>0</v>
      </c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</row>
    <row r="104" spans="1:214" x14ac:dyDescent="0.25">
      <c r="A104" s="41" t="s">
        <v>84</v>
      </c>
      <c r="C104" s="41">
        <f>COUNTA(Q1:Q95)</f>
        <v>16</v>
      </c>
      <c r="D104" s="41">
        <f t="shared" ref="D104:D148" si="3">SUM(E104,H104)</f>
        <v>31</v>
      </c>
      <c r="E104" s="41">
        <f>SUM(R3:R95)</f>
        <v>12</v>
      </c>
      <c r="F104" s="103">
        <f>SUM(S3:S95)</f>
        <v>19</v>
      </c>
      <c r="H104">
        <f t="shared" ref="H104:H130" si="4">F104-G104</f>
        <v>19</v>
      </c>
      <c r="N104">
        <f t="shared" ref="N104:N130" si="5">L104-M104</f>
        <v>0</v>
      </c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</row>
    <row r="105" spans="1:214" x14ac:dyDescent="0.25">
      <c r="C105" s="41">
        <f>COUNTA(U1:U95)</f>
        <v>1</v>
      </c>
      <c r="D105" s="41">
        <f>SUM(E105,H105)</f>
        <v>45</v>
      </c>
      <c r="E105" s="41">
        <f>SUM(V3:V95)</f>
        <v>22</v>
      </c>
      <c r="F105" s="103">
        <f>SUM(W3:W95)</f>
        <v>23</v>
      </c>
      <c r="H105">
        <f t="shared" si="4"/>
        <v>23</v>
      </c>
      <c r="N105">
        <f t="shared" si="5"/>
        <v>0</v>
      </c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</row>
    <row r="106" spans="1:214" x14ac:dyDescent="0.25">
      <c r="C106" s="41">
        <f>COUNTA(Y1:Y95)</f>
        <v>1</v>
      </c>
      <c r="D106" s="41">
        <f t="shared" si="3"/>
        <v>53</v>
      </c>
      <c r="E106" s="41">
        <f>SUM(Z3:Z95)</f>
        <v>26</v>
      </c>
      <c r="F106" s="103">
        <f>SUM(AA3:AA95)</f>
        <v>27</v>
      </c>
      <c r="H106">
        <f t="shared" si="4"/>
        <v>27</v>
      </c>
      <c r="N106">
        <f t="shared" si="5"/>
        <v>0</v>
      </c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</row>
    <row r="107" spans="1:214" x14ac:dyDescent="0.25">
      <c r="C107" s="41">
        <f>COUNTA(AC1:AC95)</f>
        <v>1</v>
      </c>
      <c r="D107" s="41">
        <f t="shared" si="3"/>
        <v>61</v>
      </c>
      <c r="E107" s="41">
        <f>SUM(AD3:AD95)</f>
        <v>30</v>
      </c>
      <c r="F107" s="103">
        <f>SUM(AE3:AE95)</f>
        <v>31</v>
      </c>
      <c r="H107">
        <f t="shared" si="4"/>
        <v>31</v>
      </c>
      <c r="N107">
        <f t="shared" si="5"/>
        <v>0</v>
      </c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</row>
    <row r="108" spans="1:214" x14ac:dyDescent="0.25">
      <c r="C108" s="41">
        <f>COUNTA(AG1:AG95)</f>
        <v>1</v>
      </c>
      <c r="D108" s="41">
        <f t="shared" si="3"/>
        <v>69</v>
      </c>
      <c r="E108" s="41">
        <f>SUM(AH3:AH95)</f>
        <v>34</v>
      </c>
      <c r="F108" s="103">
        <f>SUM(AI3:AI95)</f>
        <v>35</v>
      </c>
      <c r="H108">
        <f t="shared" si="4"/>
        <v>35</v>
      </c>
      <c r="N108">
        <f t="shared" si="5"/>
        <v>0</v>
      </c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</row>
    <row r="109" spans="1:214" x14ac:dyDescent="0.25">
      <c r="C109" s="41">
        <f>COUNTA(AK1:AK95)</f>
        <v>1</v>
      </c>
      <c r="D109" s="41">
        <f t="shared" si="3"/>
        <v>77</v>
      </c>
      <c r="E109" s="41">
        <f>SUM(AL3:AL95)</f>
        <v>38</v>
      </c>
      <c r="F109" s="103">
        <f>SUM(AM3:AM95)</f>
        <v>39</v>
      </c>
      <c r="H109">
        <f t="shared" si="4"/>
        <v>39</v>
      </c>
      <c r="N109">
        <f t="shared" si="5"/>
        <v>0</v>
      </c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</row>
    <row r="110" spans="1:214" x14ac:dyDescent="0.25">
      <c r="C110" s="41">
        <f>COUNTA(AO1:AO95)</f>
        <v>1</v>
      </c>
      <c r="D110" s="41">
        <f t="shared" si="3"/>
        <v>85</v>
      </c>
      <c r="E110" s="41">
        <f>SUM(AP3:AP95)</f>
        <v>42</v>
      </c>
      <c r="F110" s="103">
        <f>SUM(AQ3:AQ95)</f>
        <v>43</v>
      </c>
      <c r="H110">
        <f t="shared" si="4"/>
        <v>43</v>
      </c>
      <c r="N110">
        <f t="shared" si="5"/>
        <v>0</v>
      </c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</row>
    <row r="111" spans="1:214" x14ac:dyDescent="0.25">
      <c r="C111" s="41">
        <f>COUNTA(AS1:AS95)</f>
        <v>1</v>
      </c>
      <c r="D111" s="41">
        <f t="shared" si="3"/>
        <v>93</v>
      </c>
      <c r="E111" s="41">
        <f>SUM(AT3:AT95)</f>
        <v>46</v>
      </c>
      <c r="F111" s="103">
        <f>SUM(AU3:AU95)</f>
        <v>47</v>
      </c>
      <c r="H111">
        <f t="shared" si="4"/>
        <v>47</v>
      </c>
      <c r="N111">
        <f t="shared" si="5"/>
        <v>0</v>
      </c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</row>
    <row r="112" spans="1:214" x14ac:dyDescent="0.25">
      <c r="C112" s="41">
        <f>COUNTA(AW1:AW95)</f>
        <v>1</v>
      </c>
      <c r="D112" s="41">
        <f t="shared" si="3"/>
        <v>101</v>
      </c>
      <c r="E112" s="41">
        <f>SUM(AX3:AX95)</f>
        <v>50</v>
      </c>
      <c r="F112" s="103">
        <f>SUM(AY3:AY95)</f>
        <v>51</v>
      </c>
      <c r="H112">
        <f t="shared" si="4"/>
        <v>51</v>
      </c>
      <c r="N112">
        <f t="shared" si="5"/>
        <v>0</v>
      </c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</row>
    <row r="113" spans="3:214" x14ac:dyDescent="0.25">
      <c r="C113" s="41">
        <f>COUNTA(BA1:BA95)</f>
        <v>1</v>
      </c>
      <c r="D113" s="41">
        <f t="shared" si="3"/>
        <v>109</v>
      </c>
      <c r="E113" s="41">
        <f>SUM(BB3:BB95)</f>
        <v>54</v>
      </c>
      <c r="F113" s="103">
        <f>SUM(BC3:BC95)</f>
        <v>55</v>
      </c>
      <c r="H113">
        <f t="shared" si="4"/>
        <v>55</v>
      </c>
      <c r="N113">
        <f t="shared" si="5"/>
        <v>0</v>
      </c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</row>
    <row r="114" spans="3:214" x14ac:dyDescent="0.25">
      <c r="C114" s="41">
        <f>COUNTA(BE1:BE95)</f>
        <v>1</v>
      </c>
      <c r="D114" s="41">
        <f t="shared" si="3"/>
        <v>117</v>
      </c>
      <c r="E114" s="41">
        <f>SUM(BF3:BF95)</f>
        <v>58</v>
      </c>
      <c r="F114" s="103">
        <f>SUM(BG3:BG95)</f>
        <v>59</v>
      </c>
      <c r="H114">
        <f t="shared" si="4"/>
        <v>59</v>
      </c>
      <c r="N114">
        <f t="shared" si="5"/>
        <v>0</v>
      </c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</row>
    <row r="115" spans="3:214" x14ac:dyDescent="0.25">
      <c r="C115" s="41">
        <f>COUNTA(BI1:BI95)</f>
        <v>1</v>
      </c>
      <c r="D115" s="41">
        <f t="shared" si="3"/>
        <v>125</v>
      </c>
      <c r="E115" s="41">
        <f>SUM(BJ3:BJ95)</f>
        <v>62</v>
      </c>
      <c r="F115" s="103">
        <f>SUM(BK3:BK95)</f>
        <v>63</v>
      </c>
      <c r="H115">
        <f t="shared" si="4"/>
        <v>63</v>
      </c>
      <c r="N115">
        <f t="shared" si="5"/>
        <v>0</v>
      </c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</row>
    <row r="116" spans="3:214" x14ac:dyDescent="0.25">
      <c r="C116" s="41">
        <f>COUNTA(BM1:BM95)</f>
        <v>1</v>
      </c>
      <c r="D116" s="41">
        <f t="shared" si="3"/>
        <v>133</v>
      </c>
      <c r="E116" s="41">
        <f>SUM(BN3:BN95)</f>
        <v>66</v>
      </c>
      <c r="F116" s="103">
        <f>SUM(BO3:BO95)</f>
        <v>67</v>
      </c>
      <c r="H116">
        <f t="shared" si="4"/>
        <v>67</v>
      </c>
      <c r="N116">
        <f t="shared" si="5"/>
        <v>0</v>
      </c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</row>
    <row r="117" spans="3:214" x14ac:dyDescent="0.25">
      <c r="C117" s="41">
        <f>COUNTA(BQ1:BQ95)</f>
        <v>1</v>
      </c>
      <c r="D117" s="41">
        <f t="shared" si="3"/>
        <v>141</v>
      </c>
      <c r="E117" s="41">
        <f>SUM(BR3:BR95)</f>
        <v>70</v>
      </c>
      <c r="F117" s="103">
        <f>SUM(BS3:BS95)</f>
        <v>71</v>
      </c>
      <c r="H117">
        <f t="shared" si="4"/>
        <v>71</v>
      </c>
      <c r="N117">
        <f t="shared" si="5"/>
        <v>0</v>
      </c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</row>
    <row r="118" spans="3:214" x14ac:dyDescent="0.25">
      <c r="C118" s="41">
        <f>COUNTA(BU1:BU95)</f>
        <v>1</v>
      </c>
      <c r="D118" s="41">
        <f t="shared" si="3"/>
        <v>149</v>
      </c>
      <c r="E118" s="41">
        <f>SUM(BV3:BV95)</f>
        <v>74</v>
      </c>
      <c r="F118" s="103">
        <f>SUM(BW3:BW95)</f>
        <v>75</v>
      </c>
      <c r="H118">
        <f t="shared" si="4"/>
        <v>75</v>
      </c>
      <c r="N118">
        <f t="shared" si="5"/>
        <v>0</v>
      </c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</row>
    <row r="119" spans="3:214" x14ac:dyDescent="0.25">
      <c r="C119" s="41">
        <f>COUNTA(BY1:BY95)</f>
        <v>1</v>
      </c>
      <c r="D119" s="41">
        <f t="shared" si="3"/>
        <v>157</v>
      </c>
      <c r="E119" s="41">
        <f>SUM(BZ3:BZ95)</f>
        <v>78</v>
      </c>
      <c r="F119" s="103">
        <f>SUM(CA3:CA95)</f>
        <v>79</v>
      </c>
      <c r="H119">
        <f t="shared" si="4"/>
        <v>79</v>
      </c>
      <c r="N119">
        <f t="shared" si="5"/>
        <v>0</v>
      </c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</row>
    <row r="120" spans="3:214" x14ac:dyDescent="0.25">
      <c r="C120" s="41">
        <f>COUNTA(CC1:CC95)</f>
        <v>1</v>
      </c>
      <c r="D120" s="41">
        <f t="shared" si="3"/>
        <v>165</v>
      </c>
      <c r="E120" s="41">
        <f>SUM(CD3:CD95)</f>
        <v>82</v>
      </c>
      <c r="F120" s="103">
        <f>SUM(CE3:CE95)</f>
        <v>83</v>
      </c>
      <c r="H120">
        <f t="shared" si="4"/>
        <v>83</v>
      </c>
      <c r="N120">
        <f t="shared" si="5"/>
        <v>0</v>
      </c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</row>
    <row r="121" spans="3:214" x14ac:dyDescent="0.25">
      <c r="C121" s="41">
        <f>COUNTA(CG1:CG95)</f>
        <v>1</v>
      </c>
      <c r="D121" s="41">
        <f t="shared" si="3"/>
        <v>173</v>
      </c>
      <c r="E121" s="41">
        <f>SUM(CH3:CH95)</f>
        <v>86</v>
      </c>
      <c r="F121" s="103">
        <f>SUM(CI3:CI95)</f>
        <v>87</v>
      </c>
      <c r="H121">
        <f t="shared" si="4"/>
        <v>87</v>
      </c>
      <c r="N121">
        <f t="shared" si="5"/>
        <v>0</v>
      </c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</row>
    <row r="122" spans="3:214" x14ac:dyDescent="0.25">
      <c r="C122" s="41">
        <f>COUNTA(CK1:CK95)</f>
        <v>1</v>
      </c>
      <c r="D122" s="41">
        <f t="shared" si="3"/>
        <v>181</v>
      </c>
      <c r="E122" s="41">
        <f>SUM(CL3:CL95)</f>
        <v>90</v>
      </c>
      <c r="F122" s="103">
        <f>SUM(CM3:CM95)</f>
        <v>91</v>
      </c>
      <c r="H122">
        <f t="shared" si="4"/>
        <v>91</v>
      </c>
      <c r="N122">
        <f t="shared" si="5"/>
        <v>0</v>
      </c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</row>
    <row r="123" spans="3:214" x14ac:dyDescent="0.25">
      <c r="C123" s="41">
        <f>COUNTA(CO1:CO95)</f>
        <v>1</v>
      </c>
      <c r="D123" s="41">
        <f t="shared" si="3"/>
        <v>189</v>
      </c>
      <c r="E123" s="41">
        <f>SUM(CP3:CP95)</f>
        <v>94</v>
      </c>
      <c r="F123" s="103">
        <f>SUM(CQ3:CQ95)</f>
        <v>95</v>
      </c>
      <c r="H123">
        <f t="shared" si="4"/>
        <v>95</v>
      </c>
      <c r="N123">
        <f t="shared" si="5"/>
        <v>0</v>
      </c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</row>
    <row r="124" spans="3:214" x14ac:dyDescent="0.25">
      <c r="C124" s="41">
        <f>COUNTA(CS1:CS95)</f>
        <v>1</v>
      </c>
      <c r="D124" s="41">
        <f t="shared" si="3"/>
        <v>197</v>
      </c>
      <c r="E124" s="41">
        <f>SUM(CT3:CT95)</f>
        <v>98</v>
      </c>
      <c r="F124" s="103">
        <f>SUM(CU3:CU95)</f>
        <v>99</v>
      </c>
      <c r="H124">
        <f t="shared" si="4"/>
        <v>99</v>
      </c>
      <c r="N124">
        <f t="shared" si="5"/>
        <v>0</v>
      </c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</row>
    <row r="125" spans="3:214" x14ac:dyDescent="0.25">
      <c r="C125" s="41">
        <f>COUNTA(CW1:CW95)</f>
        <v>1</v>
      </c>
      <c r="D125" s="41">
        <f t="shared" si="3"/>
        <v>205</v>
      </c>
      <c r="E125" s="41">
        <f>SUM(CX3:CX95)</f>
        <v>102</v>
      </c>
      <c r="F125" s="103">
        <f>SUM(CY3:CY95)</f>
        <v>103</v>
      </c>
      <c r="H125">
        <f t="shared" si="4"/>
        <v>103</v>
      </c>
      <c r="N125">
        <f t="shared" si="5"/>
        <v>0</v>
      </c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</row>
    <row r="126" spans="3:214" x14ac:dyDescent="0.25">
      <c r="C126" s="41">
        <f>COUNTA(DA1:DA95)</f>
        <v>1</v>
      </c>
      <c r="D126" s="41">
        <f t="shared" si="3"/>
        <v>213</v>
      </c>
      <c r="E126" s="41">
        <f>SUM(DB3:DB95)</f>
        <v>106</v>
      </c>
      <c r="F126" s="103">
        <f>SUM(DC3:DC95)</f>
        <v>107</v>
      </c>
      <c r="H126">
        <f t="shared" si="4"/>
        <v>107</v>
      </c>
      <c r="N126">
        <f t="shared" si="5"/>
        <v>0</v>
      </c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</row>
    <row r="127" spans="3:214" x14ac:dyDescent="0.25">
      <c r="C127" s="41">
        <f>COUNTA(DE1:DE95)</f>
        <v>1</v>
      </c>
      <c r="D127" s="41">
        <f t="shared" si="3"/>
        <v>221</v>
      </c>
      <c r="E127" s="41">
        <f>SUM(DF3:DF95)</f>
        <v>110</v>
      </c>
      <c r="F127" s="103">
        <f>SUM(DG3:DG95)</f>
        <v>111</v>
      </c>
      <c r="H127">
        <f t="shared" si="4"/>
        <v>111</v>
      </c>
      <c r="N127">
        <f t="shared" si="5"/>
        <v>0</v>
      </c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</row>
    <row r="128" spans="3:214" x14ac:dyDescent="0.25">
      <c r="C128" s="41">
        <f>COUNTA(DI1:DI95)</f>
        <v>1</v>
      </c>
      <c r="D128" s="41">
        <f t="shared" si="3"/>
        <v>229</v>
      </c>
      <c r="E128" s="41">
        <f>SUM(DJ3:DJ95)</f>
        <v>114</v>
      </c>
      <c r="F128" s="103">
        <f>SUM(DK3:DK95)</f>
        <v>115</v>
      </c>
      <c r="H128">
        <f t="shared" si="4"/>
        <v>115</v>
      </c>
      <c r="N128">
        <f t="shared" si="5"/>
        <v>0</v>
      </c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</row>
    <row r="129" spans="3:214" x14ac:dyDescent="0.25">
      <c r="C129" s="41">
        <f>COUNTA(DM1:DM95)</f>
        <v>1</v>
      </c>
      <c r="D129" s="41">
        <f t="shared" si="3"/>
        <v>237</v>
      </c>
      <c r="E129" s="41">
        <f>SUM(DN3:DN95)</f>
        <v>118</v>
      </c>
      <c r="F129" s="103">
        <f>SUM(DO3:DO95)</f>
        <v>119</v>
      </c>
      <c r="H129">
        <f t="shared" si="4"/>
        <v>119</v>
      </c>
      <c r="N129">
        <f t="shared" si="5"/>
        <v>0</v>
      </c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</row>
    <row r="130" spans="3:214" x14ac:dyDescent="0.25">
      <c r="C130" s="41">
        <f>COUNTA(DQ1:DQ95)</f>
        <v>1</v>
      </c>
      <c r="D130" s="41">
        <f t="shared" si="3"/>
        <v>245</v>
      </c>
      <c r="E130" s="41">
        <f>SUM(DR3:DR95)</f>
        <v>122</v>
      </c>
      <c r="F130" s="103">
        <f>SUM(DS3:DS95)</f>
        <v>123</v>
      </c>
      <c r="H130">
        <f t="shared" si="4"/>
        <v>123</v>
      </c>
      <c r="N130">
        <f t="shared" si="5"/>
        <v>0</v>
      </c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</row>
    <row r="131" spans="3:214" x14ac:dyDescent="0.25">
      <c r="C131" s="41">
        <f>COUNTA(DU1:DU95)</f>
        <v>1</v>
      </c>
      <c r="D131" s="41">
        <f t="shared" si="3"/>
        <v>253</v>
      </c>
      <c r="E131" s="41">
        <f>SUM(DV3:DV95)</f>
        <v>126</v>
      </c>
      <c r="F131" s="103">
        <f>SUM(DW3:DW95)</f>
        <v>127</v>
      </c>
      <c r="H131">
        <f t="shared" ref="H131:H148" si="6">F131-G103</f>
        <v>127</v>
      </c>
      <c r="N131">
        <f t="shared" ref="N131:N148" si="7">L131-M103</f>
        <v>0</v>
      </c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</row>
    <row r="132" spans="3:214" x14ac:dyDescent="0.25">
      <c r="C132" s="41">
        <f>COUNTA(DY1:DY95)</f>
        <v>1</v>
      </c>
      <c r="D132" s="41">
        <f t="shared" si="3"/>
        <v>257</v>
      </c>
      <c r="E132" s="41">
        <f>SUM(DX3:DX95)</f>
        <v>128</v>
      </c>
      <c r="F132" s="103">
        <f>SUM(DY3:DY95)</f>
        <v>129</v>
      </c>
      <c r="H132">
        <f t="shared" si="6"/>
        <v>129</v>
      </c>
      <c r="N132">
        <f t="shared" si="7"/>
        <v>0</v>
      </c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</row>
    <row r="133" spans="3:214" x14ac:dyDescent="0.25">
      <c r="C133" s="41">
        <f>COUNTA(EC1:EC95)</f>
        <v>1</v>
      </c>
      <c r="D133" s="41">
        <f t="shared" si="3"/>
        <v>269</v>
      </c>
      <c r="E133" s="41">
        <f>SUM(ED3:ED95)</f>
        <v>134</v>
      </c>
      <c r="F133" s="103">
        <f>SUM(EE3:EE95)</f>
        <v>135</v>
      </c>
      <c r="H133">
        <f t="shared" si="6"/>
        <v>135</v>
      </c>
      <c r="N133">
        <f t="shared" si="7"/>
        <v>0</v>
      </c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</row>
    <row r="134" spans="3:214" x14ac:dyDescent="0.25">
      <c r="C134" s="41">
        <f>COUNTA(EG1:EG96)</f>
        <v>1</v>
      </c>
      <c r="D134" s="41">
        <f t="shared" si="3"/>
        <v>277</v>
      </c>
      <c r="E134" s="41">
        <f>SUM(EH3:EH95)</f>
        <v>138</v>
      </c>
      <c r="F134" s="103">
        <f>SUM(EI3:EI95)</f>
        <v>139</v>
      </c>
      <c r="H134">
        <f t="shared" si="6"/>
        <v>139</v>
      </c>
      <c r="N134">
        <f t="shared" si="7"/>
        <v>0</v>
      </c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</row>
    <row r="135" spans="3:214" x14ac:dyDescent="0.25">
      <c r="C135" s="41">
        <f>COUNTA(EK1:EK95)</f>
        <v>1</v>
      </c>
      <c r="D135" s="41">
        <f t="shared" si="3"/>
        <v>285</v>
      </c>
      <c r="E135" s="41">
        <f>SUM(EL3:EL95)</f>
        <v>142</v>
      </c>
      <c r="F135" s="103">
        <f>SUM(EM3:EM95)</f>
        <v>143</v>
      </c>
      <c r="H135">
        <f t="shared" si="6"/>
        <v>143</v>
      </c>
      <c r="N135">
        <f t="shared" si="7"/>
        <v>0</v>
      </c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</row>
    <row r="136" spans="3:214" x14ac:dyDescent="0.25">
      <c r="C136" s="41">
        <f>COUNTA(EO1:EO95)</f>
        <v>1</v>
      </c>
      <c r="D136" s="41">
        <f t="shared" si="3"/>
        <v>293</v>
      </c>
      <c r="E136" s="41">
        <f>SUM(EP3:EP95)</f>
        <v>146</v>
      </c>
      <c r="F136" s="103">
        <f>SUM(EQ3:EQ95)</f>
        <v>147</v>
      </c>
      <c r="H136">
        <f t="shared" si="6"/>
        <v>147</v>
      </c>
      <c r="N136">
        <f t="shared" si="7"/>
        <v>0</v>
      </c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</row>
    <row r="137" spans="3:214" x14ac:dyDescent="0.25">
      <c r="C137" s="41">
        <f>COUNTA(ES1:ES95)</f>
        <v>1</v>
      </c>
      <c r="D137" s="41">
        <f t="shared" si="3"/>
        <v>301</v>
      </c>
      <c r="E137" s="41">
        <f>SUM(ET3:ET95)</f>
        <v>150</v>
      </c>
      <c r="F137" s="103">
        <f>SUM(EU3:EU95)</f>
        <v>151</v>
      </c>
      <c r="H137">
        <f t="shared" si="6"/>
        <v>151</v>
      </c>
      <c r="N137">
        <f t="shared" si="7"/>
        <v>0</v>
      </c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</row>
    <row r="138" spans="3:214" x14ac:dyDescent="0.25">
      <c r="C138" s="41">
        <f>COUNTA(EW1:EW95)</f>
        <v>1</v>
      </c>
      <c r="D138" s="41">
        <f t="shared" si="3"/>
        <v>309</v>
      </c>
      <c r="E138" s="41">
        <f>SUM(EX3:EX95)</f>
        <v>154</v>
      </c>
      <c r="F138" s="103">
        <f>SUM(EY3:EY95)</f>
        <v>155</v>
      </c>
      <c r="H138">
        <f t="shared" si="6"/>
        <v>155</v>
      </c>
      <c r="N138">
        <f t="shared" si="7"/>
        <v>0</v>
      </c>
    </row>
    <row r="139" spans="3:214" x14ac:dyDescent="0.25">
      <c r="C139" s="41">
        <f>COUNTA(FA1:FA95)</f>
        <v>1</v>
      </c>
      <c r="D139" s="41">
        <f t="shared" si="3"/>
        <v>317</v>
      </c>
      <c r="E139" s="41">
        <f>SUM(FB3:FB95)</f>
        <v>158</v>
      </c>
      <c r="F139" s="103">
        <f>SUM(FC3:FC95)</f>
        <v>159</v>
      </c>
      <c r="H139">
        <f t="shared" si="6"/>
        <v>159</v>
      </c>
      <c r="N139">
        <f t="shared" si="7"/>
        <v>0</v>
      </c>
    </row>
    <row r="140" spans="3:214" x14ac:dyDescent="0.25">
      <c r="C140" s="41">
        <f>COUNTA(FE1:FE95)</f>
        <v>1</v>
      </c>
      <c r="D140" s="41">
        <f t="shared" si="3"/>
        <v>325</v>
      </c>
      <c r="E140" s="41">
        <f>SUM(FF3:FF95)</f>
        <v>162</v>
      </c>
      <c r="F140" s="103">
        <f>SUM(FG3:FG95)</f>
        <v>163</v>
      </c>
      <c r="H140">
        <f t="shared" si="6"/>
        <v>163</v>
      </c>
      <c r="N140">
        <f t="shared" si="7"/>
        <v>0</v>
      </c>
    </row>
    <row r="141" spans="3:214" x14ac:dyDescent="0.25">
      <c r="C141" s="41">
        <f>COUNTA(FI1:FI95)</f>
        <v>1</v>
      </c>
      <c r="D141" s="41">
        <f t="shared" si="3"/>
        <v>333</v>
      </c>
      <c r="E141" s="41">
        <f>SUM(FJ3:FJ95)</f>
        <v>166</v>
      </c>
      <c r="F141" s="103">
        <f>SUM(FK3:FK95)</f>
        <v>167</v>
      </c>
      <c r="H141">
        <f t="shared" si="6"/>
        <v>167</v>
      </c>
      <c r="N141">
        <f t="shared" si="7"/>
        <v>0</v>
      </c>
    </row>
    <row r="142" spans="3:214" x14ac:dyDescent="0.25">
      <c r="C142" s="41">
        <f>COUNTA(FM1:FM95)</f>
        <v>1</v>
      </c>
      <c r="D142" s="41">
        <f t="shared" si="3"/>
        <v>341</v>
      </c>
      <c r="E142" s="41">
        <f>SUM(FN3:FN95)</f>
        <v>170</v>
      </c>
      <c r="F142" s="103">
        <f>SUM(FO3:FO95)</f>
        <v>171</v>
      </c>
      <c r="H142">
        <f t="shared" si="6"/>
        <v>171</v>
      </c>
      <c r="N142">
        <f t="shared" si="7"/>
        <v>0</v>
      </c>
    </row>
    <row r="143" spans="3:214" x14ac:dyDescent="0.25">
      <c r="C143" s="41">
        <f>COUNTA(FQ1:FQ95)</f>
        <v>1</v>
      </c>
      <c r="D143" s="41">
        <f t="shared" si="3"/>
        <v>349</v>
      </c>
      <c r="E143" s="41">
        <f>SUM(FR3:FR95)</f>
        <v>174</v>
      </c>
      <c r="F143" s="103">
        <f>SUM(FS3:FS95)</f>
        <v>175</v>
      </c>
      <c r="H143">
        <f t="shared" si="6"/>
        <v>175</v>
      </c>
      <c r="N143">
        <f t="shared" si="7"/>
        <v>0</v>
      </c>
    </row>
    <row r="144" spans="3:214" x14ac:dyDescent="0.25">
      <c r="C144" s="41">
        <f>COUNTA(FU1:FU95)</f>
        <v>1</v>
      </c>
      <c r="D144" s="41">
        <f t="shared" si="3"/>
        <v>357</v>
      </c>
      <c r="E144" s="41">
        <f>SUM(FV3:FV95)</f>
        <v>178</v>
      </c>
      <c r="F144" s="103">
        <f>SUM(FW3:FW95)</f>
        <v>179</v>
      </c>
      <c r="H144">
        <f t="shared" si="6"/>
        <v>179</v>
      </c>
      <c r="N144">
        <f t="shared" si="7"/>
        <v>0</v>
      </c>
    </row>
    <row r="145" spans="3:14" x14ac:dyDescent="0.25">
      <c r="C145" s="41">
        <f>COUNTA(FY1:FY95)</f>
        <v>1</v>
      </c>
      <c r="D145" s="41">
        <f t="shared" si="3"/>
        <v>365</v>
      </c>
      <c r="E145" s="41">
        <f>SUM(FZ3:FZ95)</f>
        <v>182</v>
      </c>
      <c r="F145" s="103">
        <f>SUM(GA3:GA95)</f>
        <v>183</v>
      </c>
      <c r="H145">
        <f t="shared" si="6"/>
        <v>183</v>
      </c>
      <c r="N145">
        <f t="shared" si="7"/>
        <v>0</v>
      </c>
    </row>
    <row r="146" spans="3:14" x14ac:dyDescent="0.25">
      <c r="C146" s="41">
        <f>COUNTA(GC1:GC95)</f>
        <v>1</v>
      </c>
      <c r="D146" s="41">
        <f t="shared" si="3"/>
        <v>373</v>
      </c>
      <c r="E146" s="41">
        <f>SUM(GD3:GD95)</f>
        <v>186</v>
      </c>
      <c r="F146" s="103">
        <f>SUM(GE3:GE95)</f>
        <v>187</v>
      </c>
      <c r="H146">
        <f t="shared" si="6"/>
        <v>187</v>
      </c>
      <c r="N146">
        <f t="shared" si="7"/>
        <v>0</v>
      </c>
    </row>
    <row r="147" spans="3:14" x14ac:dyDescent="0.25">
      <c r="C147" s="41">
        <f>COUNTA(GG1:GG95)</f>
        <v>1</v>
      </c>
      <c r="D147" s="41">
        <f t="shared" si="3"/>
        <v>381</v>
      </c>
      <c r="E147" s="41">
        <f>SUM(GH3:GH95)</f>
        <v>190</v>
      </c>
      <c r="F147" s="103">
        <f>SUM(GI3:GI95)</f>
        <v>191</v>
      </c>
      <c r="H147">
        <f t="shared" si="6"/>
        <v>191</v>
      </c>
      <c r="N147">
        <f t="shared" si="7"/>
        <v>0</v>
      </c>
    </row>
    <row r="148" spans="3:14" x14ac:dyDescent="0.25">
      <c r="C148" s="41">
        <f>COUNTA(GK1:GK95)</f>
        <v>1</v>
      </c>
      <c r="D148" s="41">
        <f t="shared" si="3"/>
        <v>389</v>
      </c>
      <c r="E148" s="41">
        <f>SUM(GL3:GL95)</f>
        <v>194</v>
      </c>
      <c r="F148" s="103">
        <f>SUM(GM3:GM95)</f>
        <v>195</v>
      </c>
      <c r="H148">
        <f t="shared" si="6"/>
        <v>195</v>
      </c>
      <c r="N148">
        <f t="shared" si="7"/>
        <v>0</v>
      </c>
    </row>
  </sheetData>
  <mergeCells count="3">
    <mergeCell ref="E27:E28"/>
    <mergeCell ref="K23:K24"/>
    <mergeCell ref="Q23:Q2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21E2A-2006-4459-8BB0-8882C09BF205}">
  <sheetPr codeName="Sheet5"/>
  <dimension ref="A1:HF148"/>
  <sheetViews>
    <sheetView zoomScale="85" zoomScaleNormal="85" workbookViewId="0">
      <selection activeCell="D5" sqref="D5"/>
    </sheetView>
  </sheetViews>
  <sheetFormatPr defaultRowHeight="15" x14ac:dyDescent="0.25"/>
  <cols>
    <col min="1" max="1" width="24.5703125" bestFit="1" customWidth="1"/>
    <col min="2" max="2" width="15.5703125" customWidth="1"/>
    <col min="3" max="3" width="16.5703125" customWidth="1"/>
    <col min="4" max="4" width="16" customWidth="1"/>
    <col min="5" max="5" width="15.7109375" customWidth="1"/>
    <col min="6" max="6" width="24.5703125" bestFit="1" customWidth="1"/>
    <col min="7" max="7" width="16.5703125" customWidth="1"/>
    <col min="8" max="8" width="13.5703125" customWidth="1"/>
    <col min="9" max="9" width="19.28515625" customWidth="1"/>
    <col min="10" max="10" width="16.28515625" customWidth="1"/>
    <col min="11" max="11" width="10.7109375" customWidth="1"/>
    <col min="12" max="12" width="11.28515625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214" s="160" customFormat="1" ht="30.75" customHeight="1" thickBot="1" x14ac:dyDescent="0.3">
      <c r="A1" s="178" t="s">
        <v>87</v>
      </c>
      <c r="B1" s="175"/>
      <c r="C1" s="153"/>
      <c r="D1" s="153"/>
      <c r="E1" s="154"/>
      <c r="F1" s="178" t="s">
        <v>88</v>
      </c>
      <c r="G1" s="176"/>
      <c r="H1" s="155"/>
      <c r="I1" s="156"/>
      <c r="J1" s="156"/>
      <c r="K1" s="156"/>
      <c r="L1" s="156"/>
      <c r="M1" s="156"/>
      <c r="N1" s="156"/>
      <c r="O1" s="156"/>
      <c r="P1" s="157"/>
      <c r="Q1" s="158"/>
      <c r="R1" s="158"/>
      <c r="S1" s="158"/>
      <c r="T1" s="158"/>
      <c r="U1" s="158"/>
      <c r="V1" s="158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 s="159"/>
      <c r="AS1" s="159"/>
      <c r="AT1" s="159"/>
      <c r="AU1" s="159"/>
      <c r="AV1" s="159"/>
      <c r="AW1" s="159"/>
      <c r="AX1" s="159"/>
      <c r="AY1" s="159"/>
      <c r="AZ1" s="159"/>
      <c r="BA1" s="159"/>
      <c r="BB1" s="159"/>
      <c r="BC1" s="159"/>
      <c r="BD1" s="159"/>
      <c r="BE1" s="159"/>
      <c r="BF1" s="159"/>
      <c r="BG1" s="159"/>
      <c r="BH1" s="159"/>
      <c r="BI1" s="159"/>
      <c r="BJ1" s="159"/>
      <c r="BK1" s="159"/>
      <c r="BL1" s="159"/>
      <c r="BM1" s="159"/>
      <c r="BN1" s="159"/>
      <c r="BO1" s="159"/>
      <c r="BP1" s="159"/>
      <c r="BQ1" s="159"/>
      <c r="BR1" s="159"/>
      <c r="BS1" s="159"/>
      <c r="BT1" s="159"/>
      <c r="BU1" s="159"/>
      <c r="BV1" s="159"/>
      <c r="BW1" s="159"/>
      <c r="BX1" s="159"/>
      <c r="BY1" s="159"/>
      <c r="BZ1" s="159"/>
      <c r="CA1" s="159"/>
      <c r="CB1" s="159"/>
      <c r="CC1" s="159"/>
      <c r="CD1" s="159"/>
      <c r="CE1" s="159"/>
      <c r="CF1" s="159"/>
      <c r="CG1" s="159"/>
      <c r="CH1" s="159"/>
      <c r="CI1" s="159"/>
      <c r="CJ1" s="159"/>
      <c r="CK1" s="159"/>
      <c r="CL1" s="159"/>
      <c r="CM1" s="159"/>
      <c r="CN1" s="159"/>
      <c r="CO1" s="159"/>
      <c r="CP1" s="159"/>
      <c r="CQ1" s="159"/>
      <c r="CR1" s="159"/>
      <c r="CS1" s="159"/>
      <c r="CT1" s="159"/>
      <c r="CU1" s="159"/>
      <c r="CV1" s="159"/>
      <c r="CW1" s="159"/>
      <c r="CX1" s="159"/>
      <c r="CY1" s="159"/>
      <c r="CZ1" s="159"/>
      <c r="DA1" s="159"/>
      <c r="DB1" s="159"/>
      <c r="DC1" s="159"/>
      <c r="DD1" s="159"/>
      <c r="DE1" s="159"/>
      <c r="DF1" s="159"/>
      <c r="DG1" s="159"/>
      <c r="DH1" s="159"/>
      <c r="DI1" s="159"/>
      <c r="DJ1" s="159"/>
      <c r="DK1" s="159"/>
      <c r="DL1" s="159"/>
      <c r="DM1" s="159"/>
      <c r="DN1" s="159"/>
      <c r="DO1" s="159"/>
      <c r="DP1" s="159"/>
      <c r="DQ1" s="159"/>
      <c r="DR1" s="159"/>
      <c r="DS1" s="159"/>
      <c r="DT1" s="159"/>
      <c r="DU1" s="159"/>
      <c r="DV1" s="159"/>
      <c r="DW1" s="159"/>
      <c r="DX1" s="159"/>
      <c r="DY1" s="159"/>
      <c r="DZ1" s="159"/>
      <c r="EA1" s="159"/>
      <c r="EB1" s="159"/>
      <c r="EC1" s="159"/>
      <c r="ED1" s="159"/>
      <c r="EE1" s="159"/>
      <c r="EF1" s="159"/>
      <c r="EG1" s="159"/>
      <c r="EH1" s="159"/>
      <c r="EI1" s="159"/>
      <c r="EJ1" s="159"/>
      <c r="EK1" s="159"/>
      <c r="EL1" s="159"/>
      <c r="EM1" s="159"/>
      <c r="EN1" s="159"/>
      <c r="EO1" s="159"/>
      <c r="EP1" s="159"/>
      <c r="EQ1" s="159"/>
      <c r="ER1" s="159"/>
      <c r="ES1" s="159"/>
      <c r="ET1" s="159"/>
      <c r="EU1" s="159"/>
      <c r="EV1" s="159"/>
      <c r="EW1" s="159"/>
      <c r="EX1" s="159"/>
      <c r="EY1" s="159"/>
      <c r="EZ1" s="159"/>
      <c r="FA1" s="159"/>
      <c r="FB1" s="159"/>
      <c r="FC1" s="159"/>
      <c r="FD1" s="159"/>
      <c r="FE1" s="159"/>
      <c r="FF1" s="159"/>
      <c r="FG1" s="159"/>
      <c r="FH1" s="159"/>
      <c r="FI1" s="159"/>
      <c r="FJ1" s="159"/>
      <c r="FK1" s="159"/>
      <c r="FL1" s="159"/>
      <c r="FM1" s="159"/>
      <c r="FN1" s="159"/>
      <c r="FO1" s="159"/>
      <c r="FP1" s="159"/>
    </row>
    <row r="2" spans="1:214" s="160" customFormat="1" ht="30.75" customHeight="1" x14ac:dyDescent="0.25">
      <c r="A2" s="177" t="s">
        <v>91</v>
      </c>
      <c r="B2" s="161">
        <f>B12</f>
        <v>20000</v>
      </c>
      <c r="C2" s="155"/>
      <c r="D2" s="155"/>
      <c r="E2" s="162"/>
      <c r="F2" s="177" t="s">
        <v>91</v>
      </c>
      <c r="G2" s="161">
        <f>G12</f>
        <v>20000</v>
      </c>
      <c r="H2" s="155"/>
      <c r="I2" s="156"/>
      <c r="J2" s="156"/>
      <c r="K2" s="156"/>
      <c r="L2" s="156"/>
      <c r="M2" s="156"/>
      <c r="N2" s="156"/>
      <c r="O2" s="156"/>
      <c r="P2" s="157"/>
      <c r="Q2" s="158"/>
      <c r="R2" s="158"/>
      <c r="S2" s="158"/>
      <c r="T2" s="158"/>
      <c r="U2" s="158"/>
      <c r="V2" s="158"/>
      <c r="W2" s="159"/>
      <c r="X2" s="159"/>
      <c r="Y2" s="159"/>
      <c r="Z2" s="159"/>
      <c r="AA2" s="159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59"/>
      <c r="AM2" s="159"/>
      <c r="AN2" s="159"/>
      <c r="AO2" s="159"/>
      <c r="AP2" s="159"/>
      <c r="AQ2" s="159"/>
      <c r="AR2" s="159"/>
      <c r="AS2" s="159"/>
      <c r="AT2" s="159"/>
      <c r="AU2" s="159"/>
      <c r="AV2" s="159"/>
      <c r="AW2" s="159"/>
      <c r="AX2" s="159"/>
      <c r="AY2" s="159"/>
      <c r="AZ2" s="159"/>
      <c r="BA2" s="159"/>
      <c r="BB2" s="159"/>
      <c r="BC2" s="159"/>
      <c r="BD2" s="159"/>
      <c r="BE2" s="159"/>
      <c r="BF2" s="159"/>
      <c r="BG2" s="159"/>
      <c r="BH2" s="159"/>
      <c r="BI2" s="159"/>
      <c r="BJ2" s="159"/>
      <c r="BK2" s="159"/>
      <c r="BL2" s="159"/>
      <c r="BM2" s="159"/>
      <c r="BN2" s="159"/>
      <c r="BO2" s="159"/>
      <c r="BP2" s="159"/>
      <c r="BQ2" s="159"/>
      <c r="BR2" s="159"/>
      <c r="BS2" s="159"/>
      <c r="BT2" s="159"/>
      <c r="BU2" s="159"/>
      <c r="BV2" s="159"/>
      <c r="BW2" s="159"/>
      <c r="BX2" s="159"/>
      <c r="BY2" s="159"/>
      <c r="BZ2" s="159"/>
      <c r="CA2" s="159"/>
      <c r="CB2" s="159"/>
      <c r="CC2" s="159"/>
      <c r="CD2" s="159"/>
      <c r="CE2" s="159"/>
      <c r="CF2" s="159"/>
      <c r="CG2" s="159"/>
      <c r="CH2" s="159"/>
      <c r="CI2" s="159"/>
      <c r="CJ2" s="159"/>
      <c r="CK2" s="159"/>
      <c r="CL2" s="159"/>
      <c r="CM2" s="159"/>
      <c r="CN2" s="159"/>
      <c r="CO2" s="159"/>
      <c r="CP2" s="159"/>
      <c r="CQ2" s="159"/>
      <c r="CR2" s="159"/>
      <c r="CS2" s="159"/>
      <c r="CT2" s="159"/>
      <c r="CU2" s="159"/>
      <c r="CV2" s="159"/>
      <c r="CW2" s="159"/>
      <c r="CX2" s="159"/>
      <c r="CY2" s="159"/>
      <c r="CZ2" s="159"/>
      <c r="DA2" s="159"/>
      <c r="DB2" s="159"/>
      <c r="DC2" s="159"/>
      <c r="DD2" s="159"/>
      <c r="DE2" s="159"/>
      <c r="DF2" s="159"/>
      <c r="DG2" s="159"/>
      <c r="DH2" s="159"/>
      <c r="DI2" s="159"/>
      <c r="DJ2" s="159"/>
      <c r="DK2" s="159"/>
      <c r="DL2" s="159"/>
      <c r="DM2" s="159"/>
      <c r="DN2" s="159"/>
      <c r="DO2" s="159"/>
      <c r="DP2" s="159"/>
      <c r="DQ2" s="159"/>
      <c r="DR2" s="159"/>
      <c r="DS2" s="159"/>
      <c r="DT2" s="159"/>
      <c r="DU2" s="159"/>
      <c r="DV2" s="159"/>
      <c r="DW2" s="159"/>
      <c r="DX2" s="159"/>
      <c r="DY2" s="159"/>
      <c r="DZ2" s="159"/>
      <c r="EA2" s="159"/>
      <c r="EB2" s="159"/>
      <c r="EC2" s="159"/>
      <c r="ED2" s="159"/>
      <c r="EE2" s="159"/>
      <c r="EF2" s="159"/>
      <c r="EG2" s="159"/>
      <c r="EH2" s="159"/>
      <c r="EI2" s="159"/>
      <c r="EJ2" s="159"/>
      <c r="EK2" s="159"/>
      <c r="EL2" s="159"/>
      <c r="EM2" s="159"/>
      <c r="EN2" s="159"/>
      <c r="EO2" s="159"/>
      <c r="EP2" s="159"/>
      <c r="EQ2" s="159"/>
      <c r="ER2" s="159"/>
      <c r="ES2" s="159"/>
      <c r="ET2" s="159"/>
      <c r="EU2" s="159"/>
      <c r="EV2" s="159"/>
      <c r="EW2" s="159"/>
      <c r="EX2" s="159"/>
      <c r="EY2" s="159"/>
      <c r="EZ2" s="159"/>
      <c r="FA2" s="159"/>
      <c r="FB2" s="159"/>
      <c r="FC2" s="159"/>
      <c r="FD2" s="159"/>
      <c r="FE2" s="159"/>
      <c r="FF2" s="159"/>
      <c r="FG2" s="159"/>
      <c r="FH2" s="159"/>
      <c r="FI2" s="159"/>
      <c r="FJ2" s="159"/>
      <c r="FK2" s="159"/>
      <c r="FL2" s="159"/>
      <c r="FM2" s="159"/>
      <c r="FN2" s="159"/>
      <c r="FO2" s="159"/>
      <c r="FP2" s="159"/>
    </row>
    <row r="3" spans="1:214" s="160" customFormat="1" ht="30.75" customHeight="1" x14ac:dyDescent="0.25">
      <c r="A3" s="163" t="s">
        <v>90</v>
      </c>
      <c r="B3" s="164">
        <f>SUM(B12:B62)</f>
        <v>20000</v>
      </c>
      <c r="C3" s="155"/>
      <c r="D3" s="155"/>
      <c r="E3" s="162"/>
      <c r="F3" s="163" t="s">
        <v>90</v>
      </c>
      <c r="G3" s="164">
        <f>SUM(G12:G62)</f>
        <v>22007</v>
      </c>
      <c r="H3" s="155"/>
      <c r="I3" s="156"/>
      <c r="J3" s="156"/>
      <c r="K3" s="156"/>
      <c r="L3" s="156"/>
      <c r="M3" s="156"/>
      <c r="N3" s="156"/>
      <c r="O3" s="156"/>
      <c r="P3" s="157"/>
      <c r="Q3" s="158"/>
      <c r="R3" s="158"/>
      <c r="S3" s="158"/>
      <c r="T3" s="158"/>
      <c r="U3" s="158"/>
      <c r="V3" s="158"/>
      <c r="W3" s="159"/>
      <c r="X3" s="159"/>
      <c r="Y3" s="159"/>
      <c r="Z3" s="159"/>
      <c r="AA3" s="159"/>
      <c r="AB3" s="159"/>
      <c r="AC3" s="159"/>
      <c r="AD3" s="159"/>
      <c r="AE3" s="159"/>
      <c r="AF3" s="159"/>
      <c r="AG3" s="159"/>
      <c r="AH3" s="159"/>
      <c r="AI3" s="159"/>
      <c r="AJ3" s="159"/>
      <c r="AK3" s="159"/>
      <c r="AL3" s="159"/>
      <c r="AM3" s="159"/>
      <c r="AN3" s="159"/>
      <c r="AO3" s="159"/>
      <c r="AP3" s="159"/>
      <c r="AQ3" s="159"/>
      <c r="AR3" s="159"/>
      <c r="AS3" s="159"/>
      <c r="AT3" s="159"/>
      <c r="AU3" s="159"/>
      <c r="AV3" s="159"/>
      <c r="AW3" s="159"/>
      <c r="AX3" s="159"/>
      <c r="AY3" s="159"/>
      <c r="AZ3" s="159"/>
      <c r="BA3" s="159"/>
      <c r="BB3" s="159"/>
      <c r="BC3" s="159"/>
      <c r="BD3" s="159"/>
      <c r="BE3" s="159"/>
      <c r="BF3" s="159"/>
      <c r="BG3" s="159"/>
      <c r="BH3" s="159"/>
      <c r="BI3" s="159"/>
      <c r="BJ3" s="159"/>
      <c r="BK3" s="159"/>
      <c r="BL3" s="159"/>
      <c r="BM3" s="159"/>
      <c r="BN3" s="159"/>
      <c r="BO3" s="159"/>
      <c r="BP3" s="159"/>
      <c r="BQ3" s="159"/>
      <c r="BR3" s="159"/>
      <c r="BS3" s="159"/>
      <c r="BT3" s="159"/>
      <c r="BU3" s="159"/>
      <c r="BV3" s="159"/>
      <c r="BW3" s="159"/>
      <c r="BX3" s="159"/>
      <c r="BY3" s="159"/>
      <c r="BZ3" s="159"/>
      <c r="CA3" s="159"/>
      <c r="CB3" s="159"/>
      <c r="CC3" s="159"/>
      <c r="CD3" s="159"/>
      <c r="CE3" s="159"/>
      <c r="CF3" s="159"/>
      <c r="CG3" s="159"/>
      <c r="CH3" s="159"/>
      <c r="CI3" s="159"/>
      <c r="CJ3" s="159"/>
      <c r="CK3" s="159"/>
      <c r="CL3" s="159"/>
      <c r="CM3" s="159"/>
      <c r="CN3" s="159"/>
      <c r="CO3" s="159"/>
      <c r="CP3" s="159"/>
      <c r="CQ3" s="159"/>
      <c r="CR3" s="159"/>
      <c r="CS3" s="159"/>
      <c r="CT3" s="159"/>
      <c r="CU3" s="159"/>
      <c r="CV3" s="159"/>
      <c r="CW3" s="159"/>
      <c r="CX3" s="159"/>
      <c r="CY3" s="159"/>
      <c r="CZ3" s="159"/>
      <c r="DA3" s="159"/>
      <c r="DB3" s="159"/>
      <c r="DC3" s="159"/>
      <c r="DD3" s="159"/>
      <c r="DE3" s="159"/>
      <c r="DF3" s="159"/>
      <c r="DG3" s="159"/>
      <c r="DH3" s="159"/>
      <c r="DI3" s="159"/>
      <c r="DJ3" s="159"/>
      <c r="DK3" s="159"/>
      <c r="DL3" s="159"/>
      <c r="DM3" s="159"/>
      <c r="DN3" s="159"/>
      <c r="DO3" s="159"/>
      <c r="DP3" s="159"/>
      <c r="DQ3" s="159"/>
      <c r="DR3" s="159"/>
      <c r="DS3" s="159"/>
      <c r="DT3" s="159"/>
      <c r="DU3" s="159"/>
      <c r="DV3" s="159"/>
      <c r="DW3" s="159"/>
      <c r="DX3" s="159"/>
      <c r="DY3" s="159"/>
      <c r="DZ3" s="159"/>
      <c r="EA3" s="159"/>
      <c r="EB3" s="159"/>
      <c r="EC3" s="159"/>
      <c r="ED3" s="159"/>
      <c r="EE3" s="159"/>
      <c r="EF3" s="159"/>
      <c r="EG3" s="159"/>
      <c r="EH3" s="159"/>
      <c r="EI3" s="159"/>
      <c r="EJ3" s="159"/>
      <c r="EK3" s="159"/>
      <c r="EL3" s="159"/>
      <c r="EM3" s="159"/>
      <c r="EN3" s="159"/>
      <c r="EO3" s="159"/>
      <c r="EP3" s="159"/>
      <c r="EQ3" s="159"/>
      <c r="ER3" s="159"/>
      <c r="ES3" s="159"/>
      <c r="ET3" s="159"/>
      <c r="EU3" s="159"/>
      <c r="EV3" s="159"/>
      <c r="EW3" s="159"/>
      <c r="EX3" s="159"/>
      <c r="EY3" s="159"/>
      <c r="EZ3" s="159"/>
      <c r="FA3" s="159"/>
      <c r="FB3" s="159"/>
      <c r="FC3" s="159"/>
      <c r="FD3" s="159"/>
      <c r="FE3" s="159"/>
      <c r="FF3" s="159"/>
      <c r="FG3" s="159"/>
      <c r="FH3" s="159"/>
      <c r="FI3" s="159"/>
      <c r="FJ3" s="159"/>
      <c r="FK3" s="159"/>
      <c r="FL3" s="159"/>
      <c r="FM3" s="159"/>
      <c r="FN3" s="159"/>
      <c r="FO3" s="159"/>
      <c r="FP3" s="159"/>
    </row>
    <row r="4" spans="1:214" s="160" customFormat="1" ht="30.75" customHeight="1" x14ac:dyDescent="0.25">
      <c r="A4" s="165" t="s">
        <v>96</v>
      </c>
      <c r="B4" s="166">
        <f>SUM(C12:C48)</f>
        <v>9500</v>
      </c>
      <c r="C4" s="155"/>
      <c r="D4" s="155"/>
      <c r="E4" s="162"/>
      <c r="F4" s="165" t="s">
        <v>96</v>
      </c>
      <c r="G4" s="166">
        <f>SUM(H12:H48)</f>
        <v>7000</v>
      </c>
      <c r="H4" s="155"/>
      <c r="I4" s="156"/>
      <c r="J4" s="156"/>
      <c r="K4" s="156"/>
      <c r="L4" s="156"/>
      <c r="M4" s="156"/>
      <c r="N4" s="156"/>
      <c r="O4" s="156"/>
      <c r="P4" s="157"/>
      <c r="Q4" s="158"/>
      <c r="R4" s="158"/>
      <c r="S4" s="158"/>
      <c r="T4" s="158"/>
      <c r="U4" s="158"/>
      <c r="V4" s="158"/>
      <c r="W4" s="158"/>
      <c r="X4" s="159"/>
      <c r="Y4" s="159"/>
      <c r="Z4" s="159"/>
      <c r="AA4" s="159"/>
      <c r="AB4" s="159"/>
      <c r="AC4" s="159"/>
      <c r="AD4" s="159"/>
      <c r="AE4" s="159"/>
      <c r="AF4" s="159"/>
      <c r="AG4" s="159"/>
      <c r="AH4" s="159"/>
      <c r="AI4" s="159"/>
      <c r="AJ4" s="159"/>
      <c r="AK4" s="159"/>
      <c r="AL4" s="159"/>
      <c r="AM4" s="159"/>
      <c r="AN4" s="159"/>
      <c r="AO4" s="159"/>
      <c r="AP4" s="159"/>
      <c r="AQ4" s="159"/>
      <c r="AR4" s="159"/>
      <c r="AS4" s="159"/>
      <c r="AT4" s="159"/>
      <c r="AU4" s="159"/>
      <c r="AV4" s="159"/>
      <c r="AW4" s="159"/>
      <c r="AX4" s="159"/>
      <c r="AY4" s="159"/>
      <c r="AZ4" s="159"/>
      <c r="BA4" s="159"/>
      <c r="BB4" s="159"/>
      <c r="BC4" s="159"/>
      <c r="BD4" s="159"/>
      <c r="BE4" s="159"/>
      <c r="BF4" s="159"/>
      <c r="BG4" s="159"/>
      <c r="BH4" s="159"/>
      <c r="BI4" s="159"/>
      <c r="BJ4" s="159"/>
      <c r="BK4" s="159"/>
      <c r="BL4" s="159"/>
      <c r="BM4" s="159"/>
      <c r="BN4" s="159"/>
      <c r="BO4" s="159"/>
      <c r="BP4" s="159"/>
      <c r="BQ4" s="159"/>
      <c r="BR4" s="159"/>
      <c r="BS4" s="159"/>
      <c r="BT4" s="159"/>
      <c r="BU4" s="159"/>
      <c r="BV4" s="159"/>
      <c r="BW4" s="159"/>
      <c r="BX4" s="159"/>
      <c r="BY4" s="159"/>
      <c r="BZ4" s="159"/>
      <c r="CA4" s="159"/>
      <c r="CB4" s="159"/>
      <c r="CC4" s="159"/>
      <c r="CD4" s="159"/>
      <c r="CE4" s="159"/>
      <c r="CF4" s="159"/>
      <c r="CG4" s="159"/>
      <c r="CH4" s="159"/>
      <c r="CI4" s="159"/>
      <c r="CJ4" s="159"/>
      <c r="CK4" s="159"/>
      <c r="CL4" s="159"/>
      <c r="CM4" s="159"/>
      <c r="CN4" s="159"/>
      <c r="CO4" s="159"/>
      <c r="CP4" s="159"/>
      <c r="CQ4" s="159"/>
      <c r="CR4" s="159"/>
      <c r="CS4" s="159"/>
      <c r="CT4" s="159"/>
      <c r="CU4" s="159"/>
      <c r="CV4" s="159"/>
      <c r="CW4" s="159"/>
      <c r="CX4" s="159"/>
      <c r="CY4" s="159"/>
      <c r="CZ4" s="159"/>
      <c r="DA4" s="159"/>
      <c r="DB4" s="159"/>
      <c r="DC4" s="159"/>
      <c r="DD4" s="159"/>
      <c r="DE4" s="159"/>
      <c r="DF4" s="159"/>
      <c r="DG4" s="159"/>
      <c r="DH4" s="159"/>
      <c r="DI4" s="159"/>
      <c r="DJ4" s="159"/>
      <c r="DK4" s="159"/>
      <c r="DL4" s="159"/>
      <c r="DM4" s="159"/>
      <c r="DN4" s="159"/>
      <c r="DO4" s="159"/>
      <c r="DP4" s="159"/>
      <c r="DQ4" s="159"/>
      <c r="DR4" s="159"/>
      <c r="DS4" s="159"/>
      <c r="DT4" s="159"/>
      <c r="DU4" s="159"/>
      <c r="DV4" s="159"/>
      <c r="DW4" s="159"/>
      <c r="DX4" s="159"/>
      <c r="DY4" s="159"/>
      <c r="DZ4" s="159"/>
      <c r="EA4" s="159"/>
      <c r="EB4" s="159"/>
      <c r="EC4" s="159"/>
      <c r="ED4" s="159"/>
      <c r="EE4" s="159"/>
      <c r="EF4" s="159"/>
      <c r="EG4" s="159"/>
      <c r="EH4" s="159"/>
      <c r="EI4" s="159"/>
      <c r="EJ4" s="159"/>
      <c r="EK4" s="159"/>
      <c r="EL4" s="159"/>
      <c r="EM4" s="159"/>
      <c r="EN4" s="159"/>
      <c r="EO4" s="159"/>
      <c r="EP4" s="159"/>
      <c r="EQ4" s="159"/>
      <c r="ER4" s="159"/>
      <c r="ES4" s="159"/>
      <c r="ET4" s="159"/>
      <c r="EU4" s="159"/>
      <c r="EV4" s="159"/>
      <c r="EW4" s="159"/>
      <c r="EX4" s="159"/>
      <c r="EY4" s="159"/>
      <c r="EZ4" s="159"/>
      <c r="FA4" s="159"/>
      <c r="FB4" s="159"/>
      <c r="FC4" s="159"/>
      <c r="FD4" s="159"/>
      <c r="FE4" s="159"/>
      <c r="FF4" s="159"/>
      <c r="FG4" s="159"/>
      <c r="FH4" s="159"/>
      <c r="FI4" s="159"/>
      <c r="FJ4" s="159"/>
      <c r="FK4" s="159"/>
      <c r="FL4" s="159"/>
      <c r="FM4" s="159"/>
      <c r="FN4" s="159"/>
      <c r="FO4" s="159"/>
      <c r="FP4" s="159"/>
    </row>
    <row r="5" spans="1:214" s="160" customFormat="1" ht="30.75" customHeight="1" x14ac:dyDescent="0.25">
      <c r="A5" s="167" t="s">
        <v>93</v>
      </c>
      <c r="B5" s="168">
        <f>SUM(B2:B3) - B4</f>
        <v>30500</v>
      </c>
      <c r="C5" s="155"/>
      <c r="D5" s="155"/>
      <c r="E5" s="162"/>
      <c r="F5" s="167" t="s">
        <v>93</v>
      </c>
      <c r="G5" s="168">
        <f>SUM(G2:G3) - G4</f>
        <v>35007</v>
      </c>
      <c r="H5" s="155"/>
      <c r="I5" s="156"/>
      <c r="J5" s="156"/>
      <c r="K5" s="156"/>
      <c r="L5" s="156"/>
      <c r="M5" s="156"/>
      <c r="N5" s="156"/>
      <c r="O5" s="156"/>
      <c r="P5" s="157"/>
      <c r="Q5" s="158"/>
      <c r="R5" s="158"/>
      <c r="S5" s="158"/>
      <c r="T5" s="158"/>
      <c r="U5" s="158"/>
      <c r="V5" s="158"/>
      <c r="W5" s="158"/>
      <c r="X5" s="159"/>
      <c r="Y5" s="159"/>
      <c r="Z5" s="159"/>
      <c r="AA5" s="159"/>
      <c r="AB5" s="159"/>
      <c r="AC5" s="159"/>
      <c r="AD5" s="159"/>
      <c r="AE5" s="159"/>
      <c r="AF5" s="159"/>
      <c r="AG5" s="159"/>
      <c r="AH5" s="159"/>
      <c r="AI5" s="159"/>
      <c r="AJ5" s="159"/>
      <c r="AK5" s="159"/>
      <c r="AL5" s="159"/>
      <c r="AM5" s="159"/>
      <c r="AN5" s="159"/>
      <c r="AO5" s="159"/>
      <c r="AP5" s="159"/>
      <c r="AQ5" s="159"/>
      <c r="AR5" s="159"/>
      <c r="AS5" s="159"/>
      <c r="AT5" s="159"/>
      <c r="AU5" s="159"/>
      <c r="AV5" s="159"/>
      <c r="AW5" s="159"/>
      <c r="AX5" s="159"/>
      <c r="AY5" s="159"/>
      <c r="AZ5" s="159"/>
      <c r="BA5" s="159"/>
      <c r="BB5" s="159"/>
      <c r="BC5" s="159"/>
      <c r="BD5" s="159"/>
      <c r="BE5" s="159"/>
      <c r="BF5" s="159"/>
      <c r="BG5" s="159"/>
      <c r="BH5" s="159"/>
      <c r="BI5" s="159"/>
      <c r="BJ5" s="159"/>
      <c r="BK5" s="159"/>
      <c r="BL5" s="159"/>
      <c r="BM5" s="159"/>
      <c r="BN5" s="159"/>
      <c r="BO5" s="159"/>
      <c r="BP5" s="159"/>
      <c r="BQ5" s="159"/>
      <c r="BR5" s="159"/>
      <c r="BS5" s="159"/>
      <c r="BT5" s="159"/>
      <c r="BU5" s="159"/>
      <c r="BV5" s="159"/>
      <c r="BW5" s="159"/>
      <c r="BX5" s="159"/>
      <c r="BY5" s="159"/>
      <c r="BZ5" s="159"/>
      <c r="CA5" s="159"/>
      <c r="CB5" s="159"/>
      <c r="CC5" s="159"/>
      <c r="CD5" s="159"/>
      <c r="CE5" s="159"/>
      <c r="CF5" s="159"/>
      <c r="CG5" s="159"/>
      <c r="CH5" s="159"/>
      <c r="CI5" s="159"/>
      <c r="CJ5" s="159"/>
      <c r="CK5" s="159"/>
      <c r="CL5" s="159"/>
      <c r="CM5" s="159"/>
      <c r="CN5" s="159"/>
      <c r="CO5" s="159"/>
      <c r="CP5" s="159"/>
      <c r="CQ5" s="159"/>
      <c r="CR5" s="159"/>
      <c r="CS5" s="159"/>
      <c r="CT5" s="159"/>
      <c r="CU5" s="159"/>
      <c r="CV5" s="159"/>
      <c r="CW5" s="159"/>
      <c r="CX5" s="159"/>
      <c r="CY5" s="159"/>
      <c r="CZ5" s="159"/>
      <c r="DA5" s="159"/>
      <c r="DB5" s="159"/>
      <c r="DC5" s="159"/>
      <c r="DD5" s="159"/>
      <c r="DE5" s="159"/>
      <c r="DF5" s="159"/>
      <c r="DG5" s="159"/>
      <c r="DH5" s="159"/>
      <c r="DI5" s="159"/>
      <c r="DJ5" s="159"/>
      <c r="DK5" s="159"/>
      <c r="DL5" s="159"/>
      <c r="DM5" s="159"/>
      <c r="DN5" s="159"/>
      <c r="DO5" s="159"/>
      <c r="DP5" s="159"/>
      <c r="DQ5" s="159"/>
      <c r="DR5" s="159"/>
      <c r="DS5" s="159"/>
      <c r="DT5" s="159"/>
      <c r="DU5" s="159"/>
      <c r="DV5" s="159"/>
      <c r="DW5" s="159"/>
      <c r="DX5" s="159"/>
      <c r="DY5" s="159"/>
      <c r="DZ5" s="159"/>
      <c r="EA5" s="159"/>
      <c r="EB5" s="159"/>
      <c r="EC5" s="159"/>
      <c r="ED5" s="159"/>
      <c r="EE5" s="159"/>
      <c r="EF5" s="159"/>
      <c r="EG5" s="159"/>
      <c r="EH5" s="159"/>
      <c r="EI5" s="159"/>
      <c r="EJ5" s="159"/>
      <c r="EK5" s="159"/>
      <c r="EL5" s="159"/>
      <c r="EM5" s="159"/>
      <c r="EN5" s="159"/>
      <c r="EO5" s="159"/>
      <c r="EP5" s="159"/>
      <c r="EQ5" s="159"/>
      <c r="ER5" s="159"/>
      <c r="ES5" s="159"/>
      <c r="ET5" s="159"/>
      <c r="EU5" s="159"/>
      <c r="EV5" s="159"/>
      <c r="EW5" s="159"/>
      <c r="EX5" s="159"/>
      <c r="EY5" s="159"/>
      <c r="EZ5" s="159"/>
      <c r="FA5" s="159"/>
      <c r="FB5" s="159"/>
      <c r="FC5" s="159"/>
      <c r="FD5" s="159"/>
      <c r="FE5" s="159"/>
      <c r="FF5" s="159"/>
      <c r="FG5" s="159"/>
      <c r="FH5" s="159"/>
      <c r="FI5" s="159"/>
      <c r="FJ5" s="159"/>
      <c r="FK5" s="159"/>
      <c r="FL5" s="159"/>
      <c r="FM5" s="159"/>
      <c r="FN5" s="159"/>
      <c r="FO5" s="159"/>
      <c r="FP5" s="159"/>
    </row>
    <row r="6" spans="1:214" s="160" customFormat="1" ht="30.75" customHeight="1" x14ac:dyDescent="0.25">
      <c r="A6" s="169" t="s">
        <v>15</v>
      </c>
      <c r="B6" s="170">
        <f>SUM(D12:D46)</f>
        <v>5385</v>
      </c>
      <c r="C6" s="155"/>
      <c r="D6" s="155"/>
      <c r="E6" s="162"/>
      <c r="F6" s="169" t="s">
        <v>15</v>
      </c>
      <c r="G6" s="170">
        <f>SUM(I12:I46)</f>
        <v>7710</v>
      </c>
      <c r="H6" s="155"/>
      <c r="I6" s="156"/>
      <c r="J6" s="156"/>
      <c r="K6" s="156"/>
      <c r="L6" s="156"/>
      <c r="M6" s="156"/>
      <c r="N6" s="156"/>
      <c r="O6" s="156"/>
      <c r="P6" s="157"/>
      <c r="Q6" s="158"/>
      <c r="R6" s="158"/>
      <c r="S6" s="158"/>
      <c r="T6" s="158"/>
      <c r="U6" s="158"/>
      <c r="V6" s="158"/>
      <c r="W6" s="158"/>
      <c r="X6" s="159"/>
      <c r="Y6" s="159"/>
      <c r="Z6" s="159"/>
      <c r="AA6" s="159"/>
      <c r="AB6" s="159"/>
      <c r="AC6" s="159"/>
      <c r="AD6" s="159"/>
      <c r="AE6" s="159"/>
      <c r="AF6" s="159"/>
      <c r="AG6" s="159"/>
      <c r="AH6" s="159"/>
      <c r="AI6" s="159"/>
      <c r="AJ6" s="159"/>
      <c r="AK6" s="159"/>
      <c r="AL6" s="159"/>
      <c r="AM6" s="159"/>
      <c r="AN6" s="159"/>
      <c r="AO6" s="159"/>
      <c r="AP6" s="159"/>
      <c r="AQ6" s="159"/>
      <c r="AR6" s="159"/>
      <c r="AS6" s="159"/>
      <c r="AT6" s="159"/>
      <c r="AU6" s="159"/>
      <c r="AV6" s="159"/>
      <c r="AW6" s="159"/>
      <c r="AX6" s="159"/>
      <c r="AY6" s="159"/>
      <c r="AZ6" s="159"/>
      <c r="BA6" s="159"/>
      <c r="BB6" s="159"/>
      <c r="BC6" s="159"/>
      <c r="BD6" s="159"/>
      <c r="BE6" s="159"/>
      <c r="BF6" s="159"/>
      <c r="BG6" s="159"/>
      <c r="BH6" s="159"/>
      <c r="BI6" s="159"/>
      <c r="BJ6" s="159"/>
      <c r="BK6" s="159"/>
      <c r="BL6" s="159"/>
      <c r="BM6" s="159"/>
      <c r="BN6" s="159"/>
      <c r="BO6" s="159"/>
      <c r="BP6" s="159"/>
      <c r="BQ6" s="159"/>
      <c r="BR6" s="159"/>
      <c r="BS6" s="159"/>
      <c r="BT6" s="159"/>
      <c r="BU6" s="159"/>
      <c r="BV6" s="159"/>
      <c r="BW6" s="159"/>
      <c r="BX6" s="159"/>
      <c r="BY6" s="159"/>
      <c r="BZ6" s="159"/>
      <c r="CA6" s="159"/>
      <c r="CB6" s="159"/>
      <c r="CC6" s="159"/>
      <c r="CD6" s="159"/>
      <c r="CE6" s="159"/>
      <c r="CF6" s="159"/>
      <c r="CG6" s="159"/>
      <c r="CH6" s="159"/>
      <c r="CI6" s="159"/>
      <c r="CJ6" s="159"/>
      <c r="CK6" s="159"/>
      <c r="CL6" s="159"/>
      <c r="CM6" s="159"/>
      <c r="CN6" s="159"/>
      <c r="CO6" s="159"/>
      <c r="CP6" s="159"/>
      <c r="CQ6" s="159"/>
      <c r="CR6" s="159"/>
      <c r="CS6" s="159"/>
      <c r="CT6" s="159"/>
      <c r="CU6" s="159"/>
      <c r="CV6" s="159"/>
      <c r="CW6" s="159"/>
      <c r="CX6" s="159"/>
      <c r="CY6" s="159"/>
      <c r="CZ6" s="159"/>
      <c r="DA6" s="159"/>
      <c r="DB6" s="159"/>
      <c r="DC6" s="159"/>
      <c r="DD6" s="159"/>
      <c r="DE6" s="159"/>
      <c r="DF6" s="159"/>
      <c r="DG6" s="159"/>
      <c r="DH6" s="159"/>
      <c r="DI6" s="159"/>
      <c r="DJ6" s="159"/>
      <c r="DK6" s="159"/>
      <c r="DL6" s="159"/>
      <c r="DM6" s="159"/>
      <c r="DN6" s="159"/>
      <c r="DO6" s="159"/>
      <c r="DP6" s="159"/>
      <c r="DQ6" s="159"/>
      <c r="DR6" s="159"/>
      <c r="DS6" s="159"/>
      <c r="DT6" s="159"/>
      <c r="DU6" s="159"/>
      <c r="DV6" s="159"/>
      <c r="DW6" s="159"/>
      <c r="DX6" s="159"/>
      <c r="DY6" s="159"/>
      <c r="DZ6" s="159"/>
      <c r="EA6" s="159"/>
      <c r="EB6" s="159"/>
      <c r="EC6" s="159"/>
      <c r="ED6" s="159"/>
      <c r="EE6" s="159"/>
      <c r="EF6" s="159"/>
      <c r="EG6" s="159"/>
      <c r="EH6" s="159"/>
      <c r="EI6" s="159"/>
      <c r="EJ6" s="159"/>
      <c r="EK6" s="159"/>
      <c r="EL6" s="159"/>
      <c r="EM6" s="159"/>
      <c r="EN6" s="159"/>
      <c r="EO6" s="159"/>
      <c r="EP6" s="159"/>
      <c r="EQ6" s="159"/>
      <c r="ER6" s="159"/>
      <c r="ES6" s="159"/>
      <c r="ET6" s="159"/>
      <c r="EU6" s="159"/>
      <c r="EV6" s="159"/>
      <c r="EW6" s="159"/>
      <c r="EX6" s="159"/>
      <c r="EY6" s="159"/>
      <c r="EZ6" s="159"/>
      <c r="FA6" s="159"/>
      <c r="FB6" s="159"/>
      <c r="FC6" s="159"/>
      <c r="FD6" s="159"/>
      <c r="FE6" s="159"/>
      <c r="FF6" s="159"/>
      <c r="FG6" s="159"/>
      <c r="FH6" s="159"/>
      <c r="FI6" s="159"/>
      <c r="FJ6" s="159"/>
      <c r="FK6" s="159"/>
      <c r="FL6" s="159"/>
      <c r="FM6" s="159"/>
      <c r="FN6" s="159"/>
      <c r="FO6" s="159"/>
      <c r="FP6" s="159"/>
    </row>
    <row r="7" spans="1:214" s="160" customFormat="1" ht="30.75" customHeight="1" x14ac:dyDescent="0.25">
      <c r="A7" s="171" t="s">
        <v>86</v>
      </c>
      <c r="B7" s="172">
        <f>SUM(E12:E46)</f>
        <v>1170</v>
      </c>
      <c r="C7" s="155"/>
      <c r="D7" s="155"/>
      <c r="E7" s="162"/>
      <c r="F7" s="171" t="s">
        <v>86</v>
      </c>
      <c r="G7" s="172">
        <f>SUM(J12:J46)</f>
        <v>7710</v>
      </c>
      <c r="H7" s="155"/>
      <c r="I7" s="156"/>
      <c r="J7" s="156"/>
      <c r="K7" s="156"/>
      <c r="L7" s="156"/>
      <c r="M7" s="156"/>
      <c r="N7" s="156"/>
      <c r="O7" s="156"/>
      <c r="P7" s="157"/>
      <c r="Q7" s="158"/>
      <c r="R7" s="158"/>
      <c r="S7" s="158"/>
      <c r="T7" s="158"/>
      <c r="U7" s="158"/>
      <c r="V7" s="158"/>
      <c r="W7" s="158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9"/>
      <c r="BH7" s="159"/>
      <c r="BI7" s="159"/>
      <c r="BJ7" s="159"/>
      <c r="BK7" s="159"/>
      <c r="BL7" s="159"/>
      <c r="BM7" s="159"/>
      <c r="BN7" s="159"/>
      <c r="BO7" s="159"/>
      <c r="BP7" s="159"/>
      <c r="BQ7" s="159"/>
      <c r="BR7" s="159"/>
      <c r="BS7" s="159"/>
      <c r="BT7" s="159"/>
      <c r="BU7" s="159"/>
      <c r="BV7" s="159"/>
      <c r="BW7" s="159"/>
      <c r="BX7" s="159"/>
      <c r="BY7" s="159"/>
      <c r="BZ7" s="159"/>
      <c r="CA7" s="159"/>
      <c r="CB7" s="159"/>
      <c r="CC7" s="159"/>
      <c r="CD7" s="159"/>
      <c r="CE7" s="159"/>
      <c r="CF7" s="159"/>
      <c r="CG7" s="159"/>
      <c r="CH7" s="159"/>
      <c r="CI7" s="159"/>
      <c r="CJ7" s="159"/>
      <c r="CK7" s="159"/>
      <c r="CL7" s="159"/>
      <c r="CM7" s="159"/>
      <c r="CN7" s="159"/>
      <c r="CO7" s="159"/>
      <c r="CP7" s="159"/>
      <c r="CQ7" s="159"/>
      <c r="CR7" s="159"/>
      <c r="CS7" s="159"/>
      <c r="CT7" s="159"/>
      <c r="CU7" s="159"/>
      <c r="CV7" s="159"/>
      <c r="CW7" s="159"/>
      <c r="CX7" s="159"/>
      <c r="CY7" s="159"/>
      <c r="CZ7" s="159"/>
      <c r="DA7" s="159"/>
      <c r="DB7" s="159"/>
      <c r="DC7" s="159"/>
      <c r="DD7" s="159"/>
      <c r="DE7" s="159"/>
      <c r="DF7" s="159"/>
      <c r="DG7" s="159"/>
      <c r="DH7" s="159"/>
      <c r="DI7" s="159"/>
      <c r="DJ7" s="159"/>
      <c r="DK7" s="159"/>
      <c r="DL7" s="159"/>
      <c r="DM7" s="159"/>
      <c r="DN7" s="159"/>
      <c r="DO7" s="159"/>
      <c r="DP7" s="159"/>
      <c r="DQ7" s="159"/>
      <c r="DR7" s="159"/>
      <c r="DS7" s="159"/>
      <c r="DT7" s="159"/>
      <c r="DU7" s="159"/>
      <c r="DV7" s="159"/>
      <c r="DW7" s="159"/>
      <c r="DX7" s="159"/>
      <c r="DY7" s="159"/>
      <c r="DZ7" s="159"/>
      <c r="EA7" s="159"/>
      <c r="EB7" s="159"/>
      <c r="EC7" s="159"/>
      <c r="ED7" s="159"/>
      <c r="EE7" s="159"/>
      <c r="EF7" s="159"/>
      <c r="EG7" s="159"/>
      <c r="EH7" s="159"/>
      <c r="EI7" s="159"/>
      <c r="EJ7" s="159"/>
      <c r="EK7" s="159"/>
      <c r="EL7" s="159"/>
      <c r="EM7" s="159"/>
      <c r="EN7" s="159"/>
      <c r="EO7" s="159"/>
      <c r="EP7" s="159"/>
      <c r="EQ7" s="159"/>
      <c r="ER7" s="159"/>
      <c r="ES7" s="159"/>
      <c r="ET7" s="159"/>
      <c r="EU7" s="159"/>
      <c r="EV7" s="159"/>
      <c r="EW7" s="159"/>
      <c r="EX7" s="159"/>
      <c r="EY7" s="159"/>
      <c r="EZ7" s="159"/>
      <c r="FA7" s="159"/>
      <c r="FB7" s="159"/>
      <c r="FC7" s="159"/>
      <c r="FD7" s="159"/>
      <c r="FE7" s="159"/>
      <c r="FF7" s="159"/>
      <c r="FG7" s="159"/>
      <c r="FH7" s="159"/>
      <c r="FI7" s="159"/>
      <c r="FJ7" s="159"/>
      <c r="FK7" s="159"/>
      <c r="FL7" s="159"/>
      <c r="FM7" s="159"/>
      <c r="FN7" s="159"/>
      <c r="FO7" s="159"/>
      <c r="FP7" s="159"/>
    </row>
    <row r="8" spans="1:214" s="160" customFormat="1" ht="30.75" customHeight="1" x14ac:dyDescent="0.25">
      <c r="A8" s="167" t="s">
        <v>16</v>
      </c>
      <c r="B8" s="168">
        <f>B6-B7</f>
        <v>4215</v>
      </c>
      <c r="C8" s="155"/>
      <c r="D8" s="155"/>
      <c r="E8" s="162"/>
      <c r="F8" s="167" t="s">
        <v>16</v>
      </c>
      <c r="G8" s="168">
        <f>G6-G7</f>
        <v>0</v>
      </c>
      <c r="H8" s="155"/>
      <c r="I8" s="156"/>
      <c r="J8" s="156"/>
      <c r="K8" s="156"/>
      <c r="L8" s="156"/>
      <c r="M8" s="156"/>
      <c r="N8" s="156"/>
      <c r="O8" s="156"/>
      <c r="P8" s="157"/>
      <c r="Q8" s="158"/>
      <c r="R8" s="158"/>
      <c r="S8" s="158"/>
      <c r="T8" s="158"/>
      <c r="U8" s="158"/>
      <c r="V8" s="158"/>
      <c r="W8" s="158"/>
      <c r="X8" s="159"/>
      <c r="Y8" s="159"/>
      <c r="Z8" s="159"/>
      <c r="AA8" s="159"/>
      <c r="AB8" s="159"/>
      <c r="AC8" s="159"/>
      <c r="AD8" s="159"/>
      <c r="AE8" s="159"/>
      <c r="AF8" s="159"/>
      <c r="AG8" s="159"/>
      <c r="AH8" s="159"/>
      <c r="AI8" s="159"/>
      <c r="AJ8" s="159"/>
      <c r="AK8" s="159"/>
      <c r="AL8" s="159"/>
      <c r="AM8" s="159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59"/>
      <c r="BA8" s="159"/>
      <c r="BB8" s="159"/>
      <c r="BC8" s="159"/>
      <c r="BD8" s="159"/>
      <c r="BE8" s="159"/>
      <c r="BF8" s="159"/>
      <c r="BG8" s="159"/>
      <c r="BH8" s="159"/>
      <c r="BI8" s="159"/>
      <c r="BJ8" s="159"/>
      <c r="BK8" s="159"/>
      <c r="BL8" s="159"/>
      <c r="BM8" s="159"/>
      <c r="BN8" s="159"/>
      <c r="BO8" s="159"/>
      <c r="BP8" s="159"/>
      <c r="BQ8" s="159"/>
      <c r="BR8" s="159"/>
      <c r="BS8" s="159"/>
      <c r="BT8" s="159"/>
      <c r="BU8" s="159"/>
      <c r="BV8" s="159"/>
      <c r="BW8" s="159"/>
      <c r="BX8" s="159"/>
      <c r="BY8" s="159"/>
      <c r="BZ8" s="159"/>
      <c r="CA8" s="159"/>
      <c r="CB8" s="159"/>
      <c r="CC8" s="159"/>
      <c r="CD8" s="159"/>
      <c r="CE8" s="159"/>
      <c r="CF8" s="159"/>
      <c r="CG8" s="159"/>
      <c r="CH8" s="159"/>
      <c r="CI8" s="159"/>
      <c r="CJ8" s="159"/>
      <c r="CK8" s="159"/>
      <c r="CL8" s="159"/>
      <c r="CM8" s="159"/>
      <c r="CN8" s="159"/>
      <c r="CO8" s="159"/>
      <c r="CP8" s="159"/>
      <c r="CQ8" s="159"/>
      <c r="CR8" s="159"/>
      <c r="CS8" s="159"/>
      <c r="CT8" s="159"/>
      <c r="CU8" s="159"/>
      <c r="CV8" s="159"/>
      <c r="CW8" s="159"/>
      <c r="CX8" s="159"/>
      <c r="CY8" s="159"/>
      <c r="CZ8" s="159"/>
      <c r="DA8" s="159"/>
      <c r="DB8" s="159"/>
      <c r="DC8" s="159"/>
      <c r="DD8" s="159"/>
      <c r="DE8" s="159"/>
      <c r="DF8" s="159"/>
      <c r="DG8" s="159"/>
      <c r="DH8" s="159"/>
      <c r="DI8" s="159"/>
      <c r="DJ8" s="159"/>
      <c r="DK8" s="159"/>
      <c r="DL8" s="159"/>
      <c r="DM8" s="159"/>
      <c r="DN8" s="159"/>
      <c r="DO8" s="159"/>
      <c r="DP8" s="159"/>
      <c r="DQ8" s="159"/>
      <c r="DR8" s="159"/>
      <c r="DS8" s="159"/>
      <c r="DT8" s="159"/>
      <c r="DU8" s="159"/>
      <c r="DV8" s="159"/>
      <c r="DW8" s="159"/>
      <c r="DX8" s="159"/>
      <c r="DY8" s="159"/>
      <c r="DZ8" s="159"/>
      <c r="EA8" s="159"/>
      <c r="EB8" s="159"/>
      <c r="EC8" s="159"/>
      <c r="ED8" s="159"/>
      <c r="EE8" s="159"/>
      <c r="EF8" s="159"/>
      <c r="EG8" s="159"/>
      <c r="EH8" s="159"/>
      <c r="EI8" s="159"/>
      <c r="EJ8" s="159"/>
      <c r="EK8" s="159"/>
      <c r="EL8" s="159"/>
      <c r="EM8" s="159"/>
      <c r="EN8" s="159"/>
      <c r="EO8" s="159"/>
      <c r="EP8" s="159"/>
      <c r="EQ8" s="159"/>
      <c r="ER8" s="159"/>
      <c r="ES8" s="159"/>
      <c r="ET8" s="159"/>
      <c r="EU8" s="159"/>
      <c r="EV8" s="159"/>
      <c r="EW8" s="159"/>
      <c r="EX8" s="159"/>
      <c r="EY8" s="159"/>
      <c r="EZ8" s="159"/>
      <c r="FA8" s="159"/>
      <c r="FB8" s="159"/>
      <c r="FC8" s="159"/>
      <c r="FD8" s="159"/>
      <c r="FE8" s="159"/>
      <c r="FF8" s="159"/>
      <c r="FG8" s="159"/>
      <c r="FH8" s="159"/>
      <c r="FI8" s="159"/>
      <c r="FJ8" s="159"/>
      <c r="FK8" s="159"/>
      <c r="FL8" s="159"/>
      <c r="FM8" s="159"/>
      <c r="FN8" s="159"/>
      <c r="FO8" s="159"/>
      <c r="FP8" s="159"/>
    </row>
    <row r="9" spans="1:214" s="160" customFormat="1" ht="30.75" customHeight="1" x14ac:dyDescent="0.25">
      <c r="A9" s="173" t="s">
        <v>85</v>
      </c>
      <c r="B9" s="174">
        <f>B5 + B8</f>
        <v>34715</v>
      </c>
      <c r="C9" s="156"/>
      <c r="D9" s="156"/>
      <c r="E9" s="162"/>
      <c r="F9" s="173" t="s">
        <v>85</v>
      </c>
      <c r="G9" s="174">
        <f>G5 + G8</f>
        <v>35007</v>
      </c>
      <c r="H9" s="156"/>
      <c r="I9" s="156"/>
      <c r="J9" s="156"/>
      <c r="K9" s="156"/>
      <c r="L9" s="156"/>
      <c r="M9" s="156"/>
      <c r="N9" s="156"/>
      <c r="O9" s="156"/>
      <c r="P9" s="157"/>
      <c r="Q9" s="158"/>
      <c r="R9" s="158"/>
      <c r="S9" s="158"/>
      <c r="T9" s="158"/>
      <c r="U9" s="158"/>
      <c r="V9" s="158"/>
      <c r="W9" s="158"/>
      <c r="X9" s="159"/>
      <c r="Y9" s="159"/>
      <c r="Z9" s="159"/>
      <c r="AA9" s="159"/>
      <c r="AB9" s="159"/>
      <c r="AC9" s="159"/>
      <c r="AD9" s="159"/>
      <c r="AE9" s="159"/>
      <c r="AF9" s="159"/>
      <c r="AG9" s="159"/>
      <c r="AH9" s="159"/>
      <c r="AI9" s="159"/>
      <c r="AJ9" s="159"/>
      <c r="AK9" s="159"/>
      <c r="AL9" s="159"/>
      <c r="AM9" s="159"/>
      <c r="AN9" s="159"/>
      <c r="AO9" s="159"/>
      <c r="AP9" s="159"/>
      <c r="AQ9" s="159"/>
      <c r="AR9" s="159"/>
      <c r="AS9" s="159"/>
      <c r="AT9" s="159"/>
      <c r="AU9" s="159"/>
      <c r="AV9" s="159"/>
      <c r="AW9" s="159"/>
      <c r="AX9" s="159"/>
      <c r="AY9" s="159"/>
      <c r="AZ9" s="159"/>
      <c r="BA9" s="159"/>
      <c r="BB9" s="159"/>
      <c r="BC9" s="159"/>
      <c r="BD9" s="159"/>
      <c r="BE9" s="159"/>
      <c r="BF9" s="159"/>
      <c r="BG9" s="159"/>
      <c r="BH9" s="159"/>
      <c r="BI9" s="159"/>
      <c r="BJ9" s="159"/>
      <c r="BK9" s="159"/>
      <c r="BL9" s="159"/>
      <c r="BM9" s="159"/>
      <c r="BN9" s="159"/>
      <c r="BO9" s="159"/>
      <c r="BP9" s="159"/>
      <c r="BQ9" s="159"/>
      <c r="BR9" s="159"/>
      <c r="BS9" s="159"/>
      <c r="BT9" s="159"/>
      <c r="BU9" s="159"/>
      <c r="BV9" s="159"/>
      <c r="BW9" s="159"/>
      <c r="BX9" s="159"/>
      <c r="BY9" s="159"/>
      <c r="BZ9" s="159"/>
      <c r="CA9" s="159"/>
      <c r="CB9" s="159"/>
      <c r="CC9" s="159"/>
      <c r="CD9" s="159"/>
      <c r="CE9" s="159"/>
      <c r="CF9" s="159"/>
      <c r="CG9" s="159"/>
      <c r="CH9" s="159"/>
      <c r="CI9" s="159"/>
      <c r="CJ9" s="159"/>
      <c r="CK9" s="159"/>
      <c r="CL9" s="159"/>
      <c r="CM9" s="159"/>
      <c r="CN9" s="159"/>
      <c r="CO9" s="159"/>
      <c r="CP9" s="159"/>
      <c r="CQ9" s="159"/>
      <c r="CR9" s="159"/>
      <c r="CS9" s="159"/>
      <c r="CT9" s="159"/>
      <c r="CU9" s="159"/>
      <c r="CV9" s="159"/>
      <c r="CW9" s="159"/>
      <c r="CX9" s="159"/>
      <c r="CY9" s="159"/>
      <c r="CZ9" s="159"/>
      <c r="DA9" s="159"/>
      <c r="DB9" s="159"/>
      <c r="DC9" s="159"/>
      <c r="DD9" s="159"/>
      <c r="DE9" s="159"/>
      <c r="DF9" s="159"/>
      <c r="DG9" s="159"/>
      <c r="DH9" s="159"/>
      <c r="DI9" s="159"/>
      <c r="DJ9" s="159"/>
      <c r="DK9" s="159"/>
      <c r="DL9" s="159"/>
      <c r="DM9" s="159"/>
      <c r="DN9" s="159"/>
      <c r="DO9" s="159"/>
      <c r="DP9" s="159"/>
      <c r="DQ9" s="159"/>
      <c r="DR9" s="159"/>
      <c r="DS9" s="159"/>
      <c r="DT9" s="159"/>
      <c r="DU9" s="159"/>
      <c r="DV9" s="159"/>
      <c r="DW9" s="159"/>
      <c r="DX9" s="159"/>
      <c r="DY9" s="159"/>
      <c r="DZ9" s="159"/>
      <c r="EA9" s="159"/>
      <c r="EB9" s="159"/>
      <c r="EC9" s="159"/>
      <c r="ED9" s="159"/>
      <c r="EE9" s="159"/>
      <c r="EF9" s="159"/>
      <c r="EG9" s="159"/>
      <c r="EH9" s="159"/>
      <c r="EI9" s="159"/>
      <c r="EJ9" s="159"/>
      <c r="EK9" s="159"/>
      <c r="EL9" s="159"/>
      <c r="EM9" s="159"/>
      <c r="EN9" s="159"/>
      <c r="EO9" s="159"/>
      <c r="EP9" s="159"/>
      <c r="EQ9" s="159"/>
      <c r="ER9" s="159"/>
      <c r="ES9" s="159"/>
      <c r="ET9" s="159"/>
      <c r="EU9" s="159"/>
      <c r="EV9" s="159"/>
      <c r="EW9" s="159"/>
      <c r="EX9" s="159"/>
      <c r="EY9" s="159"/>
      <c r="EZ9" s="159"/>
      <c r="FA9" s="159"/>
      <c r="FB9" s="159"/>
      <c r="FC9" s="159"/>
      <c r="FD9" s="159"/>
      <c r="FE9" s="159"/>
      <c r="FF9" s="159"/>
      <c r="FG9" s="159"/>
      <c r="FH9" s="159"/>
      <c r="FI9" s="159"/>
      <c r="FJ9" s="159"/>
      <c r="FK9" s="159"/>
      <c r="FL9" s="159"/>
      <c r="FM9" s="159"/>
      <c r="FN9" s="159"/>
      <c r="FO9" s="159"/>
      <c r="FP9" s="159"/>
    </row>
    <row r="10" spans="1:214" s="103" customFormat="1" x14ac:dyDescent="0.25">
      <c r="A10" s="120"/>
      <c r="B10" s="114"/>
      <c r="C10" s="114"/>
      <c r="D10" s="114"/>
      <c r="E10" s="121"/>
      <c r="K10" s="114"/>
      <c r="L10" s="114"/>
      <c r="M10" s="114"/>
      <c r="N10" s="114"/>
      <c r="O10" s="114"/>
      <c r="P10" s="115"/>
      <c r="Q10" s="116"/>
      <c r="R10" s="116"/>
      <c r="S10" s="116"/>
      <c r="T10" s="116"/>
      <c r="U10" s="116"/>
      <c r="V10" s="116"/>
      <c r="W10" s="116"/>
      <c r="X10" s="116"/>
      <c r="Y10" s="116"/>
      <c r="Z10" s="116"/>
      <c r="AA10" s="116"/>
      <c r="AB10" s="116"/>
      <c r="AC10" s="116"/>
      <c r="AD10" s="116"/>
      <c r="AE10" s="116"/>
      <c r="AF10" s="116"/>
      <c r="AG10" s="116"/>
      <c r="AH10" s="116"/>
      <c r="AI10" s="116"/>
      <c r="AJ10" s="116"/>
      <c r="AK10" s="116"/>
      <c r="AL10" s="116"/>
      <c r="AM10" s="116"/>
      <c r="AN10" s="116"/>
      <c r="AO10" s="116"/>
      <c r="AP10" s="116"/>
      <c r="AQ10" s="116"/>
      <c r="AR10" s="116"/>
      <c r="AS10" s="116"/>
      <c r="AT10" s="116"/>
      <c r="AU10" s="116"/>
      <c r="AV10" s="116"/>
      <c r="AW10" s="116"/>
      <c r="AX10" s="116"/>
      <c r="AY10" s="116"/>
      <c r="AZ10" s="116"/>
      <c r="BA10" s="116"/>
      <c r="BB10" s="116"/>
      <c r="BC10" s="116"/>
      <c r="BD10" s="116"/>
      <c r="BE10" s="116"/>
      <c r="BF10" s="116"/>
      <c r="BG10" s="116"/>
      <c r="BH10" s="116"/>
      <c r="BI10" s="116"/>
      <c r="BJ10" s="116"/>
      <c r="BK10" s="116"/>
      <c r="BL10" s="116"/>
      <c r="BM10" s="116"/>
      <c r="BN10" s="116"/>
      <c r="BO10" s="116"/>
      <c r="BP10" s="116"/>
      <c r="BQ10" s="116"/>
      <c r="BR10" s="116"/>
      <c r="BS10" s="116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  <c r="CS10" s="116"/>
      <c r="CT10" s="116"/>
      <c r="CU10" s="116"/>
      <c r="CV10" s="116"/>
      <c r="CW10" s="116"/>
      <c r="CX10" s="116"/>
      <c r="CY10" s="116"/>
      <c r="CZ10" s="116"/>
      <c r="DA10" s="116"/>
      <c r="DB10" s="116"/>
      <c r="DC10" s="116"/>
      <c r="DD10" s="116"/>
      <c r="DE10" s="116"/>
      <c r="DF10" s="116"/>
      <c r="DG10" s="116"/>
      <c r="DH10" s="116"/>
      <c r="DI10" s="116"/>
      <c r="DJ10" s="116"/>
      <c r="DK10" s="116"/>
      <c r="DL10" s="116"/>
      <c r="DM10" s="116"/>
      <c r="DN10" s="116"/>
      <c r="DO10" s="116"/>
      <c r="DP10" s="116"/>
      <c r="DQ10" s="116"/>
      <c r="DR10" s="116"/>
      <c r="DS10" s="116"/>
      <c r="DT10" s="116"/>
      <c r="DU10" s="116"/>
      <c r="DV10" s="116"/>
      <c r="DW10" s="116"/>
      <c r="DX10" s="116"/>
      <c r="DY10" s="116"/>
      <c r="DZ10" s="116"/>
      <c r="EA10" s="116"/>
      <c r="EB10" s="116"/>
      <c r="EC10" s="116"/>
      <c r="ED10" s="116"/>
      <c r="EE10" s="116"/>
      <c r="EF10" s="116"/>
      <c r="EG10" s="116"/>
      <c r="EH10" s="116"/>
      <c r="EI10" s="116"/>
      <c r="EJ10" s="116"/>
      <c r="EK10" s="116"/>
      <c r="EL10" s="116"/>
      <c r="EM10" s="116"/>
      <c r="EN10" s="116"/>
      <c r="EO10" s="116"/>
      <c r="EP10" s="116"/>
      <c r="EQ10" s="116"/>
      <c r="ER10" s="116"/>
      <c r="ES10" s="116"/>
      <c r="ET10" s="116"/>
      <c r="EU10" s="116"/>
      <c r="EV10" s="116"/>
      <c r="EW10" s="116"/>
      <c r="EX10" s="116"/>
      <c r="EY10" s="116"/>
      <c r="EZ10" s="116"/>
      <c r="FA10" s="116"/>
      <c r="FB10" s="116"/>
      <c r="FC10" s="116"/>
      <c r="FD10" s="116"/>
      <c r="FE10" s="116"/>
      <c r="FF10" s="116"/>
      <c r="FG10" s="116"/>
      <c r="FH10" s="116"/>
      <c r="FI10" s="116"/>
      <c r="FJ10" s="116"/>
      <c r="FK10" s="116"/>
      <c r="FL10" s="116"/>
      <c r="FM10" s="116"/>
      <c r="FN10" s="116"/>
      <c r="FO10" s="116"/>
      <c r="FP10" s="116"/>
    </row>
    <row r="11" spans="1:214" x14ac:dyDescent="0.25">
      <c r="A11" s="129" t="s">
        <v>104</v>
      </c>
      <c r="B11" s="125" t="s">
        <v>90</v>
      </c>
      <c r="C11" s="126" t="s">
        <v>89</v>
      </c>
      <c r="D11" s="127" t="s">
        <v>15</v>
      </c>
      <c r="E11" s="128" t="s">
        <v>92</v>
      </c>
      <c r="F11" s="129" t="s">
        <v>104</v>
      </c>
      <c r="G11" s="125" t="s">
        <v>90</v>
      </c>
      <c r="H11" s="126" t="s">
        <v>89</v>
      </c>
      <c r="I11" s="127" t="s">
        <v>15</v>
      </c>
      <c r="J11" s="128" t="s">
        <v>92</v>
      </c>
      <c r="K11" s="97"/>
      <c r="L11" s="97"/>
      <c r="M11" s="97"/>
      <c r="N11" s="97"/>
      <c r="O11" s="97"/>
      <c r="P11" s="108"/>
      <c r="Q11" s="111"/>
      <c r="R11" s="111"/>
      <c r="S11" s="111"/>
      <c r="T11" s="111"/>
      <c r="U11" s="111"/>
      <c r="V11" s="111"/>
      <c r="W11" s="111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</row>
    <row r="12" spans="1:214" s="14" customFormat="1" x14ac:dyDescent="0.25">
      <c r="A12" s="151">
        <v>43585.259375000001</v>
      </c>
      <c r="B12" s="4">
        <v>20000</v>
      </c>
      <c r="C12" s="5"/>
      <c r="D12" s="122"/>
      <c r="E12" s="123"/>
      <c r="F12" s="151">
        <v>43585.259375000001</v>
      </c>
      <c r="G12" s="4">
        <v>20000</v>
      </c>
      <c r="H12" s="5"/>
      <c r="I12" s="97"/>
      <c r="J12" s="97"/>
      <c r="K12" s="97"/>
      <c r="L12" s="97"/>
      <c r="M12" s="97"/>
      <c r="N12" s="97"/>
      <c r="O12" s="97"/>
      <c r="P12" s="108"/>
      <c r="Q12" s="111"/>
      <c r="R12" s="111"/>
      <c r="S12" s="111"/>
      <c r="T12" s="111"/>
      <c r="U12" s="111"/>
      <c r="V12" s="111"/>
      <c r="W12" s="111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  <c r="AN12" s="112"/>
      <c r="AO12" s="112"/>
      <c r="AP12" s="112"/>
      <c r="AQ12" s="112"/>
      <c r="AR12" s="112"/>
      <c r="AS12" s="112"/>
      <c r="AT12" s="112"/>
      <c r="AU12" s="112"/>
      <c r="AV12" s="112"/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  <c r="BL12" s="112"/>
      <c r="BM12" s="112"/>
      <c r="BN12" s="112"/>
      <c r="BO12" s="112"/>
      <c r="BP12" s="112"/>
      <c r="BQ12" s="112"/>
      <c r="BR12" s="112"/>
      <c r="BS12" s="112"/>
      <c r="BT12" s="112"/>
      <c r="BU12" s="112"/>
      <c r="BV12" s="112"/>
      <c r="BW12" s="112"/>
      <c r="BX12" s="112"/>
      <c r="BY12" s="112"/>
      <c r="BZ12" s="112"/>
      <c r="CA12" s="112"/>
      <c r="CB12" s="112"/>
      <c r="CC12" s="112"/>
      <c r="CD12" s="112"/>
      <c r="CE12" s="112"/>
      <c r="CF12" s="112"/>
      <c r="CG12" s="112"/>
      <c r="CH12" s="112"/>
      <c r="CI12" s="112"/>
      <c r="CJ12" s="112"/>
      <c r="CK12" s="112"/>
      <c r="CL12" s="112"/>
      <c r="CM12" s="112"/>
      <c r="CN12" s="112"/>
      <c r="CO12" s="112"/>
      <c r="CP12" s="112"/>
      <c r="CQ12" s="112"/>
      <c r="CR12" s="112"/>
      <c r="CS12" s="112"/>
      <c r="CT12" s="112"/>
      <c r="CU12" s="112"/>
      <c r="CV12" s="112"/>
      <c r="CW12" s="112"/>
      <c r="CX12" s="112"/>
      <c r="CY12" s="112"/>
      <c r="CZ12" s="112"/>
      <c r="DA12" s="112"/>
      <c r="DB12" s="112"/>
      <c r="DC12" s="112"/>
      <c r="DD12" s="112"/>
      <c r="DE12" s="112"/>
      <c r="DF12" s="112"/>
      <c r="DG12" s="112"/>
      <c r="DH12" s="112"/>
      <c r="DI12" s="112"/>
      <c r="DJ12" s="112"/>
      <c r="DK12" s="112"/>
      <c r="DL12" s="112"/>
      <c r="DM12" s="112"/>
      <c r="DN12" s="112"/>
      <c r="DO12" s="112"/>
      <c r="DP12" s="112"/>
      <c r="DQ12" s="112"/>
      <c r="DR12" s="112"/>
      <c r="DS12" s="112"/>
      <c r="DT12" s="112"/>
      <c r="DU12" s="112"/>
      <c r="DV12" s="112"/>
      <c r="DW12" s="112"/>
      <c r="DX12" s="112"/>
      <c r="DY12" s="112"/>
      <c r="DZ12" s="112"/>
      <c r="EA12" s="112"/>
      <c r="EB12" s="112"/>
      <c r="EC12" s="112"/>
      <c r="ED12" s="112"/>
      <c r="EE12" s="112"/>
      <c r="EF12" s="112"/>
      <c r="EG12" s="112"/>
      <c r="EH12" s="112"/>
      <c r="EI12" s="112"/>
      <c r="EJ12" s="112"/>
      <c r="EK12" s="112"/>
      <c r="EL12" s="112"/>
      <c r="EM12" s="112"/>
      <c r="EN12" s="112"/>
      <c r="EO12" s="112"/>
      <c r="EP12" s="112"/>
      <c r="EQ12" s="112"/>
      <c r="ER12" s="112"/>
      <c r="ES12" s="112"/>
      <c r="ET12" s="112"/>
      <c r="EU12" s="112"/>
      <c r="EV12" s="112"/>
      <c r="EW12" s="112"/>
      <c r="EX12" s="112"/>
      <c r="EY12" s="112"/>
      <c r="EZ12" s="112"/>
      <c r="FA12" s="112"/>
      <c r="FB12" s="112"/>
      <c r="FC12" s="112"/>
      <c r="FD12" s="112"/>
      <c r="FE12" s="112"/>
      <c r="FF12" s="112"/>
      <c r="FG12" s="112"/>
      <c r="FH12" s="112"/>
      <c r="FI12" s="112"/>
      <c r="FJ12" s="112"/>
      <c r="FK12" s="112"/>
      <c r="FL12" s="112"/>
      <c r="FM12" s="112"/>
      <c r="FN12" s="112"/>
      <c r="FO12" s="112"/>
      <c r="FP12" s="112"/>
    </row>
    <row r="13" spans="1:214" x14ac:dyDescent="0.25">
      <c r="A13" s="151">
        <v>43600.259398148148</v>
      </c>
      <c r="B13" s="4">
        <v>0</v>
      </c>
      <c r="C13" s="4">
        <v>1000</v>
      </c>
      <c r="D13" s="122">
        <f>(B12-C12)*0.03</f>
        <v>600</v>
      </c>
      <c r="E13" s="123">
        <v>600</v>
      </c>
      <c r="F13" s="151">
        <v>43600.259398148148</v>
      </c>
      <c r="G13" s="4"/>
      <c r="H13" s="4"/>
      <c r="I13" s="97">
        <v>600</v>
      </c>
      <c r="J13" s="97">
        <v>600</v>
      </c>
      <c r="K13" s="97"/>
      <c r="L13" s="97"/>
      <c r="M13" s="97"/>
      <c r="N13" s="97"/>
      <c r="O13" s="97"/>
      <c r="P13" s="108"/>
      <c r="Q13" s="111"/>
      <c r="R13" s="111"/>
      <c r="S13" s="111"/>
      <c r="T13" s="111"/>
      <c r="U13" s="111"/>
      <c r="V13" s="111"/>
      <c r="W13" s="111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</row>
    <row r="14" spans="1:214" x14ac:dyDescent="0.25">
      <c r="A14" s="151">
        <v>43615.259699074071</v>
      </c>
      <c r="B14" s="4">
        <v>0</v>
      </c>
      <c r="C14" s="4">
        <v>1000</v>
      </c>
      <c r="D14" s="122">
        <f>(B12-C13)*0.03</f>
        <v>570</v>
      </c>
      <c r="E14" s="123">
        <v>570</v>
      </c>
      <c r="F14" s="151">
        <v>43615.259699074071</v>
      </c>
      <c r="G14" s="4"/>
      <c r="H14" s="4"/>
      <c r="I14" s="97"/>
      <c r="J14" s="97"/>
      <c r="K14" s="97"/>
      <c r="L14" s="97"/>
      <c r="M14" s="97"/>
      <c r="N14" s="97"/>
      <c r="O14" s="97"/>
      <c r="P14" s="108"/>
      <c r="Q14" s="111"/>
      <c r="R14" s="111"/>
      <c r="S14" s="111"/>
      <c r="T14" s="111"/>
      <c r="U14" s="111"/>
      <c r="V14" s="111"/>
      <c r="W14" s="111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</row>
    <row r="15" spans="1:214" x14ac:dyDescent="0.25">
      <c r="A15" s="151">
        <v>43600.259398148148</v>
      </c>
      <c r="B15" s="4">
        <v>0</v>
      </c>
      <c r="C15" s="4">
        <v>1000</v>
      </c>
      <c r="D15" s="122">
        <f>D14-(C14*0.03)</f>
        <v>540</v>
      </c>
      <c r="E15" s="123"/>
      <c r="F15" s="151">
        <v>43600.259398148148</v>
      </c>
      <c r="G15" s="4"/>
      <c r="H15" s="4"/>
      <c r="I15" s="97">
        <v>600</v>
      </c>
      <c r="J15" s="97">
        <v>600</v>
      </c>
      <c r="K15" s="97"/>
      <c r="L15" s="97"/>
      <c r="M15" s="97"/>
      <c r="N15" s="97"/>
      <c r="O15" s="97"/>
      <c r="P15" s="108"/>
      <c r="Q15" s="111"/>
      <c r="R15" s="111"/>
      <c r="S15" s="111"/>
      <c r="T15" s="111"/>
      <c r="U15" s="111"/>
      <c r="V15" s="111"/>
      <c r="W15" s="111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</row>
    <row r="16" spans="1:214" x14ac:dyDescent="0.25">
      <c r="A16" s="151">
        <v>43615.259699074071</v>
      </c>
      <c r="B16" s="4">
        <v>0</v>
      </c>
      <c r="C16" s="4">
        <v>1000</v>
      </c>
      <c r="D16" s="122">
        <f>D15-(C15*0.03)</f>
        <v>510</v>
      </c>
      <c r="E16" s="123"/>
      <c r="F16" s="151">
        <v>43615.259699074071</v>
      </c>
      <c r="G16" s="4"/>
      <c r="H16" s="4"/>
      <c r="I16" s="97">
        <v>600</v>
      </c>
      <c r="J16" s="97">
        <v>600</v>
      </c>
      <c r="K16" s="97"/>
      <c r="L16" s="97"/>
      <c r="M16" s="97"/>
      <c r="N16" s="97"/>
      <c r="O16" s="97"/>
      <c r="P16" s="108"/>
      <c r="Q16" s="111"/>
      <c r="R16" s="111"/>
      <c r="S16" s="111"/>
      <c r="T16" s="111"/>
      <c r="U16" s="111"/>
      <c r="V16" s="111"/>
      <c r="W16" s="111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</row>
    <row r="17" spans="1:214" x14ac:dyDescent="0.25">
      <c r="A17" s="151">
        <v>43600.259398148148</v>
      </c>
      <c r="B17" s="4">
        <v>0</v>
      </c>
      <c r="C17" s="4">
        <v>1000</v>
      </c>
      <c r="D17" s="122">
        <v>540</v>
      </c>
      <c r="E17" s="123"/>
      <c r="F17" s="151">
        <v>43600.259398148148</v>
      </c>
      <c r="G17" s="4"/>
      <c r="H17" s="4"/>
      <c r="I17" s="97">
        <v>600</v>
      </c>
      <c r="J17" s="97">
        <v>600</v>
      </c>
      <c r="K17" s="97"/>
      <c r="L17" s="97"/>
      <c r="M17" s="97"/>
      <c r="N17" s="97"/>
      <c r="O17" s="97"/>
      <c r="P17" s="108"/>
      <c r="Q17" s="111"/>
      <c r="R17" s="111"/>
      <c r="S17" s="111"/>
      <c r="T17" s="111"/>
      <c r="U17" s="111"/>
      <c r="V17" s="111"/>
      <c r="W17" s="111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</row>
    <row r="18" spans="1:214" x14ac:dyDescent="0.25">
      <c r="A18" s="151">
        <v>43615.259699074071</v>
      </c>
      <c r="B18" s="5">
        <v>0</v>
      </c>
      <c r="C18" s="4">
        <v>1000</v>
      </c>
      <c r="D18" s="122">
        <f>D17-(C17*0.03)</f>
        <v>510</v>
      </c>
      <c r="E18" s="123"/>
      <c r="F18" s="151">
        <v>43615.259699074071</v>
      </c>
      <c r="G18" s="4"/>
      <c r="H18" s="4"/>
      <c r="I18" s="97"/>
      <c r="J18" s="97"/>
      <c r="K18" s="97"/>
      <c r="L18" s="97"/>
      <c r="M18" s="97"/>
      <c r="N18" s="97"/>
      <c r="O18" s="97"/>
      <c r="P18" s="108"/>
      <c r="Q18" s="111"/>
      <c r="R18" s="111"/>
      <c r="S18" s="111"/>
      <c r="T18" s="111"/>
      <c r="U18" s="111"/>
      <c r="V18" s="111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</row>
    <row r="19" spans="1:214" x14ac:dyDescent="0.25">
      <c r="A19" s="151">
        <v>43600.259398148148</v>
      </c>
      <c r="B19" s="5">
        <v>0</v>
      </c>
      <c r="C19" s="4">
        <v>1000</v>
      </c>
      <c r="D19" s="122">
        <f>D18-(C18*0.03)</f>
        <v>480</v>
      </c>
      <c r="E19" s="123"/>
      <c r="F19" s="151">
        <v>43600.259398148148</v>
      </c>
      <c r="G19" s="4"/>
      <c r="H19" s="4"/>
      <c r="I19" s="97"/>
      <c r="J19" s="97"/>
      <c r="K19" s="97"/>
      <c r="L19" s="97"/>
      <c r="M19" s="97"/>
      <c r="N19" s="97"/>
      <c r="O19" s="97"/>
      <c r="P19" s="108"/>
      <c r="Q19" s="111"/>
      <c r="R19" s="111"/>
      <c r="S19" s="111"/>
      <c r="T19" s="111"/>
      <c r="U19" s="111"/>
      <c r="V19" s="111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</row>
    <row r="20" spans="1:214" x14ac:dyDescent="0.25">
      <c r="A20" s="151">
        <v>43615.259699074071</v>
      </c>
      <c r="B20" s="5">
        <v>0</v>
      </c>
      <c r="C20" s="4">
        <v>500</v>
      </c>
      <c r="D20" s="122">
        <f>D19-(C19*0.03)</f>
        <v>450</v>
      </c>
      <c r="E20" s="123"/>
      <c r="F20" s="151">
        <v>43615.259699074071</v>
      </c>
      <c r="G20" s="5">
        <v>0</v>
      </c>
      <c r="H20" s="4">
        <v>5000</v>
      </c>
      <c r="I20" s="97"/>
      <c r="J20" s="97"/>
      <c r="K20" s="97"/>
      <c r="L20" s="97"/>
      <c r="M20" s="97"/>
      <c r="N20" s="97"/>
      <c r="O20" s="97"/>
      <c r="P20" s="108"/>
      <c r="Q20" s="111"/>
      <c r="R20" s="111"/>
      <c r="S20" s="111"/>
      <c r="T20" s="111"/>
      <c r="U20" s="111"/>
      <c r="V20" s="111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</row>
    <row r="21" spans="1:214" x14ac:dyDescent="0.25">
      <c r="A21" s="151">
        <v>43600.259398148148</v>
      </c>
      <c r="B21" s="5">
        <v>0</v>
      </c>
      <c r="C21" s="4">
        <v>2000</v>
      </c>
      <c r="D21" s="122">
        <f>D20-(C20*0.03)</f>
        <v>435</v>
      </c>
      <c r="E21" s="123"/>
      <c r="F21" s="151">
        <v>43600.259398148148</v>
      </c>
      <c r="G21" s="5">
        <v>0</v>
      </c>
      <c r="H21" s="4"/>
      <c r="I21" s="97">
        <v>450</v>
      </c>
      <c r="J21" s="97">
        <v>450</v>
      </c>
      <c r="K21" s="97"/>
      <c r="L21" s="97"/>
      <c r="M21" s="97"/>
      <c r="N21" s="97"/>
      <c r="O21" s="97"/>
      <c r="P21" s="108"/>
      <c r="Q21" s="111"/>
      <c r="R21" s="111"/>
      <c r="S21" s="111"/>
      <c r="T21" s="111"/>
      <c r="U21" s="111"/>
      <c r="V21" s="111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</row>
    <row r="22" spans="1:214" x14ac:dyDescent="0.25">
      <c r="A22" s="151">
        <v>43600.259398148148</v>
      </c>
      <c r="B22" s="4">
        <v>0</v>
      </c>
      <c r="C22" s="4"/>
      <c r="D22" s="122">
        <f t="shared" ref="D22:D45" si="0">IF(A22&gt;1,D21-(C21*0.03),"")</f>
        <v>375</v>
      </c>
      <c r="E22" s="123"/>
      <c r="F22" s="151">
        <v>43615.259699074071</v>
      </c>
      <c r="G22" s="4">
        <v>0</v>
      </c>
      <c r="H22" s="4"/>
      <c r="I22" s="97">
        <v>450</v>
      </c>
      <c r="J22" s="97">
        <v>450</v>
      </c>
      <c r="K22" s="97"/>
      <c r="L22" s="97"/>
      <c r="M22" s="97"/>
      <c r="N22" s="97"/>
      <c r="O22" s="97"/>
      <c r="P22" s="108"/>
      <c r="Q22" s="111"/>
      <c r="R22" s="111"/>
      <c r="S22" s="111"/>
      <c r="T22" s="111"/>
      <c r="U22" s="111"/>
      <c r="V22" s="111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</row>
    <row r="23" spans="1:214" x14ac:dyDescent="0.25">
      <c r="A23" s="151">
        <v>43600.259398148148</v>
      </c>
      <c r="B23" s="4">
        <v>0</v>
      </c>
      <c r="C23" s="4"/>
      <c r="D23" s="122">
        <f t="shared" si="0"/>
        <v>375</v>
      </c>
      <c r="E23" s="123"/>
      <c r="F23" s="151">
        <v>43600.259398148148</v>
      </c>
      <c r="G23" s="4">
        <v>0</v>
      </c>
      <c r="H23" s="4"/>
      <c r="I23" s="97"/>
      <c r="J23" s="97"/>
      <c r="K23" s="97"/>
      <c r="L23" s="97"/>
      <c r="M23" s="97"/>
      <c r="N23" s="97"/>
      <c r="O23" s="97"/>
      <c r="P23" s="108"/>
      <c r="Q23" s="111"/>
      <c r="R23" s="111"/>
      <c r="S23" s="111"/>
      <c r="T23" s="111"/>
      <c r="U23" s="111"/>
      <c r="V23" s="111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</row>
    <row r="24" spans="1:214" x14ac:dyDescent="0.25">
      <c r="A24" s="151"/>
      <c r="B24" s="4">
        <v>0</v>
      </c>
      <c r="C24" s="4"/>
      <c r="D24" s="122" t="str">
        <f t="shared" si="0"/>
        <v/>
      </c>
      <c r="E24" s="123"/>
      <c r="F24" s="151">
        <v>43615.259699074071</v>
      </c>
      <c r="G24" s="4">
        <v>0</v>
      </c>
      <c r="H24" s="4"/>
      <c r="I24" s="97"/>
      <c r="J24" s="97"/>
      <c r="K24" s="97"/>
      <c r="L24" s="97"/>
      <c r="M24" s="97"/>
      <c r="N24" s="97"/>
      <c r="O24" s="97"/>
      <c r="P24" s="108"/>
      <c r="Q24" s="111"/>
      <c r="R24" s="111"/>
      <c r="S24" s="111"/>
      <c r="T24" s="111"/>
      <c r="U24" s="111"/>
      <c r="V24" s="111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</row>
    <row r="25" spans="1:214" x14ac:dyDescent="0.25">
      <c r="A25" s="151"/>
      <c r="B25" s="4">
        <v>0</v>
      </c>
      <c r="C25" s="4"/>
      <c r="D25" s="122" t="str">
        <f t="shared" si="0"/>
        <v/>
      </c>
      <c r="E25" s="123"/>
      <c r="F25" s="151">
        <v>43600.259398148148</v>
      </c>
      <c r="G25" s="4">
        <v>2000</v>
      </c>
      <c r="H25" s="4"/>
      <c r="I25" s="97"/>
      <c r="J25" s="97"/>
      <c r="K25" s="97"/>
      <c r="L25" s="97"/>
      <c r="M25" s="97"/>
      <c r="N25" s="97"/>
      <c r="O25" s="97"/>
      <c r="P25" s="108"/>
      <c r="Q25" s="111"/>
      <c r="R25" s="111"/>
      <c r="S25" s="111"/>
      <c r="T25" s="111"/>
      <c r="U25" s="111"/>
      <c r="V25" s="111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</row>
    <row r="26" spans="1:214" x14ac:dyDescent="0.25">
      <c r="A26" s="151"/>
      <c r="B26" s="4">
        <v>0</v>
      </c>
      <c r="C26" s="4"/>
      <c r="D26" s="122" t="str">
        <f t="shared" si="0"/>
        <v/>
      </c>
      <c r="E26" s="123"/>
      <c r="F26" s="151">
        <v>43615.259699074071</v>
      </c>
      <c r="G26" s="4">
        <v>0</v>
      </c>
      <c r="H26" s="4"/>
      <c r="I26" s="97">
        <v>510</v>
      </c>
      <c r="J26" s="97">
        <v>510</v>
      </c>
      <c r="K26" s="97"/>
      <c r="L26" s="97"/>
      <c r="M26" s="97"/>
      <c r="N26" s="97"/>
      <c r="O26" s="97"/>
      <c r="P26" s="108"/>
      <c r="Q26" s="111"/>
      <c r="R26" s="111"/>
      <c r="S26" s="111"/>
      <c r="T26" s="111"/>
      <c r="U26" s="111"/>
      <c r="V26" s="111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</row>
    <row r="27" spans="1:214" x14ac:dyDescent="0.25">
      <c r="A27" s="151"/>
      <c r="B27" s="4">
        <v>0</v>
      </c>
      <c r="C27" s="4"/>
      <c r="D27" s="122" t="str">
        <f t="shared" si="0"/>
        <v/>
      </c>
      <c r="E27" s="123"/>
      <c r="F27" s="151">
        <v>43600.259398148148</v>
      </c>
      <c r="G27" s="4">
        <v>0</v>
      </c>
      <c r="H27" s="4"/>
      <c r="I27" s="97"/>
      <c r="J27" s="97"/>
      <c r="K27" s="97"/>
      <c r="L27" s="97"/>
      <c r="M27" s="97"/>
      <c r="N27" s="97"/>
      <c r="O27" s="97"/>
      <c r="P27" s="108"/>
      <c r="Q27" s="111"/>
      <c r="R27" s="111"/>
      <c r="S27" s="111"/>
      <c r="T27" s="111"/>
      <c r="U27" s="111"/>
      <c r="V27" s="111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</row>
    <row r="28" spans="1:214" x14ac:dyDescent="0.25">
      <c r="A28" s="151"/>
      <c r="B28" s="5">
        <v>0</v>
      </c>
      <c r="C28" s="4"/>
      <c r="D28" s="122" t="str">
        <f t="shared" si="0"/>
        <v/>
      </c>
      <c r="E28" s="123"/>
      <c r="F28" s="151">
        <v>43615.259699074071</v>
      </c>
      <c r="G28" s="4">
        <v>0</v>
      </c>
      <c r="H28" s="4"/>
      <c r="I28" s="97"/>
      <c r="J28" s="97"/>
      <c r="K28" s="97"/>
      <c r="L28" s="97"/>
      <c r="M28" s="97"/>
      <c r="N28" s="97"/>
      <c r="O28" s="97"/>
      <c r="P28" s="108"/>
      <c r="Q28" s="111"/>
      <c r="R28" s="111"/>
      <c r="S28" s="111"/>
      <c r="T28" s="111"/>
      <c r="U28" s="111"/>
      <c r="V28" s="111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</row>
    <row r="29" spans="1:214" x14ac:dyDescent="0.25">
      <c r="A29" s="151"/>
      <c r="B29" s="5">
        <v>0</v>
      </c>
      <c r="C29" s="4"/>
      <c r="D29" s="122" t="str">
        <f t="shared" si="0"/>
        <v/>
      </c>
      <c r="E29" s="123"/>
      <c r="F29" s="151">
        <v>43600.259398148148</v>
      </c>
      <c r="G29" s="5">
        <v>0</v>
      </c>
      <c r="H29" s="4"/>
      <c r="I29" s="97">
        <v>1500</v>
      </c>
      <c r="J29" s="97">
        <v>1500</v>
      </c>
      <c r="K29" s="4"/>
      <c r="L29" s="4"/>
      <c r="M29" s="4"/>
      <c r="N29" s="4"/>
      <c r="O29" s="4"/>
      <c r="P29" s="109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</row>
    <row r="30" spans="1:214" x14ac:dyDescent="0.25">
      <c r="A30" s="151"/>
      <c r="B30" s="5">
        <v>0</v>
      </c>
      <c r="C30" s="4"/>
      <c r="D30" s="122" t="str">
        <f t="shared" si="0"/>
        <v/>
      </c>
      <c r="E30" s="123"/>
      <c r="F30" s="151">
        <v>43615.259699074071</v>
      </c>
      <c r="G30" s="5">
        <v>0</v>
      </c>
      <c r="H30" s="4"/>
      <c r="I30" s="97"/>
      <c r="J30" s="97"/>
      <c r="K30" s="4"/>
      <c r="L30" s="4"/>
      <c r="M30" s="4"/>
      <c r="N30" s="4"/>
      <c r="O30" s="4"/>
      <c r="P30" s="109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</row>
    <row r="31" spans="1:214" x14ac:dyDescent="0.25">
      <c r="A31" s="151"/>
      <c r="B31" s="5">
        <v>0</v>
      </c>
      <c r="C31" s="4"/>
      <c r="D31" s="122" t="str">
        <f t="shared" si="0"/>
        <v/>
      </c>
      <c r="E31" s="123"/>
      <c r="F31" s="151">
        <v>43600.259398148148</v>
      </c>
      <c r="G31" s="5">
        <v>0</v>
      </c>
      <c r="H31" s="4">
        <v>2000</v>
      </c>
      <c r="I31" s="97"/>
      <c r="J31" s="97"/>
      <c r="K31" s="4"/>
      <c r="L31" s="4"/>
      <c r="M31" s="4"/>
      <c r="N31" s="4"/>
      <c r="O31" s="4"/>
      <c r="P31" s="109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</row>
    <row r="32" spans="1:214" x14ac:dyDescent="0.25">
      <c r="A32" s="151"/>
      <c r="B32" s="5">
        <v>0</v>
      </c>
      <c r="C32" s="4"/>
      <c r="D32" s="122" t="str">
        <f t="shared" si="0"/>
        <v/>
      </c>
      <c r="E32" s="123"/>
      <c r="F32" s="151">
        <v>43615.259699074071</v>
      </c>
      <c r="G32" s="4">
        <v>0</v>
      </c>
      <c r="H32" s="4"/>
      <c r="I32" s="97">
        <v>900</v>
      </c>
      <c r="J32" s="97">
        <v>900</v>
      </c>
      <c r="K32" s="4"/>
      <c r="L32" s="4"/>
      <c r="M32" s="4"/>
      <c r="N32" s="4"/>
      <c r="O32" s="4"/>
      <c r="P32" s="109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</row>
    <row r="33" spans="1:214" x14ac:dyDescent="0.25">
      <c r="A33" s="151"/>
      <c r="B33" s="5">
        <v>0</v>
      </c>
      <c r="C33" s="4"/>
      <c r="D33" s="122" t="str">
        <f t="shared" si="0"/>
        <v/>
      </c>
      <c r="E33" s="123"/>
      <c r="F33" s="151">
        <v>43600.259398148148</v>
      </c>
      <c r="G33" s="4">
        <v>0</v>
      </c>
      <c r="H33" s="4"/>
      <c r="I33" s="97">
        <v>1500</v>
      </c>
      <c r="J33" s="97">
        <v>1500</v>
      </c>
      <c r="K33" s="4"/>
      <c r="L33" s="4"/>
      <c r="M33" s="4"/>
      <c r="N33" s="4"/>
      <c r="O33" s="4"/>
      <c r="P33" s="109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</row>
    <row r="34" spans="1:214" x14ac:dyDescent="0.25">
      <c r="A34" s="151"/>
      <c r="B34" s="5">
        <v>0</v>
      </c>
      <c r="C34" s="4"/>
      <c r="D34" s="122" t="str">
        <f t="shared" si="0"/>
        <v/>
      </c>
      <c r="E34" s="123"/>
      <c r="F34" s="151">
        <v>43615.259699074071</v>
      </c>
      <c r="G34" s="4"/>
      <c r="H34" s="4"/>
      <c r="I34" s="4"/>
      <c r="J34" s="4"/>
      <c r="K34" s="4"/>
      <c r="L34" s="4"/>
      <c r="M34" s="4"/>
      <c r="N34" s="4"/>
      <c r="O34" s="4"/>
      <c r="P34" s="109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</row>
    <row r="35" spans="1:214" x14ac:dyDescent="0.25">
      <c r="A35" s="151"/>
      <c r="B35" s="5">
        <v>0</v>
      </c>
      <c r="C35" s="4"/>
      <c r="D35" s="122" t="str">
        <f t="shared" si="0"/>
        <v/>
      </c>
      <c r="E35" s="123"/>
      <c r="F35" s="151">
        <v>43600.259398148148</v>
      </c>
      <c r="G35" s="4"/>
      <c r="H35" s="4"/>
      <c r="I35" s="4"/>
      <c r="J35" s="4"/>
      <c r="K35" s="4"/>
      <c r="L35" s="4"/>
      <c r="M35" s="4"/>
      <c r="N35" s="4"/>
      <c r="O35" s="4"/>
      <c r="P35" s="109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</row>
    <row r="36" spans="1:214" x14ac:dyDescent="0.25">
      <c r="A36" s="151"/>
      <c r="B36" s="5">
        <v>0</v>
      </c>
      <c r="C36" s="4"/>
      <c r="D36" s="122" t="str">
        <f t="shared" si="0"/>
        <v/>
      </c>
      <c r="E36" s="123"/>
      <c r="F36" s="151">
        <v>43615.259699074071</v>
      </c>
      <c r="G36" s="4"/>
      <c r="H36" s="4"/>
      <c r="I36" s="4"/>
      <c r="J36" s="4"/>
      <c r="K36" s="4"/>
      <c r="L36" s="4"/>
      <c r="M36" s="4"/>
      <c r="N36" s="4"/>
      <c r="O36" s="4"/>
      <c r="P36" s="109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</row>
    <row r="37" spans="1:214" x14ac:dyDescent="0.25">
      <c r="A37" s="151"/>
      <c r="B37" s="5">
        <v>0</v>
      </c>
      <c r="C37" s="4"/>
      <c r="D37" s="122" t="str">
        <f t="shared" si="0"/>
        <v/>
      </c>
      <c r="E37" s="123"/>
      <c r="F37" s="151">
        <v>43600.259398148148</v>
      </c>
      <c r="G37" s="4"/>
      <c r="H37" s="4"/>
      <c r="I37" s="4"/>
      <c r="J37" s="4"/>
      <c r="K37" s="4"/>
      <c r="L37" s="4"/>
      <c r="M37" s="4"/>
      <c r="N37" s="4"/>
      <c r="O37" s="4"/>
      <c r="P37" s="109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</row>
    <row r="38" spans="1:214" x14ac:dyDescent="0.25">
      <c r="A38" s="151"/>
      <c r="B38" s="5">
        <v>0</v>
      </c>
      <c r="C38" s="4"/>
      <c r="D38" s="122" t="str">
        <f t="shared" si="0"/>
        <v/>
      </c>
      <c r="E38" s="123"/>
      <c r="F38" s="151">
        <v>43615.259699074071</v>
      </c>
      <c r="G38" s="4"/>
      <c r="H38" s="4"/>
      <c r="I38" s="4"/>
      <c r="J38" s="4"/>
      <c r="K38" s="4"/>
      <c r="L38" s="4"/>
      <c r="M38" s="4"/>
      <c r="N38" s="4"/>
      <c r="O38" s="4"/>
      <c r="P38" s="109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</row>
    <row r="39" spans="1:214" x14ac:dyDescent="0.25">
      <c r="A39" s="151"/>
      <c r="B39" s="5">
        <v>0</v>
      </c>
      <c r="C39" s="4"/>
      <c r="D39" s="122" t="str">
        <f t="shared" si="0"/>
        <v/>
      </c>
      <c r="E39" s="123"/>
      <c r="F39" s="151">
        <v>43600.259398148148</v>
      </c>
      <c r="G39" s="4"/>
      <c r="H39" s="4"/>
      <c r="I39" s="4"/>
      <c r="J39" s="4"/>
      <c r="K39" s="4"/>
      <c r="L39" s="4"/>
      <c r="M39" s="4"/>
      <c r="N39" s="4"/>
      <c r="O39" s="4"/>
      <c r="P39" s="109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</row>
    <row r="40" spans="1:214" x14ac:dyDescent="0.25">
      <c r="A40" s="151"/>
      <c r="B40" s="5">
        <v>0</v>
      </c>
      <c r="C40" s="4"/>
      <c r="D40" s="122" t="str">
        <f t="shared" si="0"/>
        <v/>
      </c>
      <c r="E40" s="123"/>
      <c r="F40" s="151">
        <v>43615.259699074071</v>
      </c>
      <c r="G40" s="4"/>
      <c r="H40" s="4"/>
      <c r="I40" s="4"/>
      <c r="J40" s="4"/>
      <c r="K40" s="4"/>
      <c r="L40" s="4"/>
      <c r="M40" s="4"/>
      <c r="N40" s="4"/>
      <c r="O40" s="4"/>
      <c r="P40" s="109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</row>
    <row r="41" spans="1:214" x14ac:dyDescent="0.25">
      <c r="A41" s="151"/>
      <c r="B41" s="5">
        <v>0</v>
      </c>
      <c r="C41" s="4"/>
      <c r="D41" s="122" t="str">
        <f t="shared" si="0"/>
        <v/>
      </c>
      <c r="E41" s="123"/>
      <c r="F41" s="151">
        <v>43600.259398148148</v>
      </c>
      <c r="G41" s="106"/>
      <c r="H41" s="106"/>
      <c r="I41" s="106"/>
      <c r="J41" s="106"/>
      <c r="K41" s="4"/>
      <c r="L41" s="4"/>
      <c r="M41" s="4"/>
      <c r="N41" s="4"/>
      <c r="O41" s="4"/>
      <c r="P41" s="109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</row>
    <row r="42" spans="1:214" x14ac:dyDescent="0.25">
      <c r="A42" s="151"/>
      <c r="B42" s="5">
        <v>0</v>
      </c>
      <c r="C42" s="4"/>
      <c r="D42" s="122" t="str">
        <f t="shared" si="0"/>
        <v/>
      </c>
      <c r="E42" s="123"/>
      <c r="F42" s="151">
        <v>43615.259699074071</v>
      </c>
      <c r="G42" s="4"/>
      <c r="H42" s="4"/>
      <c r="I42" s="4"/>
      <c r="J42" s="4"/>
      <c r="K42" s="4"/>
      <c r="L42" s="4"/>
      <c r="M42" s="4"/>
      <c r="N42" s="4"/>
      <c r="O42" s="4"/>
      <c r="P42" s="109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</row>
    <row r="43" spans="1:214" x14ac:dyDescent="0.25">
      <c r="A43" s="151"/>
      <c r="B43" s="5">
        <v>0</v>
      </c>
      <c r="C43" s="4"/>
      <c r="D43" s="122" t="str">
        <f t="shared" si="0"/>
        <v/>
      </c>
      <c r="E43" s="123"/>
      <c r="F43" s="151">
        <v>43600.259398148148</v>
      </c>
      <c r="G43" s="4"/>
      <c r="H43" s="4"/>
      <c r="I43" s="4"/>
      <c r="J43" s="4"/>
      <c r="K43" s="4"/>
      <c r="L43" s="4"/>
      <c r="M43" s="4"/>
      <c r="N43" s="4"/>
      <c r="O43" s="4"/>
      <c r="P43" s="109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</row>
    <row r="44" spans="1:214" x14ac:dyDescent="0.25">
      <c r="A44" s="151"/>
      <c r="B44" s="5">
        <v>0</v>
      </c>
      <c r="C44" s="4"/>
      <c r="D44" s="122" t="str">
        <f t="shared" si="0"/>
        <v/>
      </c>
      <c r="E44" s="123"/>
      <c r="F44" s="151">
        <v>43615.259699074071</v>
      </c>
      <c r="G44" s="4"/>
      <c r="H44" s="4"/>
      <c r="I44" s="4"/>
      <c r="J44" s="4"/>
      <c r="K44" s="4"/>
      <c r="L44" s="4"/>
      <c r="M44" s="4"/>
      <c r="N44" s="4"/>
      <c r="O44" s="4"/>
      <c r="P44" s="109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</row>
    <row r="45" spans="1:214" ht="15.75" thickBot="1" x14ac:dyDescent="0.3">
      <c r="A45" s="152"/>
      <c r="B45" s="118">
        <v>0</v>
      </c>
      <c r="C45" s="94"/>
      <c r="D45" s="122" t="str">
        <f t="shared" si="0"/>
        <v/>
      </c>
      <c r="E45" s="124"/>
      <c r="F45" s="152"/>
      <c r="G45" s="4"/>
      <c r="H45" s="4"/>
      <c r="I45" s="4"/>
      <c r="J45" s="4"/>
      <c r="K45" s="4"/>
      <c r="L45" s="4"/>
      <c r="M45" s="4"/>
      <c r="N45" s="4"/>
      <c r="O45" s="4"/>
      <c r="P45" s="109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</row>
    <row r="46" spans="1:214" x14ac:dyDescent="0.25">
      <c r="A46" s="119"/>
      <c r="B46" s="104"/>
      <c r="C46" s="106"/>
      <c r="D46" s="107"/>
      <c r="E46" s="104"/>
      <c r="F46" s="117"/>
      <c r="G46" s="4"/>
      <c r="H46" s="4"/>
      <c r="I46" s="4"/>
      <c r="J46" s="4"/>
      <c r="K46" s="4"/>
      <c r="L46" s="4"/>
      <c r="M46" s="4"/>
      <c r="N46" s="4"/>
      <c r="O46" s="4"/>
      <c r="P46" s="109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</row>
    <row r="47" spans="1:214" x14ac:dyDescent="0.25">
      <c r="A47" s="4"/>
      <c r="B47" s="4"/>
      <c r="C47" s="4"/>
      <c r="D47" s="4"/>
      <c r="E47" s="4"/>
      <c r="J47" s="4"/>
      <c r="K47" s="4"/>
      <c r="L47" s="4"/>
      <c r="M47" s="4"/>
      <c r="N47" s="4"/>
      <c r="O47" s="4"/>
      <c r="P47" s="109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</row>
    <row r="48" spans="1:214" x14ac:dyDescent="0.25">
      <c r="A48" s="4"/>
      <c r="B48" s="4"/>
      <c r="C48" s="4"/>
      <c r="D48" s="4"/>
      <c r="E48" s="4"/>
      <c r="I48" s="4"/>
      <c r="J48" s="4"/>
      <c r="K48" s="4"/>
      <c r="L48" s="4"/>
      <c r="M48" s="4"/>
      <c r="N48" s="4"/>
      <c r="O48" s="4"/>
      <c r="P48" s="109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</row>
    <row r="49" spans="1:214" x14ac:dyDescent="0.25">
      <c r="A49" s="4"/>
      <c r="B49" s="4"/>
      <c r="C49" s="4"/>
      <c r="D49" s="4"/>
      <c r="E49" s="4"/>
      <c r="I49" s="4"/>
      <c r="J49" s="4"/>
      <c r="K49" s="4"/>
      <c r="L49" s="4"/>
      <c r="M49" s="4"/>
      <c r="N49" s="4"/>
      <c r="O49" s="4"/>
      <c r="P49" s="109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</row>
    <row r="50" spans="1:214" x14ac:dyDescent="0.25">
      <c r="A50" s="4"/>
      <c r="B50" s="4"/>
      <c r="C50" s="4"/>
      <c r="D50" s="4"/>
      <c r="E50" s="4"/>
      <c r="I50" s="4"/>
      <c r="J50" s="4"/>
      <c r="K50" s="4"/>
      <c r="L50" s="4"/>
      <c r="M50" s="4"/>
      <c r="N50" s="4"/>
      <c r="O50" s="4"/>
      <c r="P50" s="109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</row>
    <row r="51" spans="1:214" x14ac:dyDescent="0.25">
      <c r="A51" s="4"/>
      <c r="B51" s="4"/>
      <c r="C51" s="4"/>
      <c r="D51" s="4"/>
      <c r="E51" s="4"/>
      <c r="I51" s="4"/>
      <c r="J51" s="4"/>
      <c r="K51" s="4"/>
      <c r="L51" s="4"/>
      <c r="M51" s="4"/>
      <c r="N51" s="4"/>
      <c r="O51" s="4"/>
      <c r="P51" s="109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</row>
    <row r="52" spans="1:214" x14ac:dyDescent="0.25">
      <c r="A52" s="98">
        <v>1</v>
      </c>
      <c r="B52" s="5"/>
      <c r="C52" s="5">
        <v>3</v>
      </c>
      <c r="D52" s="5">
        <v>4</v>
      </c>
      <c r="E52" s="98">
        <v>5</v>
      </c>
      <c r="F52" s="110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5">
        <v>12</v>
      </c>
      <c r="M52" s="98">
        <v>13</v>
      </c>
      <c r="N52" s="5">
        <v>14</v>
      </c>
      <c r="O52" s="5">
        <v>15</v>
      </c>
      <c r="P52" s="10">
        <v>16</v>
      </c>
      <c r="Q52" s="113">
        <v>17</v>
      </c>
      <c r="R52" s="112">
        <v>18</v>
      </c>
      <c r="S52" s="112">
        <v>19</v>
      </c>
      <c r="T52" s="112">
        <v>20</v>
      </c>
      <c r="U52" s="113">
        <v>21</v>
      </c>
      <c r="V52" s="112">
        <v>22</v>
      </c>
      <c r="W52" s="112">
        <v>23</v>
      </c>
      <c r="X52" s="112">
        <v>24</v>
      </c>
      <c r="Y52" s="113">
        <v>25</v>
      </c>
      <c r="Z52" s="112">
        <v>26</v>
      </c>
      <c r="AA52" s="112">
        <v>27</v>
      </c>
      <c r="AB52" s="112">
        <v>28</v>
      </c>
      <c r="AC52" s="113">
        <v>29</v>
      </c>
      <c r="AD52" s="3">
        <v>30</v>
      </c>
      <c r="AE52" s="112">
        <v>31</v>
      </c>
      <c r="AF52" s="112">
        <v>32</v>
      </c>
      <c r="AG52" s="113">
        <v>33</v>
      </c>
      <c r="AH52" s="111">
        <v>34</v>
      </c>
      <c r="AI52" s="3">
        <v>35</v>
      </c>
      <c r="AJ52" s="112">
        <v>36</v>
      </c>
      <c r="AK52" s="113">
        <v>37</v>
      </c>
      <c r="AL52" s="112">
        <v>38</v>
      </c>
      <c r="AM52" s="111">
        <v>39</v>
      </c>
      <c r="AN52" s="3">
        <v>40</v>
      </c>
      <c r="AO52" s="113">
        <v>41</v>
      </c>
      <c r="AP52" s="112">
        <v>42</v>
      </c>
      <c r="AQ52" s="112">
        <v>43</v>
      </c>
      <c r="AR52" s="111">
        <v>44</v>
      </c>
      <c r="AS52" s="113">
        <v>45</v>
      </c>
      <c r="AT52" s="112">
        <v>46</v>
      </c>
      <c r="AU52" s="112">
        <v>47</v>
      </c>
      <c r="AV52" s="112">
        <v>48</v>
      </c>
      <c r="AW52" s="113">
        <v>49</v>
      </c>
      <c r="AX52" s="3">
        <v>50</v>
      </c>
      <c r="AY52" s="112">
        <v>51</v>
      </c>
      <c r="AZ52" s="112">
        <v>52</v>
      </c>
      <c r="BA52" s="113">
        <v>53</v>
      </c>
      <c r="BB52" s="111">
        <v>54</v>
      </c>
      <c r="BC52" s="3">
        <v>55</v>
      </c>
      <c r="BD52" s="112">
        <v>56</v>
      </c>
      <c r="BE52" s="113">
        <v>57</v>
      </c>
      <c r="BF52" s="112">
        <v>58</v>
      </c>
      <c r="BG52" s="111">
        <v>59</v>
      </c>
      <c r="BH52" s="3">
        <v>60</v>
      </c>
      <c r="BI52" s="113">
        <v>61</v>
      </c>
      <c r="BJ52" s="112">
        <v>62</v>
      </c>
      <c r="BK52" s="112">
        <v>63</v>
      </c>
      <c r="BL52" s="111">
        <v>64</v>
      </c>
      <c r="BM52" s="113">
        <v>65</v>
      </c>
      <c r="BN52" s="112">
        <v>66</v>
      </c>
      <c r="BO52" s="112">
        <v>67</v>
      </c>
      <c r="BP52" s="112">
        <v>68</v>
      </c>
      <c r="BQ52" s="113">
        <v>69</v>
      </c>
      <c r="BR52" s="3">
        <v>70</v>
      </c>
      <c r="BS52" s="112">
        <v>71</v>
      </c>
      <c r="BT52" s="112">
        <v>72</v>
      </c>
      <c r="BU52" s="113">
        <v>73</v>
      </c>
      <c r="BV52" s="111">
        <v>74</v>
      </c>
      <c r="BW52" s="3">
        <v>75</v>
      </c>
      <c r="BX52" s="112">
        <v>76</v>
      </c>
      <c r="BY52" s="113">
        <v>77</v>
      </c>
      <c r="BZ52" s="112">
        <v>78</v>
      </c>
      <c r="CA52" s="111">
        <v>79</v>
      </c>
      <c r="CB52" s="3">
        <v>80</v>
      </c>
      <c r="CC52" s="113">
        <v>81</v>
      </c>
      <c r="CD52" s="112">
        <v>82</v>
      </c>
      <c r="CE52" s="112">
        <v>83</v>
      </c>
      <c r="CF52" s="111">
        <v>84</v>
      </c>
      <c r="CG52" s="113">
        <v>85</v>
      </c>
      <c r="CH52" s="112">
        <v>86</v>
      </c>
      <c r="CI52" s="112">
        <v>87</v>
      </c>
      <c r="CJ52" s="112">
        <v>88</v>
      </c>
      <c r="CK52" s="113">
        <v>89</v>
      </c>
      <c r="CL52" s="3">
        <v>90</v>
      </c>
      <c r="CM52" s="112">
        <v>91</v>
      </c>
      <c r="CN52" s="112">
        <v>92</v>
      </c>
      <c r="CO52" s="113">
        <v>93</v>
      </c>
      <c r="CP52" s="111">
        <v>94</v>
      </c>
      <c r="CQ52" s="3">
        <v>95</v>
      </c>
      <c r="CR52" s="112">
        <v>96</v>
      </c>
      <c r="CS52" s="113">
        <v>97</v>
      </c>
      <c r="CT52" s="112">
        <v>98</v>
      </c>
      <c r="CU52" s="111">
        <v>99</v>
      </c>
      <c r="CV52" s="3">
        <v>100</v>
      </c>
      <c r="CW52" s="113">
        <v>101</v>
      </c>
      <c r="CX52" s="112">
        <v>102</v>
      </c>
      <c r="CY52" s="112">
        <v>103</v>
      </c>
      <c r="CZ52" s="111">
        <v>104</v>
      </c>
      <c r="DA52" s="113">
        <v>105</v>
      </c>
      <c r="DB52" s="112">
        <v>106</v>
      </c>
      <c r="DC52" s="112">
        <v>107</v>
      </c>
      <c r="DD52" s="112">
        <v>108</v>
      </c>
      <c r="DE52" s="113">
        <v>109</v>
      </c>
      <c r="DF52" s="3">
        <v>110</v>
      </c>
      <c r="DG52" s="112">
        <v>111</v>
      </c>
      <c r="DH52" s="112">
        <v>112</v>
      </c>
      <c r="DI52" s="113">
        <v>113</v>
      </c>
      <c r="DJ52" s="111">
        <v>114</v>
      </c>
      <c r="DK52" s="3">
        <v>115</v>
      </c>
      <c r="DL52" s="112">
        <v>116</v>
      </c>
      <c r="DM52" s="113">
        <v>117</v>
      </c>
      <c r="DN52" s="112">
        <v>118</v>
      </c>
      <c r="DO52" s="111">
        <v>119</v>
      </c>
      <c r="DP52" s="3">
        <v>120</v>
      </c>
      <c r="DQ52" s="113">
        <v>121</v>
      </c>
      <c r="DR52" s="112">
        <v>122</v>
      </c>
      <c r="DS52" s="112">
        <v>123</v>
      </c>
      <c r="DT52" s="111">
        <v>124</v>
      </c>
      <c r="DU52" s="113">
        <v>125</v>
      </c>
      <c r="DV52" s="112">
        <v>126</v>
      </c>
      <c r="DW52" s="112">
        <v>127</v>
      </c>
      <c r="DX52" s="112">
        <v>128</v>
      </c>
      <c r="DY52" s="113">
        <v>129</v>
      </c>
      <c r="DZ52" s="3">
        <v>130</v>
      </c>
      <c r="EA52" s="112">
        <v>131</v>
      </c>
      <c r="EB52" s="112">
        <v>132</v>
      </c>
      <c r="EC52" s="113">
        <v>133</v>
      </c>
      <c r="ED52" s="111">
        <v>134</v>
      </c>
      <c r="EE52" s="3">
        <v>135</v>
      </c>
      <c r="EF52" s="112">
        <v>136</v>
      </c>
      <c r="EG52" s="113">
        <v>137</v>
      </c>
      <c r="EH52" s="112">
        <v>138</v>
      </c>
      <c r="EI52" s="111">
        <v>139</v>
      </c>
      <c r="EJ52" s="3">
        <v>140</v>
      </c>
      <c r="EK52" s="113">
        <v>141</v>
      </c>
      <c r="EL52" s="112">
        <v>142</v>
      </c>
      <c r="EM52" s="112">
        <v>143</v>
      </c>
      <c r="EN52" s="111">
        <v>144</v>
      </c>
      <c r="EO52" s="113">
        <v>145</v>
      </c>
      <c r="EP52" s="112">
        <v>146</v>
      </c>
      <c r="EQ52" s="112">
        <v>147</v>
      </c>
      <c r="ER52" s="112">
        <v>148</v>
      </c>
      <c r="ES52" s="113">
        <v>149</v>
      </c>
      <c r="ET52" s="3">
        <v>150</v>
      </c>
      <c r="EU52" s="112">
        <v>151</v>
      </c>
      <c r="EV52" s="112">
        <v>152</v>
      </c>
      <c r="EW52" s="113">
        <v>153</v>
      </c>
      <c r="EX52" s="111">
        <v>154</v>
      </c>
      <c r="EY52" s="3">
        <v>155</v>
      </c>
      <c r="EZ52" s="112">
        <v>156</v>
      </c>
      <c r="FA52" s="113">
        <v>157</v>
      </c>
      <c r="FB52" s="112">
        <v>158</v>
      </c>
      <c r="FC52" s="111">
        <v>159</v>
      </c>
      <c r="FD52" s="3">
        <v>160</v>
      </c>
      <c r="FE52" s="113">
        <v>161</v>
      </c>
      <c r="FF52" s="112">
        <v>162</v>
      </c>
      <c r="FG52" s="112">
        <v>163</v>
      </c>
      <c r="FH52" s="111">
        <v>164</v>
      </c>
      <c r="FI52" s="113">
        <v>165</v>
      </c>
      <c r="FJ52" s="112">
        <v>166</v>
      </c>
      <c r="FK52" s="112">
        <v>167</v>
      </c>
      <c r="FL52" s="112">
        <v>168</v>
      </c>
      <c r="FM52" s="113">
        <v>169</v>
      </c>
      <c r="FN52" s="3">
        <v>170</v>
      </c>
      <c r="FO52" s="112">
        <v>171</v>
      </c>
      <c r="FP52" s="112">
        <v>172</v>
      </c>
      <c r="FQ52" s="113">
        <v>173</v>
      </c>
      <c r="FR52" s="111">
        <v>174</v>
      </c>
      <c r="FS52" s="3">
        <v>175</v>
      </c>
      <c r="FT52" s="112">
        <v>176</v>
      </c>
      <c r="FU52" s="113">
        <v>177</v>
      </c>
      <c r="FV52" s="112">
        <v>178</v>
      </c>
      <c r="FW52" s="111">
        <v>179</v>
      </c>
      <c r="FX52" s="3">
        <v>180</v>
      </c>
      <c r="FY52" s="113">
        <v>181</v>
      </c>
      <c r="FZ52" s="112">
        <v>182</v>
      </c>
      <c r="GA52" s="112">
        <v>183</v>
      </c>
      <c r="GB52" s="111">
        <v>184</v>
      </c>
      <c r="GC52" s="113">
        <v>185</v>
      </c>
      <c r="GD52" s="112">
        <v>186</v>
      </c>
      <c r="GE52" s="112">
        <v>187</v>
      </c>
      <c r="GF52" s="112">
        <v>188</v>
      </c>
      <c r="GG52" s="113">
        <v>189</v>
      </c>
      <c r="GH52" s="3">
        <v>190</v>
      </c>
      <c r="GI52" s="112">
        <v>191</v>
      </c>
      <c r="GJ52" s="112">
        <v>192</v>
      </c>
      <c r="GK52" s="113">
        <v>193</v>
      </c>
      <c r="GL52" s="111">
        <v>194</v>
      </c>
      <c r="GM52" s="3">
        <v>195</v>
      </c>
      <c r="GN52" s="112">
        <v>196</v>
      </c>
      <c r="GO52" s="113">
        <v>197</v>
      </c>
      <c r="GP52" s="112">
        <v>198</v>
      </c>
      <c r="GQ52" s="111">
        <v>199</v>
      </c>
      <c r="GR52" s="3">
        <v>200</v>
      </c>
      <c r="GS52" s="113">
        <v>201</v>
      </c>
      <c r="GT52" s="112">
        <v>202</v>
      </c>
      <c r="GU52" s="112">
        <v>203</v>
      </c>
      <c r="GV52" s="111">
        <v>204</v>
      </c>
      <c r="GW52" s="113">
        <v>205</v>
      </c>
      <c r="GX52" s="112">
        <v>206</v>
      </c>
      <c r="GY52" s="112">
        <v>207</v>
      </c>
      <c r="GZ52" s="112">
        <v>208</v>
      </c>
      <c r="HA52" s="113">
        <v>209</v>
      </c>
      <c r="HB52" s="3">
        <v>210</v>
      </c>
      <c r="HC52" s="112">
        <v>211</v>
      </c>
      <c r="HD52" s="112">
        <v>212</v>
      </c>
      <c r="HE52" s="113">
        <v>213</v>
      </c>
      <c r="HF52" s="3"/>
    </row>
    <row r="53" spans="1:214" x14ac:dyDescent="0.25">
      <c r="A53" s="7"/>
      <c r="B53" s="5"/>
      <c r="C53" s="5"/>
      <c r="D53" s="5"/>
      <c r="E53" s="11"/>
      <c r="F53" s="100"/>
      <c r="G53" s="4"/>
      <c r="H53" s="4"/>
      <c r="I53" s="4"/>
      <c r="J53" s="4"/>
      <c r="K53" s="4"/>
      <c r="L53" s="4"/>
      <c r="M53" s="4"/>
      <c r="N53" s="4"/>
      <c r="O53" s="4"/>
      <c r="P53" s="109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</row>
    <row r="54" spans="1:214" x14ac:dyDescent="0.25">
      <c r="A54" s="7"/>
      <c r="B54" s="5"/>
      <c r="C54" s="5"/>
      <c r="D54" s="5"/>
      <c r="E54" s="11"/>
      <c r="F54" s="100"/>
      <c r="G54" s="4"/>
      <c r="H54" s="4"/>
      <c r="I54" s="4"/>
      <c r="J54" s="4"/>
      <c r="K54" s="4"/>
      <c r="L54" s="4"/>
      <c r="M54" s="4"/>
      <c r="N54" s="4"/>
      <c r="O54" s="4"/>
      <c r="P54" s="109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</row>
    <row r="55" spans="1:214" x14ac:dyDescent="0.25">
      <c r="A55" s="7"/>
      <c r="B55" s="5"/>
      <c r="C55" s="5"/>
      <c r="D55" s="5"/>
      <c r="E55" s="11"/>
      <c r="F55" s="100"/>
      <c r="G55" s="4"/>
      <c r="H55" s="4"/>
      <c r="I55" s="4"/>
      <c r="J55" s="4"/>
      <c r="K55" s="4"/>
      <c r="L55" s="4"/>
      <c r="M55" s="4"/>
      <c r="N55" s="4"/>
      <c r="O55" s="4"/>
      <c r="P55" s="109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</row>
    <row r="56" spans="1:214" x14ac:dyDescent="0.25">
      <c r="A56" s="7"/>
      <c r="B56" s="5"/>
      <c r="C56" s="5"/>
      <c r="D56" s="5"/>
      <c r="E56" s="11"/>
      <c r="F56" s="100"/>
      <c r="G56" s="4"/>
      <c r="H56" s="4"/>
      <c r="I56" s="4"/>
      <c r="J56" s="4"/>
      <c r="K56" s="4"/>
      <c r="L56" s="4"/>
      <c r="M56" s="4"/>
      <c r="N56" s="4"/>
      <c r="O56" s="4"/>
      <c r="P56" s="109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</row>
    <row r="57" spans="1:214" x14ac:dyDescent="0.25">
      <c r="A57" s="7"/>
      <c r="B57" s="5"/>
      <c r="C57" s="5"/>
      <c r="D57" s="5"/>
      <c r="E57" s="11"/>
      <c r="F57" s="100"/>
      <c r="G57" s="4"/>
      <c r="H57" s="4"/>
      <c r="I57" s="4"/>
      <c r="J57" s="4"/>
      <c r="K57" s="4"/>
      <c r="L57" s="4"/>
      <c r="M57" s="4"/>
      <c r="N57" s="4"/>
      <c r="O57" s="4"/>
      <c r="P57" s="109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</row>
    <row r="58" spans="1:214" x14ac:dyDescent="0.25">
      <c r="A58" s="7"/>
      <c r="B58" s="5"/>
      <c r="C58" s="5"/>
      <c r="D58" s="5"/>
      <c r="E58" s="11"/>
      <c r="F58" s="100"/>
      <c r="G58" s="4"/>
      <c r="H58" s="4"/>
      <c r="I58" s="4"/>
      <c r="J58" s="4"/>
      <c r="K58" s="4"/>
      <c r="L58" s="4"/>
      <c r="M58" s="4"/>
      <c r="N58" s="4"/>
      <c r="O58" s="4"/>
      <c r="P58" s="109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</row>
    <row r="59" spans="1:214" x14ac:dyDescent="0.25">
      <c r="A59" s="7"/>
      <c r="B59" s="5"/>
      <c r="C59" s="5"/>
      <c r="D59" s="5"/>
      <c r="E59" s="11"/>
      <c r="F59" s="100"/>
      <c r="G59" s="4"/>
      <c r="H59" s="4"/>
      <c r="I59" s="4"/>
      <c r="J59" s="4"/>
      <c r="K59" s="4"/>
      <c r="L59" s="4"/>
      <c r="M59" s="4"/>
      <c r="N59" s="4"/>
      <c r="O59" s="4"/>
      <c r="P59" s="109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</row>
    <row r="60" spans="1:214" x14ac:dyDescent="0.25">
      <c r="A60" s="7"/>
      <c r="B60" s="5"/>
      <c r="C60" s="5"/>
      <c r="D60" s="5"/>
      <c r="E60" s="11"/>
      <c r="F60" s="100"/>
      <c r="G60" s="4"/>
      <c r="H60" s="4"/>
      <c r="I60" s="4"/>
      <c r="J60" s="4"/>
      <c r="K60" s="4"/>
      <c r="L60" s="4"/>
      <c r="M60" s="4"/>
      <c r="N60" s="4"/>
      <c r="O60" s="4"/>
      <c r="P60" s="109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</row>
    <row r="61" spans="1:214" x14ac:dyDescent="0.25">
      <c r="A61" s="7"/>
      <c r="B61" s="5"/>
      <c r="C61" s="5"/>
      <c r="D61" s="5"/>
      <c r="E61" s="11"/>
      <c r="F61" s="100"/>
      <c r="G61" s="4"/>
      <c r="H61" s="4"/>
      <c r="I61" s="4"/>
      <c r="J61" s="4"/>
      <c r="K61" s="4"/>
      <c r="L61" s="4"/>
      <c r="M61" s="4"/>
      <c r="N61" s="4"/>
      <c r="O61" s="4"/>
      <c r="P61" s="109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</row>
    <row r="62" spans="1:214" x14ac:dyDescent="0.25">
      <c r="A62" s="7"/>
      <c r="B62" s="5"/>
      <c r="C62" s="5"/>
      <c r="D62" s="5"/>
      <c r="E62" s="11"/>
      <c r="F62" s="100"/>
      <c r="G62" s="4"/>
      <c r="H62" s="4"/>
      <c r="I62" s="4"/>
      <c r="J62" s="4"/>
      <c r="K62" s="4"/>
      <c r="L62" s="4"/>
      <c r="M62" s="4"/>
      <c r="N62" s="4"/>
      <c r="O62" s="4"/>
      <c r="P62" s="109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</row>
    <row r="63" spans="1:214" x14ac:dyDescent="0.25">
      <c r="A63" s="7"/>
      <c r="B63" s="5"/>
      <c r="C63" s="5"/>
      <c r="D63" s="5"/>
      <c r="E63" s="11"/>
      <c r="F63" s="100"/>
      <c r="G63" s="4"/>
      <c r="H63" s="4"/>
      <c r="I63" s="4"/>
      <c r="J63" s="4"/>
      <c r="K63" s="4"/>
      <c r="L63" s="4"/>
      <c r="M63" s="4"/>
      <c r="N63" s="4"/>
      <c r="O63" s="4"/>
      <c r="P63" s="109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</row>
    <row r="64" spans="1:214" x14ac:dyDescent="0.25">
      <c r="A64" s="6"/>
      <c r="B64" s="5"/>
      <c r="C64" s="5"/>
      <c r="D64" s="5"/>
      <c r="E64" s="11"/>
      <c r="F64" s="100"/>
      <c r="G64" s="4"/>
      <c r="H64" s="4"/>
      <c r="I64" s="4"/>
      <c r="J64" s="4"/>
      <c r="K64" s="4"/>
      <c r="L64" s="4"/>
      <c r="M64" s="4"/>
      <c r="N64" s="4"/>
      <c r="O64" s="4"/>
      <c r="P64" s="109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</row>
    <row r="65" spans="1:214" x14ac:dyDescent="0.25">
      <c r="A65" s="4"/>
      <c r="B65" s="5"/>
      <c r="C65" s="4"/>
      <c r="D65" s="5"/>
      <c r="E65" s="11"/>
      <c r="F65" s="100"/>
      <c r="G65" s="4"/>
      <c r="H65" s="4"/>
      <c r="I65" s="4"/>
      <c r="J65" s="4"/>
      <c r="K65" s="4"/>
      <c r="L65" s="4"/>
      <c r="M65" s="4"/>
      <c r="N65" s="4"/>
      <c r="O65" s="4"/>
      <c r="P65" s="109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</row>
    <row r="66" spans="1:214" x14ac:dyDescent="0.25">
      <c r="A66" s="4"/>
      <c r="B66" s="4"/>
      <c r="C66" s="4"/>
      <c r="D66" s="4"/>
      <c r="E66" s="11"/>
      <c r="F66" s="100"/>
      <c r="G66" s="4"/>
      <c r="H66" s="4"/>
      <c r="I66" s="4"/>
      <c r="J66" s="4"/>
      <c r="K66" s="4"/>
      <c r="L66" s="4"/>
      <c r="M66" s="4"/>
      <c r="N66" s="4"/>
      <c r="O66" s="4"/>
      <c r="P66" s="109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</row>
    <row r="67" spans="1:214" x14ac:dyDescent="0.25">
      <c r="A67" s="4"/>
      <c r="B67" s="4"/>
      <c r="C67" s="4"/>
      <c r="D67" s="4"/>
      <c r="E67" s="11"/>
      <c r="F67" s="100"/>
      <c r="G67" s="4"/>
      <c r="H67" s="4"/>
      <c r="I67" s="4"/>
      <c r="J67" s="4"/>
      <c r="K67" s="4"/>
      <c r="L67" s="4"/>
      <c r="M67" s="4"/>
      <c r="N67" s="4"/>
      <c r="O67" s="4"/>
      <c r="P67" s="109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</row>
    <row r="68" spans="1:214" x14ac:dyDescent="0.25">
      <c r="A68" s="4"/>
      <c r="B68" s="4"/>
      <c r="C68" s="4"/>
      <c r="D68" s="4"/>
      <c r="E68" s="11"/>
      <c r="F68" s="100"/>
      <c r="G68" s="4"/>
      <c r="H68" s="4"/>
      <c r="I68" s="4"/>
      <c r="J68" s="4"/>
      <c r="K68" s="4"/>
      <c r="L68" s="4"/>
      <c r="M68" s="4"/>
      <c r="N68" s="4"/>
      <c r="O68" s="4"/>
      <c r="P68" s="109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</row>
    <row r="69" spans="1:214" x14ac:dyDescent="0.25">
      <c r="A69" s="4"/>
      <c r="B69" s="4"/>
      <c r="C69" s="4"/>
      <c r="D69" s="4"/>
      <c r="E69" s="11"/>
      <c r="F69" s="100"/>
      <c r="G69" s="4"/>
      <c r="H69" s="4"/>
      <c r="I69" s="4"/>
      <c r="J69" s="4"/>
      <c r="K69" s="4"/>
      <c r="L69" s="4"/>
      <c r="M69" s="4"/>
      <c r="N69" s="4"/>
      <c r="O69" s="4"/>
      <c r="P69" s="109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</row>
    <row r="70" spans="1:214" x14ac:dyDescent="0.25">
      <c r="A70" s="4"/>
      <c r="B70" s="4"/>
      <c r="C70" s="4"/>
      <c r="D70" s="4"/>
      <c r="E70" s="11"/>
      <c r="F70" s="100"/>
      <c r="G70" s="4"/>
      <c r="H70" s="4"/>
      <c r="I70" s="4"/>
      <c r="J70" s="4"/>
      <c r="K70" s="4"/>
      <c r="L70" s="4"/>
      <c r="M70" s="4"/>
      <c r="N70" s="4"/>
      <c r="O70" s="4"/>
      <c r="P70" s="109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</row>
    <row r="71" spans="1:214" x14ac:dyDescent="0.25">
      <c r="E71" s="105"/>
      <c r="F71" s="4"/>
      <c r="G71" s="4"/>
      <c r="H71" s="4"/>
      <c r="I71" s="4"/>
      <c r="J71" s="4"/>
      <c r="K71" s="4"/>
      <c r="L71" s="4"/>
      <c r="M71" s="4"/>
      <c r="N71" s="4"/>
      <c r="O71" s="4"/>
      <c r="P71" s="109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</row>
    <row r="72" spans="1:214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109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</row>
    <row r="73" spans="1:214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109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</row>
    <row r="74" spans="1:214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109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</row>
    <row r="75" spans="1:214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109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</row>
    <row r="76" spans="1:214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109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</row>
    <row r="77" spans="1:214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109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</row>
    <row r="78" spans="1:214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109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</row>
    <row r="79" spans="1:214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109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</row>
    <row r="80" spans="1:214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109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</row>
    <row r="81" spans="5:214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109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</row>
    <row r="82" spans="5:214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109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</row>
    <row r="83" spans="5:214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109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</row>
    <row r="84" spans="5:214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109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</row>
    <row r="85" spans="5:214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109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</row>
    <row r="86" spans="5:214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109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</row>
    <row r="87" spans="5:214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109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</row>
    <row r="88" spans="5:214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109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</row>
    <row r="89" spans="5:214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109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</row>
    <row r="90" spans="5:214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109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</row>
    <row r="91" spans="5:214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109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</row>
    <row r="92" spans="5:214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109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</row>
    <row r="93" spans="5:214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109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</row>
    <row r="94" spans="5:214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109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</row>
    <row r="95" spans="5:214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109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</row>
    <row r="96" spans="5:214" x14ac:dyDescent="0.25">
      <c r="E96" s="9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</row>
    <row r="97" spans="1:214" x14ac:dyDescent="0.25">
      <c r="E97" s="9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</row>
    <row r="98" spans="1:214" x14ac:dyDescent="0.25"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</row>
    <row r="99" spans="1:214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</row>
    <row r="100" spans="1:214" x14ac:dyDescent="0.25">
      <c r="A100" t="s">
        <v>41</v>
      </c>
      <c r="B100">
        <f>COUNTA(A1:HA1)</f>
        <v>2</v>
      </c>
      <c r="C100">
        <f>COUNTA(A1:A95)</f>
        <v>23</v>
      </c>
      <c r="D100">
        <f>SUM(E100,H100)</f>
        <v>24133</v>
      </c>
      <c r="E100">
        <f>SUM(B12:B95)</f>
        <v>20000</v>
      </c>
      <c r="F100">
        <f>SUM(C12:C95)</f>
        <v>9503</v>
      </c>
      <c r="G100">
        <v>5370</v>
      </c>
      <c r="H100">
        <f>F100-G100</f>
        <v>4133</v>
      </c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</row>
    <row r="101" spans="1:214" x14ac:dyDescent="0.25">
      <c r="A101" t="s">
        <v>42</v>
      </c>
      <c r="C101">
        <f>COUNTA(E1:E95)</f>
        <v>4</v>
      </c>
      <c r="D101">
        <f>SUM(E101,H101)</f>
        <v>1457236.5649305559</v>
      </c>
      <c r="E101">
        <f>SUM(F12:F95)</f>
        <v>1439039.5649305559</v>
      </c>
      <c r="F101">
        <f>SUM(G12:G95)</f>
        <v>22007</v>
      </c>
      <c r="G101">
        <v>3810</v>
      </c>
      <c r="H101">
        <f>F101-G101</f>
        <v>18197</v>
      </c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</row>
    <row r="102" spans="1:214" x14ac:dyDescent="0.25">
      <c r="A102" t="s">
        <v>82</v>
      </c>
      <c r="C102">
        <f>COUNTA(I1:I95)</f>
        <v>12</v>
      </c>
      <c r="D102">
        <f>SUM(E102,H102)</f>
        <v>7731</v>
      </c>
      <c r="E102">
        <f>SUM(J3:J95)</f>
        <v>7720</v>
      </c>
      <c r="F102">
        <f>SUM(K3:K95)</f>
        <v>11</v>
      </c>
      <c r="H102">
        <f>F102-G102</f>
        <v>11</v>
      </c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</row>
    <row r="103" spans="1:214" x14ac:dyDescent="0.25">
      <c r="A103" t="s">
        <v>83</v>
      </c>
      <c r="C103">
        <f>COUNTA(M1:M95)</f>
        <v>1</v>
      </c>
      <c r="D103">
        <f>SUM(E103,H103)</f>
        <v>29</v>
      </c>
      <c r="E103">
        <f>SUM(N3:N95)</f>
        <v>14</v>
      </c>
      <c r="F103">
        <f>SUM(O3:O95)</f>
        <v>15</v>
      </c>
      <c r="H103">
        <f>F103-G103</f>
        <v>15</v>
      </c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</row>
    <row r="104" spans="1:214" x14ac:dyDescent="0.25">
      <c r="A104" t="s">
        <v>84</v>
      </c>
      <c r="C104">
        <f>COUNTA(Q1:Q95)</f>
        <v>1</v>
      </c>
      <c r="D104">
        <f t="shared" ref="D104:D148" si="1">SUM(E104,H104)</f>
        <v>37</v>
      </c>
      <c r="E104">
        <f>SUM(R3:R95)</f>
        <v>18</v>
      </c>
      <c r="F104">
        <f>SUM(S3:S95)</f>
        <v>19</v>
      </c>
      <c r="H104">
        <f t="shared" ref="H104:H130" si="2">F104-G104</f>
        <v>19</v>
      </c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</row>
    <row r="105" spans="1:214" x14ac:dyDescent="0.25">
      <c r="C105">
        <f>COUNTA(U1:U95)</f>
        <v>1</v>
      </c>
      <c r="D105">
        <f>SUM(E105,H105)</f>
        <v>45</v>
      </c>
      <c r="E105">
        <f>SUM(V3:V95)</f>
        <v>22</v>
      </c>
      <c r="F105">
        <f>SUM(W3:W95)</f>
        <v>23</v>
      </c>
      <c r="H105">
        <f t="shared" si="2"/>
        <v>23</v>
      </c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</row>
    <row r="106" spans="1:214" x14ac:dyDescent="0.25">
      <c r="C106">
        <f>COUNTA(Y1:Y95)</f>
        <v>1</v>
      </c>
      <c r="D106">
        <f t="shared" si="1"/>
        <v>53</v>
      </c>
      <c r="E106">
        <f>SUM(Z3:Z95)</f>
        <v>26</v>
      </c>
      <c r="F106">
        <f>SUM(AA3:AA95)</f>
        <v>27</v>
      </c>
      <c r="H106">
        <f t="shared" si="2"/>
        <v>27</v>
      </c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</row>
    <row r="107" spans="1:214" x14ac:dyDescent="0.25">
      <c r="C107">
        <f>COUNTA(AC1:AC95)</f>
        <v>1</v>
      </c>
      <c r="D107">
        <f t="shared" si="1"/>
        <v>61</v>
      </c>
      <c r="E107">
        <f>SUM(AD3:AD95)</f>
        <v>30</v>
      </c>
      <c r="F107">
        <f>SUM(AE3:AE95)</f>
        <v>31</v>
      </c>
      <c r="H107">
        <f t="shared" si="2"/>
        <v>31</v>
      </c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</row>
    <row r="108" spans="1:214" x14ac:dyDescent="0.25">
      <c r="C108">
        <f>COUNTA(AG1:AG95)</f>
        <v>1</v>
      </c>
      <c r="D108">
        <f t="shared" si="1"/>
        <v>69</v>
      </c>
      <c r="E108">
        <f>SUM(AH3:AH95)</f>
        <v>34</v>
      </c>
      <c r="F108">
        <f>SUM(AI3:AI95)</f>
        <v>35</v>
      </c>
      <c r="H108">
        <f t="shared" si="2"/>
        <v>35</v>
      </c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</row>
    <row r="109" spans="1:214" x14ac:dyDescent="0.25">
      <c r="C109">
        <f>COUNTA(AK1:AK95)</f>
        <v>1</v>
      </c>
      <c r="D109">
        <f t="shared" si="1"/>
        <v>77</v>
      </c>
      <c r="E109">
        <f>SUM(AL3:AL95)</f>
        <v>38</v>
      </c>
      <c r="F109">
        <f>SUM(AM3:AM95)</f>
        <v>39</v>
      </c>
      <c r="H109">
        <f t="shared" si="2"/>
        <v>39</v>
      </c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</row>
    <row r="110" spans="1:214" x14ac:dyDescent="0.25">
      <c r="C110">
        <f>COUNTA(AO1:AO95)</f>
        <v>1</v>
      </c>
      <c r="D110">
        <f t="shared" si="1"/>
        <v>85</v>
      </c>
      <c r="E110">
        <f>SUM(AP3:AP95)</f>
        <v>42</v>
      </c>
      <c r="F110">
        <f>SUM(AQ3:AQ95)</f>
        <v>43</v>
      </c>
      <c r="H110">
        <f t="shared" si="2"/>
        <v>43</v>
      </c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</row>
    <row r="111" spans="1:214" x14ac:dyDescent="0.25">
      <c r="C111">
        <f>COUNTA(AS1:AS95)</f>
        <v>1</v>
      </c>
      <c r="D111">
        <f t="shared" si="1"/>
        <v>93</v>
      </c>
      <c r="E111">
        <f>SUM(AT3:AT95)</f>
        <v>46</v>
      </c>
      <c r="F111">
        <f>SUM(AU3:AU95)</f>
        <v>47</v>
      </c>
      <c r="H111">
        <f t="shared" si="2"/>
        <v>47</v>
      </c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</row>
    <row r="112" spans="1:214" x14ac:dyDescent="0.25">
      <c r="C112">
        <f>COUNTA(AW1:AW95)</f>
        <v>1</v>
      </c>
      <c r="D112">
        <f t="shared" si="1"/>
        <v>101</v>
      </c>
      <c r="E112">
        <f>SUM(AX3:AX95)</f>
        <v>50</v>
      </c>
      <c r="F112">
        <f>SUM(AY3:AY95)</f>
        <v>51</v>
      </c>
      <c r="H112">
        <f t="shared" si="2"/>
        <v>51</v>
      </c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</row>
    <row r="113" spans="3:214" x14ac:dyDescent="0.25">
      <c r="C113">
        <f>COUNTA(BA1:BA95)</f>
        <v>1</v>
      </c>
      <c r="D113">
        <f t="shared" si="1"/>
        <v>109</v>
      </c>
      <c r="E113">
        <f>SUM(BB3:BB95)</f>
        <v>54</v>
      </c>
      <c r="F113">
        <f>SUM(BC3:BC95)</f>
        <v>55</v>
      </c>
      <c r="H113">
        <f t="shared" si="2"/>
        <v>55</v>
      </c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</row>
    <row r="114" spans="3:214" x14ac:dyDescent="0.25">
      <c r="C114">
        <f>COUNTA(BE1:BE95)</f>
        <v>1</v>
      </c>
      <c r="D114">
        <f t="shared" si="1"/>
        <v>117</v>
      </c>
      <c r="E114">
        <f>SUM(BF3:BF95)</f>
        <v>58</v>
      </c>
      <c r="F114">
        <f>SUM(BG3:BG95)</f>
        <v>59</v>
      </c>
      <c r="H114">
        <f t="shared" si="2"/>
        <v>59</v>
      </c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</row>
    <row r="115" spans="3:214" x14ac:dyDescent="0.25">
      <c r="C115">
        <f>COUNTA(BI1:BI95)</f>
        <v>1</v>
      </c>
      <c r="D115">
        <f t="shared" si="1"/>
        <v>125</v>
      </c>
      <c r="E115">
        <f>SUM(BJ3:BJ95)</f>
        <v>62</v>
      </c>
      <c r="F115">
        <f>SUM(BK3:BK95)</f>
        <v>63</v>
      </c>
      <c r="H115">
        <f t="shared" si="2"/>
        <v>63</v>
      </c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</row>
    <row r="116" spans="3:214" x14ac:dyDescent="0.25">
      <c r="C116">
        <f>COUNTA(BM1:BM95)</f>
        <v>1</v>
      </c>
      <c r="D116">
        <f t="shared" si="1"/>
        <v>133</v>
      </c>
      <c r="E116">
        <f>SUM(BN3:BN95)</f>
        <v>66</v>
      </c>
      <c r="F116">
        <f>SUM(BO3:BO95)</f>
        <v>67</v>
      </c>
      <c r="H116">
        <f t="shared" si="2"/>
        <v>67</v>
      </c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</row>
    <row r="117" spans="3:214" x14ac:dyDescent="0.25">
      <c r="C117">
        <f>COUNTA(BQ1:BQ95)</f>
        <v>1</v>
      </c>
      <c r="D117">
        <f t="shared" si="1"/>
        <v>141</v>
      </c>
      <c r="E117">
        <f>SUM(BR3:BR95)</f>
        <v>70</v>
      </c>
      <c r="F117">
        <f>SUM(BS3:BS95)</f>
        <v>71</v>
      </c>
      <c r="H117">
        <f t="shared" si="2"/>
        <v>71</v>
      </c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</row>
    <row r="118" spans="3:214" x14ac:dyDescent="0.25">
      <c r="C118">
        <f>COUNTA(BU1:BU95)</f>
        <v>1</v>
      </c>
      <c r="D118">
        <f t="shared" si="1"/>
        <v>149</v>
      </c>
      <c r="E118">
        <f>SUM(BV3:BV95)</f>
        <v>74</v>
      </c>
      <c r="F118">
        <f>SUM(BW3:BW95)</f>
        <v>75</v>
      </c>
      <c r="H118">
        <f t="shared" si="2"/>
        <v>75</v>
      </c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</row>
    <row r="119" spans="3:214" x14ac:dyDescent="0.25">
      <c r="C119">
        <f>COUNTA(BY1:BY95)</f>
        <v>1</v>
      </c>
      <c r="D119">
        <f t="shared" si="1"/>
        <v>157</v>
      </c>
      <c r="E119">
        <f>SUM(BZ3:BZ95)</f>
        <v>78</v>
      </c>
      <c r="F119">
        <f>SUM(CA3:CA95)</f>
        <v>79</v>
      </c>
      <c r="H119">
        <f t="shared" si="2"/>
        <v>79</v>
      </c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</row>
    <row r="120" spans="3:214" x14ac:dyDescent="0.25">
      <c r="C120">
        <f>COUNTA(CC1:CC95)</f>
        <v>1</v>
      </c>
      <c r="D120">
        <f t="shared" si="1"/>
        <v>165</v>
      </c>
      <c r="E120">
        <f>SUM(CD3:CD95)</f>
        <v>82</v>
      </c>
      <c r="F120">
        <f>SUM(CE3:CE95)</f>
        <v>83</v>
      </c>
      <c r="H120">
        <f t="shared" si="2"/>
        <v>83</v>
      </c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</row>
    <row r="121" spans="3:214" x14ac:dyDescent="0.25">
      <c r="C121">
        <f>COUNTA(CG1:CG95)</f>
        <v>1</v>
      </c>
      <c r="D121">
        <f t="shared" si="1"/>
        <v>173</v>
      </c>
      <c r="E121">
        <f>SUM(CH3:CH95)</f>
        <v>86</v>
      </c>
      <c r="F121">
        <f>SUM(CI3:CI95)</f>
        <v>87</v>
      </c>
      <c r="H121">
        <f t="shared" si="2"/>
        <v>87</v>
      </c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</row>
    <row r="122" spans="3:214" x14ac:dyDescent="0.25">
      <c r="C122">
        <f>COUNTA(CK1:CK95)</f>
        <v>1</v>
      </c>
      <c r="D122">
        <f t="shared" si="1"/>
        <v>181</v>
      </c>
      <c r="E122">
        <f>SUM(CL3:CL95)</f>
        <v>90</v>
      </c>
      <c r="F122">
        <f>SUM(CM3:CM95)</f>
        <v>91</v>
      </c>
      <c r="H122">
        <f t="shared" si="2"/>
        <v>91</v>
      </c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</row>
    <row r="123" spans="3:214" x14ac:dyDescent="0.25">
      <c r="C123">
        <f>COUNTA(CO1:CO95)</f>
        <v>1</v>
      </c>
      <c r="D123">
        <f t="shared" si="1"/>
        <v>189</v>
      </c>
      <c r="E123">
        <f>SUM(CP3:CP95)</f>
        <v>94</v>
      </c>
      <c r="F123">
        <f>SUM(CQ3:CQ95)</f>
        <v>95</v>
      </c>
      <c r="H123">
        <f t="shared" si="2"/>
        <v>95</v>
      </c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</row>
    <row r="124" spans="3:214" x14ac:dyDescent="0.25">
      <c r="C124">
        <f>COUNTA(CS1:CS95)</f>
        <v>1</v>
      </c>
      <c r="D124">
        <f t="shared" si="1"/>
        <v>197</v>
      </c>
      <c r="E124">
        <f>SUM(CT3:CT95)</f>
        <v>98</v>
      </c>
      <c r="F124">
        <f>SUM(CU3:CU95)</f>
        <v>99</v>
      </c>
      <c r="H124">
        <f t="shared" si="2"/>
        <v>99</v>
      </c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</row>
    <row r="125" spans="3:214" x14ac:dyDescent="0.25">
      <c r="C125">
        <f>COUNTA(CW1:CW95)</f>
        <v>1</v>
      </c>
      <c r="D125">
        <f t="shared" si="1"/>
        <v>205</v>
      </c>
      <c r="E125">
        <f>SUM(CX3:CX95)</f>
        <v>102</v>
      </c>
      <c r="F125">
        <f>SUM(CY3:CY95)</f>
        <v>103</v>
      </c>
      <c r="H125">
        <f t="shared" si="2"/>
        <v>103</v>
      </c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</row>
    <row r="126" spans="3:214" x14ac:dyDescent="0.25">
      <c r="C126">
        <f>COUNTA(DA1:DA95)</f>
        <v>1</v>
      </c>
      <c r="D126">
        <f t="shared" si="1"/>
        <v>213</v>
      </c>
      <c r="E126">
        <f>SUM(DB3:DB95)</f>
        <v>106</v>
      </c>
      <c r="F126">
        <f>SUM(DC3:DC95)</f>
        <v>107</v>
      </c>
      <c r="H126">
        <f t="shared" si="2"/>
        <v>107</v>
      </c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</row>
    <row r="127" spans="3:214" x14ac:dyDescent="0.25">
      <c r="C127">
        <f>COUNTA(DE1:DE95)</f>
        <v>1</v>
      </c>
      <c r="D127">
        <f t="shared" si="1"/>
        <v>221</v>
      </c>
      <c r="E127">
        <f>SUM(DF3:DF95)</f>
        <v>110</v>
      </c>
      <c r="F127">
        <f>SUM(DG3:DG95)</f>
        <v>111</v>
      </c>
      <c r="H127">
        <f t="shared" si="2"/>
        <v>111</v>
      </c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</row>
    <row r="128" spans="3:214" x14ac:dyDescent="0.25">
      <c r="C128">
        <f>COUNTA(DI1:DI95)</f>
        <v>1</v>
      </c>
      <c r="D128">
        <f t="shared" si="1"/>
        <v>229</v>
      </c>
      <c r="E128">
        <f>SUM(DJ3:DJ95)</f>
        <v>114</v>
      </c>
      <c r="F128">
        <f>SUM(DK3:DK95)</f>
        <v>115</v>
      </c>
      <c r="H128">
        <f t="shared" si="2"/>
        <v>115</v>
      </c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</row>
    <row r="129" spans="3:214" x14ac:dyDescent="0.25">
      <c r="C129">
        <f>COUNTA(DM1:DM95)</f>
        <v>1</v>
      </c>
      <c r="D129">
        <f t="shared" si="1"/>
        <v>237</v>
      </c>
      <c r="E129">
        <f>SUM(DN3:DN95)</f>
        <v>118</v>
      </c>
      <c r="F129">
        <f>SUM(DO3:DO95)</f>
        <v>119</v>
      </c>
      <c r="H129">
        <f t="shared" si="2"/>
        <v>119</v>
      </c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</row>
    <row r="130" spans="3:214" x14ac:dyDescent="0.25">
      <c r="C130">
        <f>COUNTA(DQ1:DQ95)</f>
        <v>1</v>
      </c>
      <c r="D130">
        <f t="shared" si="1"/>
        <v>245</v>
      </c>
      <c r="E130">
        <f>SUM(DR3:DR95)</f>
        <v>122</v>
      </c>
      <c r="F130">
        <f>SUM(DS3:DS95)</f>
        <v>123</v>
      </c>
      <c r="H130">
        <f t="shared" si="2"/>
        <v>123</v>
      </c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</row>
    <row r="131" spans="3:214" x14ac:dyDescent="0.25">
      <c r="C131">
        <f>COUNTA(DU1:DU95)</f>
        <v>1</v>
      </c>
      <c r="D131">
        <f t="shared" si="1"/>
        <v>253</v>
      </c>
      <c r="E131">
        <f>SUM(DV3:DV95)</f>
        <v>126</v>
      </c>
      <c r="F131">
        <f>SUM(DW3:DW95)</f>
        <v>127</v>
      </c>
      <c r="H131">
        <f t="shared" ref="H131:H148" si="3">F131-G103</f>
        <v>127</v>
      </c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</row>
    <row r="132" spans="3:214" x14ac:dyDescent="0.25">
      <c r="C132">
        <f>COUNTA(DY1:DY95)</f>
        <v>1</v>
      </c>
      <c r="D132">
        <f t="shared" si="1"/>
        <v>257</v>
      </c>
      <c r="E132">
        <f>SUM(DX3:DX95)</f>
        <v>128</v>
      </c>
      <c r="F132">
        <f>SUM(DY3:DY95)</f>
        <v>129</v>
      </c>
      <c r="H132">
        <f t="shared" si="3"/>
        <v>129</v>
      </c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</row>
    <row r="133" spans="3:214" x14ac:dyDescent="0.25">
      <c r="C133">
        <f>COUNTA(EC1:EC95)</f>
        <v>1</v>
      </c>
      <c r="D133">
        <f t="shared" si="1"/>
        <v>269</v>
      </c>
      <c r="E133">
        <f>SUM(ED3:ED95)</f>
        <v>134</v>
      </c>
      <c r="F133">
        <f>SUM(EE3:EE95)</f>
        <v>135</v>
      </c>
      <c r="H133">
        <f t="shared" si="3"/>
        <v>135</v>
      </c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</row>
    <row r="134" spans="3:214" x14ac:dyDescent="0.25">
      <c r="C134">
        <f>COUNTA(EG1:EG96)</f>
        <v>1</v>
      </c>
      <c r="D134">
        <f t="shared" si="1"/>
        <v>277</v>
      </c>
      <c r="E134">
        <f>SUM(EH3:EH95)</f>
        <v>138</v>
      </c>
      <c r="F134">
        <f>SUM(EI3:EI95)</f>
        <v>139</v>
      </c>
      <c r="H134">
        <f t="shared" si="3"/>
        <v>139</v>
      </c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</row>
    <row r="135" spans="3:214" x14ac:dyDescent="0.25">
      <c r="C135">
        <f>COUNTA(EK1:EK95)</f>
        <v>1</v>
      </c>
      <c r="D135">
        <f t="shared" si="1"/>
        <v>285</v>
      </c>
      <c r="E135">
        <f>SUM(EL3:EL95)</f>
        <v>142</v>
      </c>
      <c r="F135">
        <f>SUM(EM3:EM95)</f>
        <v>143</v>
      </c>
      <c r="H135">
        <f t="shared" si="3"/>
        <v>143</v>
      </c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</row>
    <row r="136" spans="3:214" x14ac:dyDescent="0.25">
      <c r="C136">
        <f>COUNTA(EO1:EO95)</f>
        <v>1</v>
      </c>
      <c r="D136">
        <f t="shared" si="1"/>
        <v>293</v>
      </c>
      <c r="E136">
        <f>SUM(EP3:EP95)</f>
        <v>146</v>
      </c>
      <c r="F136">
        <f>SUM(EQ3:EQ95)</f>
        <v>147</v>
      </c>
      <c r="H136">
        <f t="shared" si="3"/>
        <v>147</v>
      </c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</row>
    <row r="137" spans="3:214" x14ac:dyDescent="0.25">
      <c r="C137">
        <f>COUNTA(ES1:ES95)</f>
        <v>1</v>
      </c>
      <c r="D137">
        <f t="shared" si="1"/>
        <v>301</v>
      </c>
      <c r="E137">
        <f>SUM(ET3:ET95)</f>
        <v>150</v>
      </c>
      <c r="F137">
        <f>SUM(EU3:EU95)</f>
        <v>151</v>
      </c>
      <c r="H137">
        <f t="shared" si="3"/>
        <v>151</v>
      </c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</row>
    <row r="138" spans="3:214" x14ac:dyDescent="0.25">
      <c r="C138">
        <f>COUNTA(EW1:EW95)</f>
        <v>1</v>
      </c>
      <c r="D138">
        <f t="shared" si="1"/>
        <v>309</v>
      </c>
      <c r="E138">
        <f>SUM(EX3:EX95)</f>
        <v>154</v>
      </c>
      <c r="F138">
        <f>SUM(EY3:EY95)</f>
        <v>155</v>
      </c>
      <c r="H138">
        <f t="shared" si="3"/>
        <v>155</v>
      </c>
    </row>
    <row r="139" spans="3:214" x14ac:dyDescent="0.25">
      <c r="C139">
        <f>COUNTA(FA1:FA95)</f>
        <v>1</v>
      </c>
      <c r="D139">
        <f t="shared" si="1"/>
        <v>317</v>
      </c>
      <c r="E139">
        <f>SUM(FB3:FB95)</f>
        <v>158</v>
      </c>
      <c r="F139">
        <f>SUM(FC3:FC95)</f>
        <v>159</v>
      </c>
      <c r="H139">
        <f t="shared" si="3"/>
        <v>159</v>
      </c>
    </row>
    <row r="140" spans="3:214" x14ac:dyDescent="0.25">
      <c r="C140">
        <f>COUNTA(FE1:FE95)</f>
        <v>1</v>
      </c>
      <c r="D140">
        <f t="shared" si="1"/>
        <v>325</v>
      </c>
      <c r="E140">
        <f>SUM(FF3:FF95)</f>
        <v>162</v>
      </c>
      <c r="F140">
        <f>SUM(FG3:FG95)</f>
        <v>163</v>
      </c>
      <c r="H140">
        <f t="shared" si="3"/>
        <v>163</v>
      </c>
    </row>
    <row r="141" spans="3:214" x14ac:dyDescent="0.25">
      <c r="C141">
        <f>COUNTA(FI1:FI95)</f>
        <v>1</v>
      </c>
      <c r="D141">
        <f t="shared" si="1"/>
        <v>333</v>
      </c>
      <c r="E141">
        <f>SUM(FJ3:FJ95)</f>
        <v>166</v>
      </c>
      <c r="F141">
        <f>SUM(FK3:FK95)</f>
        <v>167</v>
      </c>
      <c r="H141">
        <f t="shared" si="3"/>
        <v>167</v>
      </c>
    </row>
    <row r="142" spans="3:214" x14ac:dyDescent="0.25">
      <c r="C142">
        <f>COUNTA(FM1:FM95)</f>
        <v>1</v>
      </c>
      <c r="D142">
        <f t="shared" si="1"/>
        <v>341</v>
      </c>
      <c r="E142">
        <f>SUM(FN3:FN95)</f>
        <v>170</v>
      </c>
      <c r="F142">
        <f>SUM(FO3:FO95)</f>
        <v>171</v>
      </c>
      <c r="H142">
        <f t="shared" si="3"/>
        <v>171</v>
      </c>
    </row>
    <row r="143" spans="3:214" x14ac:dyDescent="0.25">
      <c r="C143">
        <f>COUNTA(FQ1:FQ95)</f>
        <v>1</v>
      </c>
      <c r="D143">
        <f t="shared" si="1"/>
        <v>349</v>
      </c>
      <c r="E143">
        <f>SUM(FR3:FR95)</f>
        <v>174</v>
      </c>
      <c r="F143">
        <f>SUM(FS3:FS95)</f>
        <v>175</v>
      </c>
      <c r="H143">
        <f t="shared" si="3"/>
        <v>175</v>
      </c>
    </row>
    <row r="144" spans="3:214" x14ac:dyDescent="0.25">
      <c r="C144">
        <f>COUNTA(FU1:FU95)</f>
        <v>1</v>
      </c>
      <c r="D144">
        <f t="shared" si="1"/>
        <v>357</v>
      </c>
      <c r="E144">
        <f>SUM(FV3:FV95)</f>
        <v>178</v>
      </c>
      <c r="F144">
        <f>SUM(FW3:FW95)</f>
        <v>179</v>
      </c>
      <c r="H144">
        <f t="shared" si="3"/>
        <v>179</v>
      </c>
    </row>
    <row r="145" spans="3:8" x14ac:dyDescent="0.25">
      <c r="C145">
        <f>COUNTA(FY1:FY95)</f>
        <v>1</v>
      </c>
      <c r="D145">
        <f t="shared" si="1"/>
        <v>365</v>
      </c>
      <c r="E145">
        <f>SUM(FZ3:FZ95)</f>
        <v>182</v>
      </c>
      <c r="F145">
        <f>SUM(GA3:GA95)</f>
        <v>183</v>
      </c>
      <c r="H145">
        <f t="shared" si="3"/>
        <v>183</v>
      </c>
    </row>
    <row r="146" spans="3:8" x14ac:dyDescent="0.25">
      <c r="C146">
        <f>COUNTA(GC1:GC95)</f>
        <v>1</v>
      </c>
      <c r="D146">
        <f t="shared" si="1"/>
        <v>373</v>
      </c>
      <c r="E146">
        <f>SUM(GD3:GD95)</f>
        <v>186</v>
      </c>
      <c r="F146">
        <f>SUM(GE3:GE95)</f>
        <v>187</v>
      </c>
      <c r="H146">
        <f t="shared" si="3"/>
        <v>187</v>
      </c>
    </row>
    <row r="147" spans="3:8" x14ac:dyDescent="0.25">
      <c r="C147">
        <f>COUNTA(GG1:GG95)</f>
        <v>1</v>
      </c>
      <c r="D147">
        <f t="shared" si="1"/>
        <v>381</v>
      </c>
      <c r="E147">
        <f>SUM(GH3:GH95)</f>
        <v>190</v>
      </c>
      <c r="F147">
        <f>SUM(GI3:GI95)</f>
        <v>191</v>
      </c>
      <c r="H147">
        <f t="shared" si="3"/>
        <v>191</v>
      </c>
    </row>
    <row r="148" spans="3:8" x14ac:dyDescent="0.25">
      <c r="C148">
        <f>COUNTA(GK1:GK95)</f>
        <v>1</v>
      </c>
      <c r="D148">
        <f t="shared" si="1"/>
        <v>389</v>
      </c>
      <c r="E148">
        <f>SUM(GL3:GL95)</f>
        <v>194</v>
      </c>
      <c r="F148">
        <f>SUM(GM3:GM95)</f>
        <v>195</v>
      </c>
      <c r="H148">
        <f t="shared" si="3"/>
        <v>195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1"/>
  <sheetViews>
    <sheetView workbookViewId="0">
      <selection activeCell="U9" sqref="U9"/>
    </sheetView>
  </sheetViews>
  <sheetFormatPr defaultRowHeight="15" x14ac:dyDescent="0.25"/>
  <cols>
    <col min="1" max="1" width="2.85546875" customWidth="1"/>
    <col min="3" max="3" width="7" customWidth="1"/>
    <col min="7" max="7" width="5.28515625" customWidth="1"/>
    <col min="13" max="13" width="2.85546875" customWidth="1"/>
    <col min="15" max="15" width="2.85546875" customWidth="1"/>
    <col min="26" max="26" width="2.85546875" customWidth="1"/>
    <col min="28" max="28" width="2.85546875" customWidth="1"/>
    <col min="39" max="39" width="2.85546875" customWidth="1"/>
  </cols>
  <sheetData>
    <row r="1" spans="1:39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</row>
    <row r="2" spans="1:39" ht="15" customHeight="1" x14ac:dyDescent="0.25">
      <c r="A2" s="30"/>
      <c r="B2" s="14"/>
      <c r="C2" s="14"/>
      <c r="D2" s="14"/>
      <c r="E2" s="14"/>
      <c r="F2" s="199" t="s">
        <v>79</v>
      </c>
      <c r="G2" s="199"/>
      <c r="H2" s="199"/>
      <c r="I2" s="199"/>
      <c r="J2" s="199"/>
      <c r="K2" s="14"/>
      <c r="L2" s="14"/>
      <c r="M2" s="30"/>
      <c r="O2" s="30"/>
      <c r="P2" s="32"/>
      <c r="Q2" s="32"/>
      <c r="R2" s="232" t="s">
        <v>80</v>
      </c>
      <c r="S2" s="232"/>
      <c r="T2" s="232"/>
      <c r="U2" s="232"/>
      <c r="V2" s="232"/>
      <c r="W2" s="232"/>
      <c r="X2" s="32"/>
      <c r="Y2" s="32"/>
      <c r="Z2" s="30"/>
      <c r="AB2" s="73"/>
      <c r="AC2" s="32"/>
      <c r="AD2" s="32"/>
      <c r="AE2" s="232" t="s">
        <v>70</v>
      </c>
      <c r="AF2" s="232"/>
      <c r="AG2" s="232"/>
      <c r="AH2" s="232"/>
      <c r="AI2" s="232"/>
      <c r="AJ2" s="232"/>
      <c r="AK2" s="32"/>
      <c r="AL2" s="32"/>
      <c r="AM2" s="73"/>
    </row>
    <row r="3" spans="1:39" ht="15.75" customHeight="1" thickBot="1" x14ac:dyDescent="0.3">
      <c r="A3" s="30"/>
      <c r="B3" s="14"/>
      <c r="C3" s="14"/>
      <c r="D3" s="14"/>
      <c r="E3" s="14"/>
      <c r="F3" s="199"/>
      <c r="G3" s="199"/>
      <c r="H3" s="199"/>
      <c r="I3" s="199"/>
      <c r="J3" s="199"/>
      <c r="K3" s="14"/>
      <c r="L3" s="14"/>
      <c r="M3" s="30"/>
      <c r="O3" s="30"/>
      <c r="P3" s="32"/>
      <c r="Q3" s="32"/>
      <c r="R3" s="234"/>
      <c r="S3" s="234"/>
      <c r="T3" s="234"/>
      <c r="U3" s="234"/>
      <c r="V3" s="234"/>
      <c r="W3" s="234"/>
      <c r="X3" s="32"/>
      <c r="Y3" s="32"/>
      <c r="Z3" s="30"/>
      <c r="AB3" s="73"/>
      <c r="AC3" s="32"/>
      <c r="AD3" s="32"/>
      <c r="AE3" s="233"/>
      <c r="AF3" s="233"/>
      <c r="AG3" s="233"/>
      <c r="AH3" s="233"/>
      <c r="AI3" s="233"/>
      <c r="AJ3" s="233"/>
      <c r="AK3" s="32"/>
      <c r="AL3" s="32"/>
      <c r="AM3" s="73"/>
    </row>
    <row r="4" spans="1:39" ht="15" customHeight="1" x14ac:dyDescent="0.25">
      <c r="A4" s="30"/>
      <c r="B4" s="14"/>
      <c r="C4" s="14"/>
      <c r="D4" s="14"/>
      <c r="E4" s="14"/>
      <c r="F4" s="200">
        <f>U4+AH6+AH10</f>
        <v>2015000</v>
      </c>
      <c r="G4" s="201"/>
      <c r="H4" s="201"/>
      <c r="I4" s="201"/>
      <c r="J4" s="202"/>
      <c r="L4" s="14"/>
      <c r="M4" s="30"/>
      <c r="O4" s="30"/>
      <c r="P4" s="32"/>
      <c r="Q4" s="212" t="s">
        <v>59</v>
      </c>
      <c r="R4" s="213"/>
      <c r="S4" s="213"/>
      <c r="T4" s="214"/>
      <c r="U4" s="218">
        <f>U7 +U10</f>
        <v>935000</v>
      </c>
      <c r="V4" s="219"/>
      <c r="W4" s="219"/>
      <c r="X4" s="220"/>
      <c r="Y4" s="32"/>
      <c r="Z4" s="30"/>
      <c r="AB4" s="73"/>
      <c r="AC4" s="32"/>
      <c r="AD4" s="32"/>
      <c r="AE4" s="83"/>
      <c r="AF4" s="83"/>
      <c r="AG4" s="83"/>
      <c r="AH4" s="83"/>
      <c r="AI4" s="83"/>
      <c r="AJ4" s="83"/>
      <c r="AK4" s="32"/>
      <c r="AL4" s="32"/>
      <c r="AM4" s="73"/>
    </row>
    <row r="5" spans="1:39" ht="15.75" customHeight="1" thickBot="1" x14ac:dyDescent="0.3">
      <c r="A5" s="30"/>
      <c r="B5" s="14"/>
      <c r="C5" s="14"/>
      <c r="D5" s="14"/>
      <c r="E5" s="14"/>
      <c r="F5" s="203"/>
      <c r="G5" s="204"/>
      <c r="H5" s="204"/>
      <c r="I5" s="204"/>
      <c r="J5" s="205"/>
      <c r="K5" s="14"/>
      <c r="L5" s="14"/>
      <c r="M5" s="30"/>
      <c r="O5" s="30"/>
      <c r="P5" s="32"/>
      <c r="Q5" s="215"/>
      <c r="R5" s="216"/>
      <c r="S5" s="216"/>
      <c r="T5" s="217"/>
      <c r="U5" s="221"/>
      <c r="V5" s="222"/>
      <c r="W5" s="222"/>
      <c r="X5" s="223"/>
      <c r="Y5" s="32"/>
      <c r="Z5" s="30"/>
      <c r="AB5" s="73"/>
      <c r="AC5" s="32"/>
      <c r="AD5" s="32"/>
      <c r="AE5" s="83"/>
      <c r="AF5" s="83"/>
      <c r="AG5" s="83"/>
      <c r="AH5" s="83"/>
      <c r="AI5" s="83"/>
      <c r="AJ5" s="83"/>
      <c r="AK5" s="32"/>
      <c r="AL5" s="32"/>
      <c r="AM5" s="73"/>
    </row>
    <row r="6" spans="1:39" ht="15.75" thickBot="1" x14ac:dyDescent="0.3">
      <c r="A6" s="30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30"/>
      <c r="O6" s="30"/>
      <c r="P6" s="32"/>
      <c r="Q6" s="32"/>
      <c r="R6" s="32"/>
      <c r="S6" s="32"/>
      <c r="T6" s="32"/>
      <c r="U6" s="32"/>
      <c r="V6" s="231"/>
      <c r="W6" s="230"/>
      <c r="X6" s="32"/>
      <c r="Y6" s="32"/>
      <c r="Z6" s="30"/>
      <c r="AB6" s="73"/>
      <c r="AC6" s="32"/>
      <c r="AD6" s="212" t="s">
        <v>69</v>
      </c>
      <c r="AE6" s="213"/>
      <c r="AF6" s="213"/>
      <c r="AG6" s="214"/>
      <c r="AH6" s="218">
        <v>980000</v>
      </c>
      <c r="AI6" s="219"/>
      <c r="AJ6" s="219"/>
      <c r="AK6" s="220"/>
      <c r="AL6" s="32"/>
      <c r="AM6" s="73"/>
    </row>
    <row r="7" spans="1:39" ht="15.75" thickBot="1" x14ac:dyDescent="0.3">
      <c r="A7" s="30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30"/>
      <c r="O7" s="30"/>
      <c r="P7" s="32"/>
      <c r="Q7" s="224" t="s">
        <v>54</v>
      </c>
      <c r="R7" s="225"/>
      <c r="S7" s="225"/>
      <c r="T7" s="226"/>
      <c r="U7" s="218">
        <v>35000</v>
      </c>
      <c r="V7" s="219"/>
      <c r="W7" s="219"/>
      <c r="X7" s="220"/>
      <c r="Y7" s="32"/>
      <c r="Z7" s="30"/>
      <c r="AB7" s="73"/>
      <c r="AC7" s="32"/>
      <c r="AD7" s="215"/>
      <c r="AE7" s="216"/>
      <c r="AF7" s="216"/>
      <c r="AG7" s="217"/>
      <c r="AH7" s="221"/>
      <c r="AI7" s="222"/>
      <c r="AJ7" s="222"/>
      <c r="AK7" s="223"/>
      <c r="AL7" s="32"/>
      <c r="AM7" s="73"/>
    </row>
    <row r="8" spans="1:39" ht="15.75" thickBot="1" x14ac:dyDescent="0.3">
      <c r="A8" s="30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30"/>
      <c r="O8" s="30"/>
      <c r="P8" s="32"/>
      <c r="Q8" s="227"/>
      <c r="R8" s="228"/>
      <c r="S8" s="228"/>
      <c r="T8" s="229"/>
      <c r="U8" s="221"/>
      <c r="V8" s="222"/>
      <c r="W8" s="222"/>
      <c r="X8" s="223"/>
      <c r="Y8" s="32"/>
      <c r="Z8" s="30"/>
      <c r="AB8" s="73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73"/>
    </row>
    <row r="9" spans="1:39" ht="15.75" thickBot="1" x14ac:dyDescent="0.3">
      <c r="A9" s="30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30"/>
      <c r="O9" s="30"/>
      <c r="P9" s="32"/>
      <c r="Q9" s="32"/>
      <c r="R9" s="32"/>
      <c r="S9" s="32"/>
      <c r="T9" s="32"/>
      <c r="U9" s="32"/>
      <c r="V9" s="230"/>
      <c r="W9" s="230"/>
      <c r="X9" s="32"/>
      <c r="Y9" s="32"/>
      <c r="Z9" s="30"/>
      <c r="AB9" s="73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73"/>
    </row>
    <row r="10" spans="1:39" ht="15" customHeight="1" x14ac:dyDescent="0.25">
      <c r="A10" s="30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30"/>
      <c r="O10" s="31"/>
      <c r="P10" s="32"/>
      <c r="Q10" s="224" t="s">
        <v>55</v>
      </c>
      <c r="R10" s="225"/>
      <c r="S10" s="225"/>
      <c r="T10" s="226"/>
      <c r="U10" s="218">
        <f>SUM(U13,U15,U17)</f>
        <v>900000</v>
      </c>
      <c r="V10" s="219"/>
      <c r="W10" s="219"/>
      <c r="X10" s="220"/>
      <c r="Y10" s="32"/>
      <c r="Z10" s="30"/>
      <c r="AB10" s="73"/>
      <c r="AC10" s="32"/>
      <c r="AD10" s="235" t="s">
        <v>77</v>
      </c>
      <c r="AE10" s="236"/>
      <c r="AF10" s="236"/>
      <c r="AG10" s="237"/>
      <c r="AH10" s="218">
        <v>100000</v>
      </c>
      <c r="AI10" s="219"/>
      <c r="AJ10" s="219"/>
      <c r="AK10" s="220"/>
      <c r="AL10" s="32"/>
      <c r="AM10" s="73"/>
    </row>
    <row r="11" spans="1:39" ht="15.75" customHeight="1" thickBot="1" x14ac:dyDescent="0.3">
      <c r="A11" s="30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30"/>
      <c r="O11" s="30"/>
      <c r="P11" s="32"/>
      <c r="Q11" s="227"/>
      <c r="R11" s="228"/>
      <c r="S11" s="228"/>
      <c r="T11" s="229"/>
      <c r="U11" s="221"/>
      <c r="V11" s="222"/>
      <c r="W11" s="222"/>
      <c r="X11" s="223"/>
      <c r="Y11" s="32"/>
      <c r="Z11" s="30"/>
      <c r="AB11" s="73"/>
      <c r="AC11" s="32"/>
      <c r="AD11" s="238"/>
      <c r="AE11" s="239"/>
      <c r="AF11" s="239"/>
      <c r="AG11" s="240"/>
      <c r="AH11" s="244"/>
      <c r="AI11" s="245"/>
      <c r="AJ11" s="245"/>
      <c r="AK11" s="246"/>
      <c r="AL11" s="32"/>
      <c r="AM11" s="73"/>
    </row>
    <row r="12" spans="1:39" ht="15.75" thickBot="1" x14ac:dyDescent="0.3">
      <c r="A12" s="30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30"/>
      <c r="O12" s="30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0"/>
      <c r="AB12" s="73"/>
      <c r="AC12" s="32"/>
      <c r="AD12" s="241"/>
      <c r="AE12" s="242"/>
      <c r="AF12" s="242"/>
      <c r="AG12" s="243"/>
      <c r="AH12" s="221"/>
      <c r="AI12" s="222"/>
      <c r="AJ12" s="222"/>
      <c r="AK12" s="223"/>
      <c r="AL12" s="32"/>
      <c r="AM12" s="73"/>
    </row>
    <row r="13" spans="1:39" ht="15.75" thickBot="1" x14ac:dyDescent="0.3">
      <c r="A13" s="30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30"/>
      <c r="O13" s="30"/>
      <c r="P13" s="32"/>
      <c r="Q13" s="32"/>
      <c r="R13" s="206" t="s">
        <v>58</v>
      </c>
      <c r="S13" s="207"/>
      <c r="T13" s="208"/>
      <c r="U13" s="209">
        <v>300000</v>
      </c>
      <c r="V13" s="210"/>
      <c r="W13" s="211"/>
      <c r="X13" s="32"/>
      <c r="Y13" s="32"/>
      <c r="Z13" s="30"/>
      <c r="AB13" s="73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73"/>
    </row>
    <row r="14" spans="1:39" ht="15.75" thickBot="1" x14ac:dyDescent="0.3">
      <c r="A14" s="30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30"/>
      <c r="O14" s="30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0"/>
      <c r="AB14" s="73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73"/>
    </row>
    <row r="15" spans="1:39" ht="15.75" thickBot="1" x14ac:dyDescent="0.3">
      <c r="A15" s="30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30"/>
      <c r="O15" s="30"/>
      <c r="P15" s="32"/>
      <c r="Q15" s="32"/>
      <c r="R15" s="206" t="s">
        <v>56</v>
      </c>
      <c r="S15" s="207"/>
      <c r="T15" s="208"/>
      <c r="U15" s="209">
        <v>300000</v>
      </c>
      <c r="V15" s="210"/>
      <c r="W15" s="211"/>
      <c r="X15" s="32"/>
      <c r="Y15" s="32"/>
      <c r="Z15" s="30"/>
      <c r="AB15" s="73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73"/>
    </row>
    <row r="16" spans="1:39" ht="15.75" thickBot="1" x14ac:dyDescent="0.3">
      <c r="A16" s="30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30"/>
      <c r="O16" s="30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0"/>
      <c r="AB16" s="73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73"/>
    </row>
    <row r="17" spans="1:39" ht="15.75" thickBot="1" x14ac:dyDescent="0.3">
      <c r="A17" s="30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30"/>
      <c r="O17" s="30"/>
      <c r="P17" s="32"/>
      <c r="Q17" s="32"/>
      <c r="R17" s="206" t="s">
        <v>57</v>
      </c>
      <c r="S17" s="207"/>
      <c r="T17" s="208"/>
      <c r="U17" s="209">
        <v>300000</v>
      </c>
      <c r="V17" s="210"/>
      <c r="W17" s="211"/>
      <c r="X17" s="32"/>
      <c r="Y17" s="32"/>
      <c r="Z17" s="30"/>
      <c r="AB17" s="73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73"/>
    </row>
    <row r="18" spans="1:39" x14ac:dyDescent="0.25">
      <c r="A18" s="30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30"/>
      <c r="O18" s="30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0"/>
      <c r="AB18" s="73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73"/>
    </row>
    <row r="19" spans="1:39" x14ac:dyDescent="0.25">
      <c r="A19" s="30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30"/>
      <c r="O19" s="30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0"/>
      <c r="AB19" s="73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73"/>
    </row>
    <row r="20" spans="1:39" x14ac:dyDescent="0.25">
      <c r="A20" s="30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30"/>
      <c r="O20" s="30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0"/>
      <c r="AB20" s="73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73"/>
    </row>
    <row r="21" spans="1:39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</row>
  </sheetData>
  <mergeCells count="22">
    <mergeCell ref="AE2:AJ3"/>
    <mergeCell ref="AD6:AG7"/>
    <mergeCell ref="AH6:AK7"/>
    <mergeCell ref="R2:W3"/>
    <mergeCell ref="R13:T13"/>
    <mergeCell ref="U13:W13"/>
    <mergeCell ref="AD10:AG12"/>
    <mergeCell ref="AH10:AK12"/>
    <mergeCell ref="F2:J3"/>
    <mergeCell ref="F4:J5"/>
    <mergeCell ref="R15:T15"/>
    <mergeCell ref="U15:W15"/>
    <mergeCell ref="R17:T17"/>
    <mergeCell ref="U17:W17"/>
    <mergeCell ref="Q4:T5"/>
    <mergeCell ref="U4:X5"/>
    <mergeCell ref="Q7:T8"/>
    <mergeCell ref="Q10:T11"/>
    <mergeCell ref="U7:X8"/>
    <mergeCell ref="U10:X11"/>
    <mergeCell ref="V9:W9"/>
    <mergeCell ref="V6:W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5</xdr:col>
                <xdr:colOff>371475</xdr:colOff>
                <xdr:row>17</xdr:row>
                <xdr:rowOff>47625</xdr:rowOff>
              </from>
              <to>
                <xdr:col>9</xdr:col>
                <xdr:colOff>219075</xdr:colOff>
                <xdr:row>19</xdr:row>
                <xdr:rowOff>66675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5</xdr:col>
                <xdr:colOff>371475</xdr:colOff>
                <xdr:row>14</xdr:row>
                <xdr:rowOff>180975</xdr:rowOff>
              </from>
              <to>
                <xdr:col>9</xdr:col>
                <xdr:colOff>219075</xdr:colOff>
                <xdr:row>16</xdr:row>
                <xdr:rowOff>180975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A65E8-46F0-4D4D-A6FA-DDB59E7A798B}">
  <sheetPr codeName="Sheet7"/>
  <dimension ref="A1:I29"/>
  <sheetViews>
    <sheetView workbookViewId="0">
      <selection activeCell="J21" sqref="J21"/>
    </sheetView>
  </sheetViews>
  <sheetFormatPr defaultRowHeight="15" x14ac:dyDescent="0.25"/>
  <cols>
    <col min="1" max="1" width="20.140625" customWidth="1"/>
    <col min="2" max="2" width="14.7109375" customWidth="1"/>
    <col min="3" max="3" width="18.28515625" customWidth="1"/>
    <col min="4" max="4" width="15.42578125" customWidth="1"/>
    <col min="5" max="5" width="16.5703125" customWidth="1"/>
    <col min="6" max="6" width="15.85546875" customWidth="1"/>
  </cols>
  <sheetData>
    <row r="1" spans="1:9" x14ac:dyDescent="0.25">
      <c r="A1" s="255" t="s">
        <v>64</v>
      </c>
      <c r="B1" s="256"/>
      <c r="C1" s="256"/>
      <c r="D1" s="256"/>
      <c r="E1" s="256"/>
      <c r="F1" s="256"/>
      <c r="G1" s="256"/>
      <c r="H1" s="256"/>
      <c r="I1" s="257"/>
    </row>
    <row r="2" spans="1:9" ht="15.75" thickBot="1" x14ac:dyDescent="0.3">
      <c r="A2" s="258"/>
      <c r="B2" s="259"/>
      <c r="C2" s="259"/>
      <c r="D2" s="259"/>
      <c r="E2" s="259"/>
      <c r="F2" s="260"/>
      <c r="G2" s="260"/>
      <c r="H2" s="260"/>
      <c r="I2" s="261"/>
    </row>
    <row r="3" spans="1:9" x14ac:dyDescent="0.25">
      <c r="A3" s="72" t="s">
        <v>65</v>
      </c>
      <c r="B3" s="72" t="s">
        <v>61</v>
      </c>
      <c r="C3" s="72" t="s">
        <v>66</v>
      </c>
      <c r="D3" s="72" t="s">
        <v>67</v>
      </c>
      <c r="E3" s="74" t="s">
        <v>68</v>
      </c>
      <c r="F3" s="262" t="s">
        <v>78</v>
      </c>
      <c r="G3" s="263"/>
      <c r="H3" s="263"/>
      <c r="I3" s="264"/>
    </row>
    <row r="4" spans="1:9" ht="15.75" thickBot="1" x14ac:dyDescent="0.3">
      <c r="A4" s="44" t="str">
        <f>Savings!C2</f>
        <v>ken</v>
      </c>
      <c r="B4" s="70">
        <f>Savings!C16</f>
        <v>0.16427671426858256</v>
      </c>
      <c r="C4" s="71">
        <f>Savings!C17</f>
        <v>138096.75569916991</v>
      </c>
      <c r="D4" s="44">
        <v>200</v>
      </c>
      <c r="E4" s="75">
        <f>C4-D4</f>
        <v>137896.75569916991</v>
      </c>
      <c r="F4" s="265"/>
      <c r="G4" s="266"/>
      <c r="H4" s="266"/>
      <c r="I4" s="267"/>
    </row>
    <row r="5" spans="1:9" x14ac:dyDescent="0.25">
      <c r="A5" s="44" t="str">
        <f>Savings!D2</f>
        <v>gian</v>
      </c>
      <c r="B5" s="70">
        <f>Savings!D16</f>
        <v>1.112153355598304E-2</v>
      </c>
      <c r="C5" s="71">
        <f>Savings!D17</f>
        <v>9349.1503608338026</v>
      </c>
      <c r="D5" s="44">
        <v>200</v>
      </c>
      <c r="E5" s="75">
        <f t="shared" ref="E5:E28" si="0">C5-D5</f>
        <v>9149.1503608338026</v>
      </c>
      <c r="F5" s="268" t="s">
        <v>71</v>
      </c>
      <c r="G5" s="269"/>
      <c r="H5" s="269"/>
      <c r="I5" s="270"/>
    </row>
    <row r="6" spans="1:9" ht="15.75" thickBot="1" x14ac:dyDescent="0.3">
      <c r="A6" s="44" t="str">
        <f>Savings!E2</f>
        <v>donque</v>
      </c>
      <c r="B6" s="70">
        <f>Savings!E16</f>
        <v>3.1343997082445556E-2</v>
      </c>
      <c r="C6" s="71">
        <f>Savings!E17</f>
        <v>26348.860987401618</v>
      </c>
      <c r="D6" s="44">
        <v>200</v>
      </c>
      <c r="E6" s="75">
        <f t="shared" si="0"/>
        <v>26148.860987401618</v>
      </c>
      <c r="F6" s="271"/>
      <c r="G6" s="272"/>
      <c r="H6" s="272"/>
      <c r="I6" s="273"/>
    </row>
    <row r="7" spans="1:9" x14ac:dyDescent="0.25">
      <c r="A7" s="44" t="str">
        <f>Savings!F2</f>
        <v>bernard</v>
      </c>
      <c r="B7" s="70">
        <f>Savings!F16</f>
        <v>5.5166858596627837E-2</v>
      </c>
      <c r="C7" s="71">
        <f>Savings!F17</f>
        <v>46375.192176376244</v>
      </c>
      <c r="D7" s="44">
        <v>100</v>
      </c>
      <c r="E7" s="71">
        <f t="shared" si="0"/>
        <v>46275.192176376244</v>
      </c>
      <c r="F7" s="76"/>
      <c r="G7" s="76"/>
      <c r="H7" s="76"/>
      <c r="I7" s="76"/>
    </row>
    <row r="8" spans="1:9" x14ac:dyDescent="0.25">
      <c r="A8" s="44" t="str">
        <f>Savings!G2</f>
        <v>gina</v>
      </c>
      <c r="B8" s="70">
        <f>Savings!G16</f>
        <v>6.1183767051238458E-2</v>
      </c>
      <c r="C8" s="71">
        <f>Savings!G17</f>
        <v>51433.21601511784</v>
      </c>
      <c r="D8" s="44">
        <v>200</v>
      </c>
      <c r="E8" s="71">
        <f t="shared" si="0"/>
        <v>51233.21601511784</v>
      </c>
      <c r="F8" s="76"/>
      <c r="G8" s="76"/>
      <c r="H8" s="76"/>
      <c r="I8" s="76"/>
    </row>
    <row r="9" spans="1:9" x14ac:dyDescent="0.25">
      <c r="A9" s="44" t="str">
        <f>Savings!H2</f>
        <v>rowel</v>
      </c>
      <c r="B9" s="70">
        <f>Savings!H16</f>
        <v>3.7053708081373926E-2</v>
      </c>
      <c r="C9" s="71">
        <f>Savings!H17</f>
        <v>31148.643892985769</v>
      </c>
      <c r="D9" s="44">
        <v>200</v>
      </c>
      <c r="E9" s="71">
        <f t="shared" si="0"/>
        <v>30948.643892985769</v>
      </c>
      <c r="F9" s="76"/>
      <c r="G9" s="76"/>
      <c r="H9" s="76"/>
      <c r="I9" s="76"/>
    </row>
    <row r="10" spans="1:9" x14ac:dyDescent="0.25">
      <c r="A10" s="44" t="str">
        <f>Savings!I2</f>
        <v>leo j.</v>
      </c>
      <c r="B10" s="70">
        <f>Savings!I16</f>
        <v>0.10416567416151797</v>
      </c>
      <c r="C10" s="71">
        <f>Savings!I17</f>
        <v>87565.311498767653</v>
      </c>
      <c r="D10" s="44">
        <v>100</v>
      </c>
      <c r="E10" s="71">
        <f t="shared" si="0"/>
        <v>87465.311498767653</v>
      </c>
      <c r="F10" s="76"/>
      <c r="G10" s="76"/>
      <c r="H10" s="76"/>
      <c r="I10" s="76"/>
    </row>
    <row r="11" spans="1:9" x14ac:dyDescent="0.25">
      <c r="A11" s="44" t="str">
        <f>Savings!J2</f>
        <v>emman r.</v>
      </c>
      <c r="B11" s="70">
        <f>Savings!J16</f>
        <v>2.6470454559144271E-3</v>
      </c>
      <c r="C11" s="71">
        <f>Savings!J17</f>
        <v>2225.1990568326246</v>
      </c>
      <c r="D11" s="44">
        <v>200</v>
      </c>
      <c r="E11" s="71">
        <f t="shared" si="0"/>
        <v>2025.1990568326246</v>
      </c>
      <c r="F11" s="76"/>
      <c r="G11" s="76"/>
      <c r="H11" s="76"/>
      <c r="I11" s="76"/>
    </row>
    <row r="12" spans="1:9" x14ac:dyDescent="0.25">
      <c r="A12" s="44" t="str">
        <f>Savings!K2</f>
        <v>jeff</v>
      </c>
      <c r="B12" s="70">
        <f>Savings!K16</f>
        <v>9.161438560235069E-2</v>
      </c>
      <c r="C12" s="71">
        <f>Savings!K17</f>
        <v>77014.259040832068</v>
      </c>
      <c r="D12" s="44">
        <v>100</v>
      </c>
      <c r="E12" s="71">
        <f t="shared" si="0"/>
        <v>76914.259040832068</v>
      </c>
      <c r="F12" s="76"/>
      <c r="G12" s="76"/>
      <c r="H12" s="76"/>
      <c r="I12" s="76"/>
    </row>
    <row r="13" spans="1:9" ht="15.75" thickBot="1" x14ac:dyDescent="0.3">
      <c r="A13" s="44" t="str">
        <f>Savings!L2</f>
        <v>rubin</v>
      </c>
      <c r="B13" s="70">
        <f>Savings!L16</f>
        <v>2.714125114240765E-2</v>
      </c>
      <c r="C13" s="71">
        <f>Savings!L17</f>
        <v>22815.885654097856</v>
      </c>
      <c r="D13" s="44">
        <v>200</v>
      </c>
      <c r="E13" s="71">
        <f t="shared" si="0"/>
        <v>22615.885654097856</v>
      </c>
      <c r="F13" s="76"/>
      <c r="G13" s="76"/>
      <c r="H13" s="76"/>
      <c r="I13" s="76"/>
    </row>
    <row r="14" spans="1:9" x14ac:dyDescent="0.25">
      <c r="A14" s="44" t="str">
        <f>Savings!M2</f>
        <v>rommel c.</v>
      </c>
      <c r="B14" s="70">
        <f>Savings!M16</f>
        <v>2.7379452378097094E-2</v>
      </c>
      <c r="C14" s="71">
        <f>Savings!M17</f>
        <v>23016.125949861649</v>
      </c>
      <c r="D14" s="44">
        <v>200</v>
      </c>
      <c r="E14" s="75">
        <f t="shared" si="0"/>
        <v>22816.125949861649</v>
      </c>
      <c r="F14" s="247" t="s">
        <v>72</v>
      </c>
      <c r="G14" s="248"/>
      <c r="H14" s="274">
        <f>SUM(B4:B28)</f>
        <v>1.0000000000000002</v>
      </c>
      <c r="I14" s="275"/>
    </row>
    <row r="15" spans="1:9" ht="15.75" thickBot="1" x14ac:dyDescent="0.3">
      <c r="A15" s="44" t="str">
        <f>Savings!N2</f>
        <v>guilly</v>
      </c>
      <c r="B15" s="70">
        <f>Savings!N16</f>
        <v>1.4879089600353085E-2</v>
      </c>
      <c r="C15" s="71">
        <f>Savings!N17</f>
        <v>12507.883486192815</v>
      </c>
      <c r="D15" s="44">
        <v>200</v>
      </c>
      <c r="E15" s="75">
        <f t="shared" si="0"/>
        <v>12307.883486192815</v>
      </c>
      <c r="F15" s="249"/>
      <c r="G15" s="250"/>
      <c r="H15" s="276"/>
      <c r="I15" s="277"/>
    </row>
    <row r="16" spans="1:9" x14ac:dyDescent="0.25">
      <c r="A16" s="44" t="str">
        <f>Savings!O2</f>
        <v>edward</v>
      </c>
      <c r="B16" s="70">
        <f>Savings!O16</f>
        <v>3.2855342853716513E-3</v>
      </c>
      <c r="C16" s="71">
        <f>Savings!O17</f>
        <v>2761.935113983398</v>
      </c>
      <c r="D16" s="44">
        <v>200</v>
      </c>
      <c r="E16" s="75">
        <f t="shared" si="0"/>
        <v>2561.935113983398</v>
      </c>
      <c r="F16" s="247" t="s">
        <v>73</v>
      </c>
      <c r="G16" s="248"/>
      <c r="H16" s="251">
        <f>SUM(C4:C28)</f>
        <v>840635</v>
      </c>
      <c r="I16" s="252"/>
    </row>
    <row r="17" spans="1:9" ht="15.75" thickBot="1" x14ac:dyDescent="0.3">
      <c r="A17" s="44" t="str">
        <f>Savings!P2</f>
        <v>kc</v>
      </c>
      <c r="B17" s="70">
        <f>Savings!P16</f>
        <v>7.7045778991965226E-3</v>
      </c>
      <c r="C17" s="71">
        <f>Savings!P17</f>
        <v>6476.7378422910688</v>
      </c>
      <c r="D17" s="44">
        <v>200</v>
      </c>
      <c r="E17" s="75">
        <f t="shared" si="0"/>
        <v>6276.7378422910688</v>
      </c>
      <c r="F17" s="249"/>
      <c r="G17" s="250"/>
      <c r="H17" s="253"/>
      <c r="I17" s="254"/>
    </row>
    <row r="18" spans="1:9" x14ac:dyDescent="0.25">
      <c r="A18" s="44" t="str">
        <f>Savings!Q2</f>
        <v>paulo</v>
      </c>
      <c r="B18" s="70">
        <f>Savings!Q16</f>
        <v>0.11424295540380038</v>
      </c>
      <c r="C18" s="71">
        <f>Savings!Q17</f>
        <v>96036.626815873722</v>
      </c>
      <c r="D18" s="44">
        <v>200</v>
      </c>
      <c r="E18" s="71">
        <f t="shared" si="0"/>
        <v>95836.626815873722</v>
      </c>
      <c r="F18" s="41"/>
      <c r="G18" s="41"/>
      <c r="H18" s="41"/>
      <c r="I18" s="41"/>
    </row>
    <row r="19" spans="1:9" x14ac:dyDescent="0.25">
      <c r="A19" s="44" t="str">
        <f>Savings!R2</f>
        <v>karen</v>
      </c>
      <c r="B19" s="70">
        <f>Savings!R16</f>
        <v>5.7496849994003903E-3</v>
      </c>
      <c r="C19" s="71">
        <f>Savings!R17</f>
        <v>4833.3864494709469</v>
      </c>
      <c r="D19" s="44">
        <v>200</v>
      </c>
      <c r="E19" s="71">
        <f t="shared" si="0"/>
        <v>4633.3864494709469</v>
      </c>
      <c r="F19" s="41"/>
      <c r="G19" s="41"/>
      <c r="H19" s="41"/>
      <c r="I19" s="41"/>
    </row>
    <row r="20" spans="1:9" x14ac:dyDescent="0.25">
      <c r="A20" s="44" t="str">
        <f>Savings!S2</f>
        <v>roldan</v>
      </c>
      <c r="B20" s="70">
        <f>Savings!S16</f>
        <v>9.912840251299565E-2</v>
      </c>
      <c r="C20" s="71">
        <f>Savings!S17</f>
        <v>83330.804646512101</v>
      </c>
      <c r="D20" s="44">
        <v>200</v>
      </c>
      <c r="E20" s="71">
        <f t="shared" si="0"/>
        <v>83130.804646512101</v>
      </c>
      <c r="F20" s="41"/>
      <c r="G20" s="41"/>
      <c r="H20" s="41"/>
      <c r="I20" s="41"/>
    </row>
    <row r="21" spans="1:9" x14ac:dyDescent="0.25">
      <c r="A21" s="44" t="str">
        <f>Savings!T2</f>
        <v>mark c.</v>
      </c>
      <c r="B21" s="70">
        <f>Savings!T16</f>
        <v>4.8277640789251043E-2</v>
      </c>
      <c r="C21" s="71">
        <f>Savings!T17</f>
        <v>40583.874564872051</v>
      </c>
      <c r="D21" s="44">
        <v>200</v>
      </c>
      <c r="E21" s="71">
        <f t="shared" si="0"/>
        <v>40383.874564872051</v>
      </c>
      <c r="F21" s="41"/>
      <c r="G21" s="41"/>
      <c r="H21" s="41"/>
      <c r="I21" s="41"/>
    </row>
    <row r="22" spans="1:9" x14ac:dyDescent="0.25">
      <c r="A22" s="44" t="str">
        <f>Savings!U2</f>
        <v>vince</v>
      </c>
      <c r="B22" s="70">
        <f>Savings!U16</f>
        <v>1.4784904284172432E-2</v>
      </c>
      <c r="C22" s="71">
        <f>Savings!U17</f>
        <v>12428.708012925292</v>
      </c>
      <c r="D22" s="44">
        <v>200</v>
      </c>
      <c r="E22" s="71">
        <f t="shared" si="0"/>
        <v>12228.708012925292</v>
      </c>
      <c r="F22" s="41"/>
      <c r="G22" s="41"/>
      <c r="H22" s="41"/>
      <c r="I22" s="41"/>
    </row>
    <row r="23" spans="1:9" x14ac:dyDescent="0.25">
      <c r="A23" s="44" t="str">
        <f>Savings!V2</f>
        <v>ryan</v>
      </c>
      <c r="B23" s="70">
        <f>Savings!V16</f>
        <v>1.2594548093924664E-2</v>
      </c>
      <c r="C23" s="71">
        <f>Savings!V17</f>
        <v>10587.417936936359</v>
      </c>
      <c r="D23" s="44">
        <v>200</v>
      </c>
      <c r="E23" s="71">
        <f t="shared" si="0"/>
        <v>10387.417936936359</v>
      </c>
      <c r="F23" s="41"/>
      <c r="G23" s="41"/>
      <c r="H23" s="41"/>
      <c r="I23" s="41"/>
    </row>
    <row r="24" spans="1:9" x14ac:dyDescent="0.25">
      <c r="A24" s="44" t="str">
        <f>Savings!W2</f>
        <v>hazel</v>
      </c>
      <c r="B24" s="70">
        <f>Savings!W16</f>
        <v>1.6427671426858258E-2</v>
      </c>
      <c r="C24" s="71">
        <f>Savings!W17</f>
        <v>13809.675569916992</v>
      </c>
      <c r="D24" s="44">
        <v>200</v>
      </c>
      <c r="E24" s="71">
        <f t="shared" si="0"/>
        <v>13609.675569916992</v>
      </c>
      <c r="F24" s="41"/>
      <c r="G24" s="41"/>
      <c r="H24" s="41"/>
      <c r="I24" s="41"/>
    </row>
    <row r="25" spans="1:9" x14ac:dyDescent="0.25">
      <c r="A25" s="71" t="str">
        <f>Savings!X2</f>
        <v>kero</v>
      </c>
      <c r="B25" s="70">
        <f>Savings!X16</f>
        <v>2.0808383807353791E-2</v>
      </c>
      <c r="C25" s="71">
        <f>Savings!X17</f>
        <v>17492.255721894853</v>
      </c>
      <c r="D25" s="44">
        <v>200</v>
      </c>
      <c r="E25" s="71">
        <f t="shared" si="0"/>
        <v>17292.255721894853</v>
      </c>
    </row>
    <row r="26" spans="1:9" x14ac:dyDescent="0.25">
      <c r="A26" s="44" t="str">
        <f>Savings!Y2</f>
        <v>gef</v>
      </c>
      <c r="B26" s="70">
        <f>Savings!Y16</f>
        <v>2.0808383807353791E-2</v>
      </c>
      <c r="C26" s="71">
        <f>Savings!Y17</f>
        <v>17492.255721894853</v>
      </c>
      <c r="D26" s="44">
        <v>200</v>
      </c>
      <c r="E26" s="71">
        <f t="shared" si="0"/>
        <v>17292.255721894853</v>
      </c>
    </row>
    <row r="27" spans="1:9" x14ac:dyDescent="0.25">
      <c r="A27" s="44" t="str">
        <f>Savings!Z2</f>
        <v>alvin</v>
      </c>
      <c r="B27" s="70">
        <f>Savings!Z16</f>
        <v>8.2138357134291292E-3</v>
      </c>
      <c r="C27" s="71">
        <f>Savings!Z17</f>
        <v>6904.8377849584958</v>
      </c>
      <c r="D27" s="44">
        <v>200</v>
      </c>
      <c r="E27" s="71">
        <f t="shared" si="0"/>
        <v>6704.8377849584958</v>
      </c>
    </row>
    <row r="28" spans="1:9" x14ac:dyDescent="0.25">
      <c r="A28" s="44" t="str">
        <f>Savings!AA2</f>
        <v>gugu</v>
      </c>
      <c r="B28" s="70">
        <f>Savings!AA16</f>
        <v>0</v>
      </c>
      <c r="C28" s="71">
        <f>Savings!AA17</f>
        <v>0</v>
      </c>
      <c r="D28" s="44">
        <v>200</v>
      </c>
      <c r="E28" s="71">
        <f t="shared" si="0"/>
        <v>-200</v>
      </c>
    </row>
    <row r="29" spans="1:9" x14ac:dyDescent="0.25">
      <c r="A29" s="41"/>
    </row>
  </sheetData>
  <mergeCells count="7">
    <mergeCell ref="F16:G17"/>
    <mergeCell ref="H16:I17"/>
    <mergeCell ref="A1:I2"/>
    <mergeCell ref="F3:I4"/>
    <mergeCell ref="F5:I6"/>
    <mergeCell ref="F14:G15"/>
    <mergeCell ref="H14:I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200025</xdr:colOff>
                    <xdr:row>6</xdr:row>
                    <xdr:rowOff>114300</xdr:rowOff>
                  </from>
                  <to>
                    <xdr:col>8</xdr:col>
                    <xdr:colOff>466725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072C-8354-4951-81AA-4F6282475451}">
  <sheetPr codeName="Sheet8"/>
  <dimension ref="A1:AF141"/>
  <sheetViews>
    <sheetView zoomScale="85" zoomScaleNormal="85" workbookViewId="0">
      <selection activeCell="M57" sqref="M57"/>
    </sheetView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8" ht="15.75" thickBot="1" x14ac:dyDescent="0.3">
      <c r="A1" s="38" t="s">
        <v>49</v>
      </c>
    </row>
    <row r="2" spans="1:28" ht="15.75" thickBot="1" x14ac:dyDescent="0.3">
      <c r="A2" s="46" t="s">
        <v>4</v>
      </c>
      <c r="B2" s="64" t="s">
        <v>46</v>
      </c>
      <c r="C2" s="59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43</v>
      </c>
      <c r="AA2" s="130" t="s">
        <v>45</v>
      </c>
      <c r="AB2">
        <v>123</v>
      </c>
    </row>
    <row r="3" spans="1:28" x14ac:dyDescent="0.25">
      <c r="A3" s="47">
        <v>41820</v>
      </c>
      <c r="B3" s="65">
        <v>35435</v>
      </c>
      <c r="C3" s="60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8" x14ac:dyDescent="0.25">
      <c r="A4" s="47">
        <v>41835</v>
      </c>
      <c r="B4" s="66">
        <v>148000</v>
      </c>
      <c r="C4" s="61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8" x14ac:dyDescent="0.25">
      <c r="A5" s="47">
        <v>41850</v>
      </c>
      <c r="B5" s="66">
        <v>54300</v>
      </c>
      <c r="C5" s="61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8" x14ac:dyDescent="0.25">
      <c r="A6" s="47">
        <v>41866</v>
      </c>
      <c r="B6" s="66">
        <v>76000</v>
      </c>
      <c r="C6" s="61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8" x14ac:dyDescent="0.25">
      <c r="A7" s="47">
        <v>41881</v>
      </c>
      <c r="B7" s="66">
        <v>56500</v>
      </c>
      <c r="C7" s="61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8" x14ac:dyDescent="0.25">
      <c r="A8" s="47">
        <v>41897</v>
      </c>
      <c r="B8" s="66">
        <v>60000</v>
      </c>
      <c r="C8" s="61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8" x14ac:dyDescent="0.25">
      <c r="A9" s="47">
        <v>41912</v>
      </c>
      <c r="B9" s="66">
        <v>125000</v>
      </c>
      <c r="C9" s="61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8" x14ac:dyDescent="0.25">
      <c r="A10" s="47">
        <v>41927</v>
      </c>
      <c r="B10" s="66">
        <v>99000</v>
      </c>
      <c r="C10" s="61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8" x14ac:dyDescent="0.25">
      <c r="A11" s="47">
        <v>41942</v>
      </c>
      <c r="B11" s="66">
        <v>32000</v>
      </c>
      <c r="C11" s="61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8" x14ac:dyDescent="0.25">
      <c r="A12" s="47">
        <v>41958</v>
      </c>
      <c r="B12" s="66">
        <v>76000</v>
      </c>
      <c r="C12" s="61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8" x14ac:dyDescent="0.25">
      <c r="A13" s="47">
        <v>41973</v>
      </c>
      <c r="B13" s="66">
        <v>33400</v>
      </c>
      <c r="C13" s="61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8" x14ac:dyDescent="0.25">
      <c r="A14" s="47">
        <v>41623</v>
      </c>
      <c r="B14" s="67">
        <v>45000</v>
      </c>
      <c r="C14" s="61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8" x14ac:dyDescent="0.25">
      <c r="A15" s="48" t="s">
        <v>5</v>
      </c>
      <c r="B15" s="66">
        <f>SUM(B3:B14)</f>
        <v>840635</v>
      </c>
      <c r="C15" s="79">
        <f t="shared" ref="C15:Z15" si="0">SUM(C3:C14)</f>
        <v>300000</v>
      </c>
      <c r="D15" s="80">
        <f t="shared" si="0"/>
        <v>20310</v>
      </c>
      <c r="E15" s="80">
        <f t="shared" si="0"/>
        <v>57240</v>
      </c>
      <c r="F15" s="80">
        <f t="shared" si="0"/>
        <v>100745</v>
      </c>
      <c r="G15" s="80">
        <f t="shared" si="0"/>
        <v>111733</v>
      </c>
      <c r="H15" s="80">
        <f t="shared" si="0"/>
        <v>67667</v>
      </c>
      <c r="I15" s="80">
        <f t="shared" si="0"/>
        <v>190226</v>
      </c>
      <c r="J15" s="80">
        <f t="shared" si="0"/>
        <v>4834</v>
      </c>
      <c r="K15" s="80">
        <f t="shared" si="0"/>
        <v>167305</v>
      </c>
      <c r="L15" s="80">
        <f t="shared" si="0"/>
        <v>49565</v>
      </c>
      <c r="M15" s="80">
        <f t="shared" si="0"/>
        <v>50000</v>
      </c>
      <c r="N15" s="80">
        <f t="shared" si="0"/>
        <v>27172</v>
      </c>
      <c r="O15" s="80">
        <f t="shared" si="0"/>
        <v>6000</v>
      </c>
      <c r="P15" s="80">
        <f t="shared" si="0"/>
        <v>14070</v>
      </c>
      <c r="Q15" s="80">
        <f t="shared" si="0"/>
        <v>208629</v>
      </c>
      <c r="R15" s="80">
        <f t="shared" si="0"/>
        <v>10500</v>
      </c>
      <c r="S15" s="80">
        <f t="shared" si="0"/>
        <v>181027</v>
      </c>
      <c r="T15" s="80">
        <f t="shared" si="0"/>
        <v>88164</v>
      </c>
      <c r="U15" s="80">
        <f t="shared" si="0"/>
        <v>27000</v>
      </c>
      <c r="V15" s="80">
        <f t="shared" si="0"/>
        <v>23000</v>
      </c>
      <c r="W15" s="80">
        <f t="shared" si="0"/>
        <v>30000</v>
      </c>
      <c r="X15" s="80">
        <f t="shared" si="0"/>
        <v>38000</v>
      </c>
      <c r="Y15" s="80">
        <f t="shared" si="0"/>
        <v>38000</v>
      </c>
      <c r="Z15" s="80">
        <f t="shared" si="0"/>
        <v>15000</v>
      </c>
      <c r="AA15" s="81">
        <f>SUM(AB3:AB14)</f>
        <v>0</v>
      </c>
    </row>
    <row r="16" spans="1:28" x14ac:dyDescent="0.25">
      <c r="A16" s="49" t="s">
        <v>61</v>
      </c>
      <c r="B16" s="68">
        <f>SUM(C15:AA15)</f>
        <v>1826187</v>
      </c>
      <c r="C16" s="62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27" ht="15.75" thickBot="1" x14ac:dyDescent="0.3">
      <c r="A17" s="50" t="s">
        <v>62</v>
      </c>
      <c r="B17" s="69">
        <f>SUM(C17:AA17)</f>
        <v>840635</v>
      </c>
      <c r="C17" s="63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27" ht="15.75" thickBot="1" x14ac:dyDescent="0.3">
      <c r="B18" s="101">
        <f>SUM(C16:AA16)</f>
        <v>1.0000000000000002</v>
      </c>
    </row>
    <row r="19" spans="1:27" ht="15.75" thickBot="1" x14ac:dyDescent="0.3">
      <c r="A19" s="37" t="s">
        <v>47</v>
      </c>
    </row>
    <row r="20" spans="1:27" ht="15.75" thickBot="1" x14ac:dyDescent="0.3">
      <c r="A20" s="20" t="s">
        <v>4</v>
      </c>
      <c r="B20" s="45" t="s">
        <v>46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43</v>
      </c>
      <c r="AA20" s="43" t="s">
        <v>44</v>
      </c>
    </row>
    <row r="21" spans="1:27" x14ac:dyDescent="0.25">
      <c r="A21" s="26">
        <v>42003</v>
      </c>
      <c r="B21" s="78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27" x14ac:dyDescent="0.25">
      <c r="A22" s="27">
        <v>41654</v>
      </c>
      <c r="B22" s="78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27" x14ac:dyDescent="0.25">
      <c r="A23" s="27">
        <v>41669</v>
      </c>
      <c r="B23" s="78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</row>
    <row r="24" spans="1:27" x14ac:dyDescent="0.25">
      <c r="A24" s="27">
        <v>41685</v>
      </c>
      <c r="B24" s="78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27" x14ac:dyDescent="0.25">
      <c r="A25" s="27">
        <v>41698</v>
      </c>
      <c r="B25" s="78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27" x14ac:dyDescent="0.25">
      <c r="A26" s="27">
        <v>41713</v>
      </c>
      <c r="B26" s="78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27" x14ac:dyDescent="0.25">
      <c r="A27" s="27">
        <v>41728</v>
      </c>
      <c r="B27" s="78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27" x14ac:dyDescent="0.25">
      <c r="A28" s="27">
        <v>41744</v>
      </c>
      <c r="B28" s="78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27" x14ac:dyDescent="0.25">
      <c r="A29" s="27">
        <v>41759</v>
      </c>
      <c r="B29" s="78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27" x14ac:dyDescent="0.25">
      <c r="A30" s="27">
        <v>41774</v>
      </c>
      <c r="B30" s="78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27" x14ac:dyDescent="0.25">
      <c r="A31" s="27">
        <v>41789</v>
      </c>
      <c r="B31" s="78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27" ht="15.75" thickBot="1" x14ac:dyDescent="0.3">
      <c r="A32" s="28">
        <v>41805</v>
      </c>
      <c r="B32" s="78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7">
        <f>SUM(B21:B32)</f>
        <v>24524350</v>
      </c>
      <c r="C33" s="82">
        <f t="shared" ref="C33:M33" si="1">SUM(C21:C32) + C15</f>
        <v>300000</v>
      </c>
      <c r="D33" s="82">
        <f t="shared" si="1"/>
        <v>21210</v>
      </c>
      <c r="E33" s="82">
        <f t="shared" si="1"/>
        <v>62740</v>
      </c>
      <c r="F33" s="82">
        <f t="shared" si="1"/>
        <v>136745</v>
      </c>
      <c r="G33" s="82">
        <f t="shared" si="1"/>
        <v>144733</v>
      </c>
      <c r="H33" s="82">
        <f t="shared" si="1"/>
        <v>69667</v>
      </c>
      <c r="I33" s="82">
        <f t="shared" si="1"/>
        <v>244087</v>
      </c>
      <c r="J33" s="82">
        <f t="shared" si="1"/>
        <v>6834</v>
      </c>
      <c r="K33" s="82">
        <f t="shared" si="1"/>
        <v>249967</v>
      </c>
      <c r="L33" s="82">
        <f t="shared" si="1"/>
        <v>53565</v>
      </c>
      <c r="M33" s="82">
        <f t="shared" si="1"/>
        <v>68000</v>
      </c>
      <c r="N33" s="82">
        <f>SUM(N21:N32) + N14</f>
        <v>0</v>
      </c>
      <c r="O33" s="82">
        <f>SUM(O21:O32) + O14</f>
        <v>10419</v>
      </c>
      <c r="P33" s="82">
        <f t="shared" ref="P33:AA33" si="2">SUM(P21:P32) + P15</f>
        <v>14070</v>
      </c>
      <c r="Q33" s="82">
        <f t="shared" si="2"/>
        <v>237537</v>
      </c>
      <c r="R33" s="82">
        <f t="shared" si="2"/>
        <v>14521</v>
      </c>
      <c r="S33" s="82">
        <f t="shared" si="2"/>
        <v>245151</v>
      </c>
      <c r="T33" s="82">
        <f t="shared" si="2"/>
        <v>136164</v>
      </c>
      <c r="U33" s="82">
        <f t="shared" si="2"/>
        <v>58235</v>
      </c>
      <c r="V33" s="82">
        <f t="shared" si="2"/>
        <v>36543</v>
      </c>
      <c r="W33" s="82">
        <f t="shared" si="2"/>
        <v>44662</v>
      </c>
      <c r="X33" s="82">
        <f t="shared" si="2"/>
        <v>86367</v>
      </c>
      <c r="Y33" s="82">
        <f t="shared" si="2"/>
        <v>86618</v>
      </c>
      <c r="Z33" s="82">
        <f t="shared" si="2"/>
        <v>15000</v>
      </c>
      <c r="AA33" s="82">
        <f t="shared" si="2"/>
        <v>0</v>
      </c>
    </row>
    <row r="34" spans="1:27" x14ac:dyDescent="0.25">
      <c r="A34" s="35" t="s">
        <v>61</v>
      </c>
      <c r="B34" s="68">
        <f>SUM(C33:AA33)</f>
        <v>2342835</v>
      </c>
      <c r="C34" s="62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63</v>
      </c>
      <c r="B35" s="69">
        <f>SUM(C35:AA35)</f>
        <v>24524349.999999996</v>
      </c>
      <c r="C35" s="63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101">
        <f>SUM(C34:AA34)</f>
        <v>1</v>
      </c>
    </row>
    <row r="37" spans="1:27" ht="15.75" thickBot="1" x14ac:dyDescent="0.3">
      <c r="A37" s="37" t="s">
        <v>48</v>
      </c>
    </row>
    <row r="38" spans="1:27" ht="15.75" thickBot="1" x14ac:dyDescent="0.3">
      <c r="A38" s="20" t="s">
        <v>4</v>
      </c>
      <c r="B38" s="4" t="s">
        <v>46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43</v>
      </c>
      <c r="AA38" s="22" t="s">
        <v>44</v>
      </c>
    </row>
    <row r="39" spans="1:27" x14ac:dyDescent="0.25">
      <c r="A39" s="33">
        <v>41820</v>
      </c>
      <c r="B39" s="24">
        <v>35435</v>
      </c>
      <c r="C39" s="4">
        <v>0</v>
      </c>
      <c r="D39" s="4">
        <v>1000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3000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3000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</row>
    <row r="40" spans="1:27" x14ac:dyDescent="0.25">
      <c r="A40" s="34">
        <v>41835</v>
      </c>
      <c r="B40" s="24">
        <v>234234</v>
      </c>
      <c r="C40" s="4">
        <v>0</v>
      </c>
      <c r="D40" s="4">
        <v>1000</v>
      </c>
      <c r="E40" s="4">
        <v>3000</v>
      </c>
      <c r="F40" s="4">
        <v>0</v>
      </c>
      <c r="G40" s="4">
        <v>0</v>
      </c>
      <c r="H40" s="4">
        <v>3000</v>
      </c>
      <c r="I40" s="4">
        <v>0</v>
      </c>
      <c r="J40" s="4">
        <v>0</v>
      </c>
      <c r="K40" s="4">
        <v>3000</v>
      </c>
      <c r="L40" s="4">
        <v>0</v>
      </c>
      <c r="M40" s="4">
        <v>3000</v>
      </c>
      <c r="N40" s="4">
        <v>3000</v>
      </c>
      <c r="O40" s="4">
        <v>0</v>
      </c>
      <c r="P40" s="4">
        <v>3000</v>
      </c>
      <c r="Q40" s="4">
        <v>0</v>
      </c>
      <c r="R40" s="4">
        <v>0</v>
      </c>
      <c r="S40" s="4">
        <v>0</v>
      </c>
      <c r="T40" s="4">
        <v>3000</v>
      </c>
      <c r="U40" s="4">
        <v>0</v>
      </c>
      <c r="V40" s="4">
        <v>0</v>
      </c>
      <c r="W40" s="4">
        <v>3000</v>
      </c>
      <c r="X40" s="4">
        <v>0</v>
      </c>
      <c r="Y40" s="4">
        <v>3000</v>
      </c>
      <c r="Z40" s="4">
        <v>0</v>
      </c>
      <c r="AA40" s="4">
        <v>3000</v>
      </c>
    </row>
    <row r="41" spans="1:27" x14ac:dyDescent="0.25">
      <c r="A41" s="34">
        <v>41850</v>
      </c>
      <c r="B41" s="24">
        <v>23423</v>
      </c>
      <c r="C41" s="4">
        <v>0</v>
      </c>
      <c r="D41" s="4">
        <v>1000</v>
      </c>
      <c r="E41" s="4">
        <v>3000</v>
      </c>
      <c r="F41" s="4">
        <v>3000</v>
      </c>
      <c r="G41" s="4">
        <v>2000</v>
      </c>
      <c r="H41" s="4">
        <v>3000</v>
      </c>
      <c r="I41" s="4">
        <v>3000</v>
      </c>
      <c r="J41" s="4">
        <v>3000</v>
      </c>
      <c r="K41" s="4">
        <v>1000</v>
      </c>
      <c r="L41" s="4">
        <v>2000</v>
      </c>
      <c r="M41" s="4">
        <v>3000</v>
      </c>
      <c r="N41" s="4">
        <v>3000</v>
      </c>
      <c r="O41" s="4">
        <v>0</v>
      </c>
      <c r="P41" s="4">
        <v>3000</v>
      </c>
      <c r="Q41" s="4">
        <v>0</v>
      </c>
      <c r="R41" s="4">
        <v>1000</v>
      </c>
      <c r="S41" s="4">
        <v>3000</v>
      </c>
      <c r="T41" s="4">
        <v>3000</v>
      </c>
      <c r="U41" s="4">
        <v>2000</v>
      </c>
      <c r="V41" s="4">
        <v>2000</v>
      </c>
      <c r="W41" s="4">
        <v>0</v>
      </c>
      <c r="X41" s="4">
        <v>0</v>
      </c>
      <c r="Y41" s="4">
        <v>3000</v>
      </c>
      <c r="Z41" s="4">
        <v>1000</v>
      </c>
      <c r="AA41" s="4">
        <v>3000</v>
      </c>
    </row>
    <row r="42" spans="1:27" x14ac:dyDescent="0.25">
      <c r="A42" s="34">
        <v>41866</v>
      </c>
      <c r="B42" s="24">
        <v>23423</v>
      </c>
      <c r="C42" s="4">
        <v>0</v>
      </c>
      <c r="D42" s="4">
        <v>1000</v>
      </c>
      <c r="E42" s="4">
        <v>1000</v>
      </c>
      <c r="F42" s="4">
        <v>3000</v>
      </c>
      <c r="G42" s="4">
        <v>2000</v>
      </c>
      <c r="H42" s="4">
        <v>2000</v>
      </c>
      <c r="I42" s="4">
        <v>2000</v>
      </c>
      <c r="J42" s="4">
        <v>3000</v>
      </c>
      <c r="K42" s="4">
        <v>2000</v>
      </c>
      <c r="L42" s="4">
        <v>2000</v>
      </c>
      <c r="M42" s="4">
        <v>2000</v>
      </c>
      <c r="N42" s="4">
        <v>2000</v>
      </c>
      <c r="O42" s="4">
        <v>1000</v>
      </c>
      <c r="P42" s="4">
        <v>1000</v>
      </c>
      <c r="Q42" s="4">
        <v>1000</v>
      </c>
      <c r="R42" s="4">
        <v>0</v>
      </c>
      <c r="S42" s="4">
        <v>3000</v>
      </c>
      <c r="T42" s="4">
        <v>0</v>
      </c>
      <c r="U42" s="4">
        <v>3000</v>
      </c>
      <c r="V42" s="4">
        <v>2000</v>
      </c>
      <c r="W42" s="4">
        <v>2000</v>
      </c>
      <c r="X42" s="4">
        <v>0</v>
      </c>
      <c r="Y42" s="4">
        <v>3000</v>
      </c>
      <c r="Z42" s="4">
        <v>0</v>
      </c>
      <c r="AA42" s="4">
        <v>3000</v>
      </c>
    </row>
    <row r="43" spans="1:27" x14ac:dyDescent="0.25">
      <c r="A43" s="34">
        <v>41881</v>
      </c>
      <c r="B43" s="24">
        <v>32423</v>
      </c>
      <c r="C43" s="4">
        <v>0</v>
      </c>
      <c r="D43" s="4">
        <v>3000</v>
      </c>
      <c r="E43" s="4">
        <v>1000</v>
      </c>
      <c r="F43" s="4">
        <v>3000</v>
      </c>
      <c r="G43" s="4">
        <v>3000</v>
      </c>
      <c r="H43" s="4">
        <v>0</v>
      </c>
      <c r="I43" s="4">
        <v>2000</v>
      </c>
      <c r="J43" s="4">
        <v>2000</v>
      </c>
      <c r="K43" s="4">
        <v>2000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2000</v>
      </c>
      <c r="U43" s="4">
        <v>3000</v>
      </c>
      <c r="V43" s="4">
        <v>1000</v>
      </c>
      <c r="W43" s="4">
        <v>1000</v>
      </c>
      <c r="X43" s="4">
        <v>1000</v>
      </c>
      <c r="Y43" s="4">
        <v>0</v>
      </c>
      <c r="Z43" s="4">
        <v>0</v>
      </c>
      <c r="AA43" s="4">
        <v>0</v>
      </c>
    </row>
    <row r="44" spans="1:27" x14ac:dyDescent="0.25">
      <c r="A44" s="34">
        <v>41897</v>
      </c>
      <c r="B44" s="24">
        <v>23423</v>
      </c>
      <c r="C44" s="4">
        <v>0</v>
      </c>
      <c r="D44" s="4">
        <v>3000</v>
      </c>
      <c r="E44" s="4">
        <v>1000</v>
      </c>
      <c r="F44" s="4">
        <v>1000</v>
      </c>
      <c r="G44" s="4">
        <v>3000</v>
      </c>
      <c r="H44" s="4">
        <v>1000</v>
      </c>
      <c r="I44" s="4">
        <v>1000</v>
      </c>
      <c r="J44" s="4">
        <v>0</v>
      </c>
      <c r="K44" s="4">
        <v>0</v>
      </c>
      <c r="L44" s="4">
        <v>1000</v>
      </c>
      <c r="M44" s="4">
        <v>1000</v>
      </c>
      <c r="N44" s="4">
        <v>1000</v>
      </c>
      <c r="O44" s="4">
        <v>1000</v>
      </c>
      <c r="P44" s="4">
        <v>2000</v>
      </c>
      <c r="Q44" s="4">
        <v>2000</v>
      </c>
      <c r="R44" s="4">
        <v>1000</v>
      </c>
      <c r="S44" s="4">
        <v>3000</v>
      </c>
      <c r="T44" s="4">
        <v>2000</v>
      </c>
      <c r="U44" s="4">
        <v>3000</v>
      </c>
      <c r="V44" s="4">
        <v>0</v>
      </c>
      <c r="W44" s="4">
        <v>0</v>
      </c>
      <c r="X44" s="4">
        <v>0</v>
      </c>
      <c r="Y44" s="4">
        <v>0</v>
      </c>
      <c r="Z44" s="4">
        <v>2000</v>
      </c>
      <c r="AA44" s="4">
        <v>0</v>
      </c>
    </row>
    <row r="45" spans="1:27" x14ac:dyDescent="0.25">
      <c r="A45" s="34">
        <v>41912</v>
      </c>
      <c r="B45" s="24">
        <v>2342</v>
      </c>
      <c r="C45" s="4">
        <v>0</v>
      </c>
      <c r="D45" s="4">
        <v>3000</v>
      </c>
      <c r="E45" s="4">
        <v>3000</v>
      </c>
      <c r="F45" s="4">
        <v>0</v>
      </c>
      <c r="G45" s="4">
        <v>3000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2000</v>
      </c>
      <c r="O45" s="4">
        <v>0</v>
      </c>
      <c r="P45" s="4">
        <v>3000</v>
      </c>
      <c r="Q45" s="4">
        <v>2000</v>
      </c>
      <c r="R45" s="4">
        <v>1000</v>
      </c>
      <c r="S45" s="4">
        <v>3000</v>
      </c>
      <c r="T45" s="4">
        <v>2000</v>
      </c>
      <c r="U45" s="4">
        <v>1000</v>
      </c>
      <c r="V45" s="4">
        <v>0</v>
      </c>
      <c r="W45" s="4">
        <v>2000</v>
      </c>
      <c r="X45" s="4">
        <v>3000</v>
      </c>
      <c r="Y45" s="4">
        <v>1000</v>
      </c>
      <c r="Z45" s="4">
        <v>1000</v>
      </c>
      <c r="AA45" s="4">
        <v>1000</v>
      </c>
    </row>
    <row r="46" spans="1:27" x14ac:dyDescent="0.25">
      <c r="A46" s="34">
        <v>41927</v>
      </c>
      <c r="B46" s="24">
        <v>234324</v>
      </c>
      <c r="C46" s="4">
        <v>0</v>
      </c>
      <c r="D46" s="4">
        <v>3000</v>
      </c>
      <c r="E46" s="4">
        <v>3000</v>
      </c>
      <c r="F46" s="4">
        <v>2000</v>
      </c>
      <c r="G46" s="4">
        <v>3000</v>
      </c>
      <c r="H46" s="4">
        <v>0</v>
      </c>
      <c r="I46" s="4">
        <v>0</v>
      </c>
      <c r="J46" s="4">
        <v>0</v>
      </c>
      <c r="K46" s="4">
        <v>1000</v>
      </c>
      <c r="L46" s="4">
        <v>0</v>
      </c>
      <c r="M46" s="4">
        <v>3000</v>
      </c>
      <c r="N46" s="4">
        <v>2000</v>
      </c>
      <c r="O46" s="4">
        <v>0</v>
      </c>
      <c r="P46" s="4">
        <v>3000</v>
      </c>
      <c r="Q46" s="4">
        <v>3000</v>
      </c>
      <c r="R46" s="4">
        <v>0</v>
      </c>
      <c r="S46" s="4">
        <v>3000</v>
      </c>
      <c r="T46" s="4">
        <v>0</v>
      </c>
      <c r="U46" s="4">
        <v>1000</v>
      </c>
      <c r="V46" s="4">
        <v>1000</v>
      </c>
      <c r="W46" s="4">
        <v>0</v>
      </c>
      <c r="X46" s="4">
        <v>3000</v>
      </c>
      <c r="Y46" s="4">
        <v>0</v>
      </c>
      <c r="Z46" s="4">
        <v>2000</v>
      </c>
      <c r="AA46" s="4">
        <v>2000</v>
      </c>
    </row>
    <row r="47" spans="1:27" x14ac:dyDescent="0.25">
      <c r="A47" s="34">
        <v>41942</v>
      </c>
      <c r="B47" s="24">
        <v>23432</v>
      </c>
      <c r="C47" s="4">
        <v>0</v>
      </c>
      <c r="D47" s="4">
        <v>0</v>
      </c>
      <c r="E47" s="4">
        <v>2000</v>
      </c>
      <c r="F47" s="4">
        <v>3000</v>
      </c>
      <c r="G47" s="4">
        <v>0</v>
      </c>
      <c r="H47" s="4">
        <v>3000</v>
      </c>
      <c r="I47" s="4">
        <v>3000</v>
      </c>
      <c r="J47" s="4">
        <v>3000</v>
      </c>
      <c r="K47" s="4">
        <v>3000</v>
      </c>
      <c r="L47" s="4">
        <v>3000</v>
      </c>
      <c r="M47" s="4">
        <v>3000</v>
      </c>
      <c r="N47" s="4">
        <v>0</v>
      </c>
      <c r="O47" s="4">
        <v>2000</v>
      </c>
      <c r="P47" s="4">
        <v>3000</v>
      </c>
      <c r="Q47" s="4">
        <v>3000</v>
      </c>
      <c r="R47" s="4">
        <v>1000</v>
      </c>
      <c r="S47" s="4">
        <v>0</v>
      </c>
      <c r="T47" s="4">
        <v>1000</v>
      </c>
      <c r="U47" s="4">
        <v>1000</v>
      </c>
      <c r="V47" s="4">
        <v>1000</v>
      </c>
      <c r="W47" s="4">
        <v>2000</v>
      </c>
      <c r="X47" s="4">
        <v>3000</v>
      </c>
      <c r="Y47" s="4">
        <v>3000</v>
      </c>
      <c r="Z47" s="4">
        <v>2000</v>
      </c>
      <c r="AA47" s="4">
        <v>2000</v>
      </c>
    </row>
    <row r="48" spans="1:27" x14ac:dyDescent="0.25">
      <c r="A48" s="34">
        <v>41958</v>
      </c>
      <c r="B48" s="24">
        <v>234234</v>
      </c>
      <c r="C48" s="4">
        <v>0</v>
      </c>
      <c r="D48" s="4">
        <v>2000</v>
      </c>
      <c r="E48" s="4">
        <v>2000</v>
      </c>
      <c r="F48" s="4">
        <v>3000</v>
      </c>
      <c r="G48" s="4">
        <v>3000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3000</v>
      </c>
      <c r="N48" s="4">
        <v>2000</v>
      </c>
      <c r="O48" s="4">
        <v>2000</v>
      </c>
      <c r="P48" s="4">
        <v>0</v>
      </c>
      <c r="Q48" s="4">
        <v>3000</v>
      </c>
      <c r="R48" s="4">
        <v>0</v>
      </c>
      <c r="S48" s="4">
        <v>0</v>
      </c>
      <c r="T48" s="4">
        <v>1000</v>
      </c>
      <c r="U48" s="4">
        <v>3000</v>
      </c>
      <c r="V48" s="4">
        <v>3000</v>
      </c>
      <c r="W48" s="4">
        <v>0</v>
      </c>
      <c r="X48" s="4">
        <v>0</v>
      </c>
      <c r="Y48" s="4">
        <v>3000</v>
      </c>
      <c r="Z48" s="4">
        <v>0</v>
      </c>
      <c r="AA48" s="4">
        <v>1000</v>
      </c>
    </row>
    <row r="49" spans="1:27" x14ac:dyDescent="0.25">
      <c r="A49" s="47">
        <v>41973</v>
      </c>
      <c r="B49" s="24" t="s">
        <v>46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3000</v>
      </c>
      <c r="N49" s="4">
        <v>0</v>
      </c>
      <c r="O49" s="4">
        <v>0</v>
      </c>
      <c r="P49" s="4">
        <v>3000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3000</v>
      </c>
      <c r="W49" s="4">
        <v>0</v>
      </c>
      <c r="X49" s="4">
        <v>0</v>
      </c>
      <c r="Y49" s="4">
        <v>3000</v>
      </c>
      <c r="Z49" s="4">
        <v>0</v>
      </c>
      <c r="AA49" s="4">
        <v>0</v>
      </c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2">
        <f t="shared" ref="C51:M51" si="3">SUM(C39:C50) + C33</f>
        <v>300000</v>
      </c>
      <c r="D51" s="82">
        <f t="shared" si="3"/>
        <v>39210</v>
      </c>
      <c r="E51" s="82">
        <f t="shared" si="3"/>
        <v>81740</v>
      </c>
      <c r="F51" s="82">
        <f t="shared" si="3"/>
        <v>154745</v>
      </c>
      <c r="G51" s="82">
        <f t="shared" si="3"/>
        <v>163733</v>
      </c>
      <c r="H51" s="82">
        <f t="shared" si="3"/>
        <v>81667</v>
      </c>
      <c r="I51" s="82">
        <f t="shared" si="3"/>
        <v>255087</v>
      </c>
      <c r="J51" s="82">
        <f t="shared" si="3"/>
        <v>17834</v>
      </c>
      <c r="K51" s="82">
        <f t="shared" si="3"/>
        <v>261967</v>
      </c>
      <c r="L51" s="82">
        <f t="shared" si="3"/>
        <v>61565</v>
      </c>
      <c r="M51" s="82">
        <f t="shared" si="3"/>
        <v>89000</v>
      </c>
      <c r="N51" s="82">
        <f>SUM(N39:N50) + N32</f>
        <v>18000</v>
      </c>
      <c r="O51" s="82">
        <f>SUM(O39:O50) + O32</f>
        <v>6000</v>
      </c>
      <c r="P51" s="82">
        <f t="shared" ref="P51:AA51" si="4">SUM(P39:P50) + P33</f>
        <v>35070</v>
      </c>
      <c r="Q51" s="82">
        <f t="shared" si="4"/>
        <v>251537</v>
      </c>
      <c r="R51" s="82">
        <f t="shared" si="4"/>
        <v>18521</v>
      </c>
      <c r="S51" s="82">
        <f t="shared" si="4"/>
        <v>260151</v>
      </c>
      <c r="T51" s="82">
        <f t="shared" si="4"/>
        <v>153164</v>
      </c>
      <c r="U51" s="82">
        <f t="shared" si="4"/>
        <v>75235</v>
      </c>
      <c r="V51" s="82">
        <f t="shared" si="4"/>
        <v>49543</v>
      </c>
      <c r="W51" s="82">
        <f t="shared" si="4"/>
        <v>54662</v>
      </c>
      <c r="X51" s="82">
        <f t="shared" si="4"/>
        <v>96367</v>
      </c>
      <c r="Y51" s="82">
        <f t="shared" si="4"/>
        <v>105618</v>
      </c>
      <c r="Z51" s="82">
        <f t="shared" si="4"/>
        <v>23000</v>
      </c>
      <c r="AA51" s="82">
        <f t="shared" si="4"/>
        <v>15000</v>
      </c>
    </row>
    <row r="52" spans="1:27" x14ac:dyDescent="0.25">
      <c r="A52" s="35" t="s">
        <v>61</v>
      </c>
      <c r="B52" s="68">
        <f>SUM(C51:AA51)</f>
        <v>2668416</v>
      </c>
      <c r="C52" s="62">
        <f>C51/B52</f>
        <v>0.11242624838106202</v>
      </c>
      <c r="D52" s="39">
        <f>D51/B52</f>
        <v>1.4694110663404807E-2</v>
      </c>
      <c r="E52" s="39">
        <f>E51/B52</f>
        <v>3.0632405142226701E-2</v>
      </c>
      <c r="F52" s="39">
        <f>F51/B52</f>
        <v>5.7991332685758144E-2</v>
      </c>
      <c r="G52" s="39">
        <f>G51/B52</f>
        <v>6.1359623087254761E-2</v>
      </c>
      <c r="H52" s="39">
        <f>H51/B52</f>
        <v>3.0605048088453973E-2</v>
      </c>
      <c r="I52" s="39">
        <f>I51/B52</f>
        <v>9.5594914735933234E-2</v>
      </c>
      <c r="J52" s="39">
        <f>J51/B52</f>
        <v>6.6833657120928674E-3</v>
      </c>
      <c r="K52" s="39">
        <f>K51/B52</f>
        <v>9.8173223365472254E-2</v>
      </c>
      <c r="L52" s="39">
        <f>L51/B52</f>
        <v>2.3071739938600278E-2</v>
      </c>
      <c r="M52" s="39">
        <f>M51/B52</f>
        <v>3.3353120353048403E-2</v>
      </c>
      <c r="N52" s="39">
        <f>N51/B52</f>
        <v>6.7455749028637211E-3</v>
      </c>
      <c r="O52" s="39">
        <f>O51/B52</f>
        <v>2.2485249676212405E-3</v>
      </c>
      <c r="P52" s="39">
        <f>P51/B52</f>
        <v>1.3142628435746151E-2</v>
      </c>
      <c r="Q52" s="39">
        <f>Q51/B52</f>
        <v>9.4264537463423989E-2</v>
      </c>
      <c r="R52" s="39">
        <f>R51/B52</f>
        <v>6.9408218208854991E-3</v>
      </c>
      <c r="S52" s="39">
        <f>S51/B52</f>
        <v>9.7492669808605562E-2</v>
      </c>
      <c r="T52" s="39">
        <f>T51/B52</f>
        <v>5.7398846356789948E-2</v>
      </c>
      <c r="U52" s="39">
        <f>U51/B52</f>
        <v>2.8194629323164005E-2</v>
      </c>
      <c r="V52" s="39">
        <f>V51/B52</f>
        <v>1.8566445411809854E-2</v>
      </c>
      <c r="W52" s="39">
        <f>W51/B52</f>
        <v>2.0484811963352043E-2</v>
      </c>
      <c r="X52" s="39">
        <f>X51/B52</f>
        <v>3.6113934259126013E-2</v>
      </c>
      <c r="Y52" s="39">
        <f>Y51/B52</f>
        <v>3.9580785005036694E-2</v>
      </c>
      <c r="Z52" s="39">
        <f>Z51/B52</f>
        <v>8.6193457092147551E-3</v>
      </c>
      <c r="AA52" s="52">
        <f>AA51/B52</f>
        <v>5.6213124190531011E-3</v>
      </c>
    </row>
    <row r="53" spans="1:27" ht="15.75" thickBot="1" x14ac:dyDescent="0.3">
      <c r="A53" s="35" t="s">
        <v>63</v>
      </c>
      <c r="B53" s="69">
        <f>SUM(C53:AA53)</f>
        <v>1100927.0000000002</v>
      </c>
      <c r="C53" s="63">
        <f>B51*C52</f>
        <v>123773.09235141746</v>
      </c>
      <c r="D53" s="53">
        <f>B51*D52</f>
        <v>16177.143170330264</v>
      </c>
      <c r="E53" s="53">
        <f>B51*E52</f>
        <v>33724.041896016213</v>
      </c>
      <c r="F53" s="53">
        <f>B51*F52</f>
        <v>63844.223919733653</v>
      </c>
      <c r="G53" s="53">
        <f>B51*G52</f>
        <v>67552.465766582129</v>
      </c>
      <c r="H53" s="53">
        <f>B51*H52</f>
        <v>33693.923776877367</v>
      </c>
      <c r="I53" s="53">
        <f>B51*I52</f>
        <v>105243.02269548677</v>
      </c>
      <c r="J53" s="53">
        <f>B51*J52</f>
        <v>7357.8977633172644</v>
      </c>
      <c r="K53" s="53">
        <f>B51*K52</f>
        <v>108081.55228007927</v>
      </c>
      <c r="L53" s="53">
        <f>B51*L52</f>
        <v>25400.30143538339</v>
      </c>
      <c r="M53" s="53">
        <f>B51*M52</f>
        <v>36719.350730920516</v>
      </c>
      <c r="N53" s="53">
        <f>B51*N52</f>
        <v>7426.3855410850483</v>
      </c>
      <c r="O53" s="53">
        <f>B51*O52</f>
        <v>2475.4618470283494</v>
      </c>
      <c r="P53" s="53">
        <f>B51*P52</f>
        <v>14469.074495880703</v>
      </c>
      <c r="Q53" s="53">
        <f>B51*Q52</f>
        <v>103778.37443599498</v>
      </c>
      <c r="R53" s="53">
        <f>B51*R52</f>
        <v>7641.33814480201</v>
      </c>
      <c r="S53" s="53">
        <f>B51*S52</f>
        <v>107332.3124943787</v>
      </c>
      <c r="T53" s="53">
        <f>B51*T52</f>
        <v>63191.939723041687</v>
      </c>
      <c r="U53" s="53">
        <f>B51*U52</f>
        <v>31040.228676862978</v>
      </c>
      <c r="V53" s="53">
        <f>B51*V52</f>
        <v>20440.301047887588</v>
      </c>
      <c r="W53" s="53">
        <f>B51*W52</f>
        <v>22552.282580377276</v>
      </c>
      <c r="X53" s="53">
        <f>B51*X52</f>
        <v>39758.805302096822</v>
      </c>
      <c r="Y53" s="53">
        <f>B51*Y52</f>
        <v>43575.554893240034</v>
      </c>
      <c r="Z53" s="53">
        <f>B51*Z52</f>
        <v>9489.2704136086722</v>
      </c>
      <c r="AA53" s="54">
        <f>B51*AA52</f>
        <v>6188.6546175708736</v>
      </c>
    </row>
    <row r="54" spans="1:27" x14ac:dyDescent="0.25">
      <c r="A54"/>
      <c r="B54" s="101">
        <f>SUM(C52:AA52)</f>
        <v>1</v>
      </c>
    </row>
    <row r="55" spans="1:27" x14ac:dyDescent="0.25">
      <c r="A55" s="102"/>
      <c r="B55" s="102"/>
      <c r="C55" s="102"/>
      <c r="D55" s="102"/>
      <c r="E55" s="96"/>
    </row>
    <row r="56" spans="1:27" x14ac:dyDescent="0.25">
      <c r="A56" s="102"/>
      <c r="B56" s="102"/>
      <c r="C56" s="102"/>
      <c r="D56" s="102"/>
      <c r="E56" s="96"/>
    </row>
    <row r="57" spans="1:27" x14ac:dyDescent="0.25">
      <c r="A57" s="131"/>
      <c r="B57" s="102"/>
      <c r="C57" s="102"/>
      <c r="D57" s="102"/>
      <c r="E57" s="96"/>
    </row>
    <row r="58" spans="1:27" x14ac:dyDescent="0.25">
      <c r="A58" s="131"/>
      <c r="B58" s="102"/>
      <c r="C58" s="102"/>
      <c r="D58" s="102"/>
      <c r="E58" s="96"/>
    </row>
    <row r="59" spans="1:27" x14ac:dyDescent="0.25">
      <c r="A59" s="131"/>
      <c r="B59" s="102"/>
      <c r="C59" s="102"/>
      <c r="D59" s="102"/>
      <c r="E59" s="96"/>
    </row>
    <row r="60" spans="1:27" x14ac:dyDescent="0.25">
      <c r="A60" s="131"/>
      <c r="B60" s="102"/>
      <c r="C60" s="102"/>
      <c r="D60" s="102"/>
      <c r="E60" s="96"/>
    </row>
    <row r="61" spans="1:27" x14ac:dyDescent="0.25">
      <c r="A61" s="131"/>
      <c r="B61" s="102"/>
      <c r="C61" s="102"/>
      <c r="D61" s="102"/>
      <c r="E61" s="96"/>
    </row>
    <row r="62" spans="1:27" x14ac:dyDescent="0.25">
      <c r="A62" s="131"/>
      <c r="B62" s="102"/>
      <c r="C62" s="102"/>
      <c r="D62" s="102"/>
      <c r="E62" s="96"/>
    </row>
    <row r="63" spans="1:27" x14ac:dyDescent="0.25">
      <c r="A63" s="131"/>
      <c r="B63" s="102"/>
      <c r="C63" s="102"/>
      <c r="D63" s="102"/>
      <c r="E63" s="96"/>
    </row>
    <row r="64" spans="1:27" x14ac:dyDescent="0.25">
      <c r="A64" s="131"/>
      <c r="B64" s="102"/>
      <c r="C64" s="102"/>
      <c r="D64" s="102"/>
      <c r="E64" s="96"/>
    </row>
    <row r="65" spans="1:32" x14ac:dyDescent="0.25">
      <c r="A65" s="131"/>
      <c r="B65" s="102"/>
      <c r="C65" s="102"/>
      <c r="D65" s="102"/>
      <c r="E65" s="96"/>
    </row>
    <row r="66" spans="1:32" x14ac:dyDescent="0.25">
      <c r="A66" s="131"/>
      <c r="B66" s="102"/>
      <c r="C66" s="102"/>
      <c r="D66" s="102"/>
      <c r="E66" s="96"/>
    </row>
    <row r="67" spans="1:32" x14ac:dyDescent="0.25">
      <c r="A67" s="131"/>
      <c r="B67" s="102"/>
      <c r="C67" s="102"/>
      <c r="D67" s="102"/>
      <c r="E67" s="96"/>
      <c r="AF67" s="1"/>
    </row>
    <row r="68" spans="1:32" x14ac:dyDescent="0.25">
      <c r="A68" s="131"/>
      <c r="B68" s="102"/>
      <c r="C68" s="102"/>
      <c r="D68" s="102"/>
      <c r="E68" s="96"/>
      <c r="AF68" s="1"/>
    </row>
    <row r="69" spans="1:32" x14ac:dyDescent="0.25">
      <c r="A69" s="102"/>
      <c r="B69" s="132"/>
      <c r="C69" s="102"/>
      <c r="D69" s="102"/>
      <c r="E69" s="96"/>
      <c r="AF69" s="1"/>
    </row>
    <row r="70" spans="1:32" x14ac:dyDescent="0.25">
      <c r="A70" s="102"/>
      <c r="B70" s="133"/>
      <c r="C70" s="102"/>
      <c r="D70" s="102"/>
      <c r="E70" s="96"/>
      <c r="AF70" s="1"/>
    </row>
    <row r="71" spans="1:32" x14ac:dyDescent="0.25">
      <c r="A71" s="102"/>
      <c r="B71" s="133"/>
      <c r="C71" s="102"/>
      <c r="D71" s="102"/>
      <c r="E71" s="96"/>
      <c r="AF71" s="1"/>
    </row>
    <row r="72" spans="1:32" x14ac:dyDescent="0.25">
      <c r="A72" s="102"/>
      <c r="B72" s="134"/>
      <c r="C72" s="102"/>
      <c r="D72" s="102"/>
      <c r="E72" s="96"/>
    </row>
    <row r="73" spans="1:32" x14ac:dyDescent="0.25">
      <c r="A73" s="102"/>
      <c r="B73" s="102"/>
      <c r="C73" s="102"/>
      <c r="D73" s="102"/>
      <c r="E73" s="96"/>
      <c r="AF73" s="1"/>
    </row>
    <row r="74" spans="1:32" x14ac:dyDescent="0.25">
      <c r="A74" s="102"/>
      <c r="B74" s="102"/>
      <c r="C74" s="102"/>
      <c r="D74" s="102"/>
      <c r="AF74" s="1"/>
    </row>
    <row r="75" spans="1:32" x14ac:dyDescent="0.25">
      <c r="A75" s="102"/>
      <c r="B75" s="102"/>
      <c r="C75" s="102"/>
      <c r="D75" s="102"/>
      <c r="AF75" s="1"/>
    </row>
    <row r="76" spans="1:32" x14ac:dyDescent="0.25">
      <c r="A76" s="41"/>
      <c r="B76" s="41"/>
      <c r="C76" s="41"/>
      <c r="D76" s="41"/>
      <c r="AF76" s="1"/>
    </row>
    <row r="77" spans="1:32" x14ac:dyDescent="0.25">
      <c r="AF77" s="1"/>
    </row>
    <row r="78" spans="1:32" x14ac:dyDescent="0.25">
      <c r="AF78" s="1"/>
    </row>
    <row r="79" spans="1:32" x14ac:dyDescent="0.25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AF79" s="1"/>
    </row>
    <row r="80" spans="1:32" x14ac:dyDescent="0.25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AF80" s="1"/>
    </row>
    <row r="81" spans="1:32" x14ac:dyDescent="0.25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AF81" s="1"/>
    </row>
    <row r="82" spans="1:32" x14ac:dyDescent="0.25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AF82" s="1"/>
    </row>
    <row r="83" spans="1:32" x14ac:dyDescent="0.25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AF83" s="1"/>
    </row>
    <row r="84" spans="1:32" x14ac:dyDescent="0.25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AF84" s="1"/>
    </row>
    <row r="85" spans="1:32" x14ac:dyDescent="0.25">
      <c r="D85" s="3"/>
      <c r="E85" s="3"/>
      <c r="F85" s="3"/>
      <c r="G85" s="3"/>
      <c r="H85" s="3"/>
      <c r="I85" s="3"/>
      <c r="J85" s="3"/>
      <c r="AF85" s="1"/>
    </row>
    <row r="86" spans="1:32" x14ac:dyDescent="0.25">
      <c r="A86" s="36"/>
      <c r="B86" s="3"/>
      <c r="C86" s="3"/>
      <c r="D86" s="3"/>
      <c r="E86" s="3"/>
      <c r="F86" s="3"/>
      <c r="G86" s="3"/>
      <c r="H86" s="3"/>
      <c r="I86" s="3"/>
      <c r="J86" s="3"/>
      <c r="AF86" s="1"/>
    </row>
    <row r="87" spans="1:32" x14ac:dyDescent="0.25">
      <c r="A87" s="36"/>
      <c r="B87" s="3"/>
      <c r="C87" s="3"/>
      <c r="D87" s="3"/>
      <c r="E87" s="3"/>
      <c r="F87" s="3"/>
      <c r="G87" s="3"/>
      <c r="H87" s="3"/>
      <c r="I87" s="3"/>
      <c r="J87" s="3"/>
      <c r="AF87" s="1"/>
    </row>
    <row r="88" spans="1:32" x14ac:dyDescent="0.25">
      <c r="A88" s="36"/>
      <c r="B88" s="3"/>
      <c r="C88" s="3"/>
      <c r="D88" s="3"/>
      <c r="E88" s="3"/>
      <c r="F88" s="3"/>
      <c r="G88" s="3"/>
      <c r="H88" s="3"/>
      <c r="I88" s="3"/>
      <c r="J88" s="3"/>
      <c r="AF88" s="1"/>
    </row>
    <row r="89" spans="1:32" x14ac:dyDescent="0.25">
      <c r="A89" s="36"/>
      <c r="B89" s="3"/>
      <c r="C89" s="3"/>
      <c r="D89" s="3"/>
      <c r="E89" s="3"/>
      <c r="F89" s="3"/>
      <c r="G89" s="3"/>
      <c r="H89" s="3"/>
      <c r="I89" s="3"/>
      <c r="J89" s="3"/>
      <c r="AF89" s="1"/>
    </row>
    <row r="90" spans="1:32" x14ac:dyDescent="0.25">
      <c r="A90" s="36"/>
      <c r="B90" s="3"/>
      <c r="C90" s="3"/>
      <c r="D90" s="3"/>
      <c r="E90" s="3"/>
      <c r="F90" s="3"/>
      <c r="G90" s="3"/>
      <c r="H90" s="3"/>
      <c r="I90" s="3"/>
      <c r="J90" s="3"/>
      <c r="AF90" s="1"/>
    </row>
    <row r="91" spans="1:32" x14ac:dyDescent="0.25">
      <c r="A91" s="36"/>
      <c r="B91" s="3"/>
      <c r="C91" s="3"/>
      <c r="D91" s="3"/>
      <c r="E91" s="3"/>
      <c r="F91" s="3"/>
      <c r="G91" s="3"/>
      <c r="H91" s="3"/>
      <c r="I91" s="3"/>
      <c r="J91" s="3"/>
      <c r="AF91" s="1"/>
    </row>
    <row r="92" spans="1:32" x14ac:dyDescent="0.25">
      <c r="A92" s="36"/>
      <c r="B92" s="3"/>
      <c r="C92" s="3"/>
      <c r="D92" s="3"/>
      <c r="E92" s="3"/>
      <c r="F92" s="3"/>
      <c r="G92" s="3"/>
      <c r="H92" s="3"/>
      <c r="I92" s="3"/>
      <c r="J92" s="3"/>
      <c r="AF92" s="1"/>
    </row>
    <row r="93" spans="1:32" x14ac:dyDescent="0.25">
      <c r="A93" s="36"/>
      <c r="B93" s="3"/>
      <c r="C93" s="3"/>
      <c r="D93" s="3"/>
      <c r="E93" s="3"/>
      <c r="F93" s="3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B124" s="4"/>
      <c r="C124" s="4"/>
      <c r="AF124" s="2"/>
    </row>
    <row r="125" spans="1:32" x14ac:dyDescent="0.25">
      <c r="A125"/>
      <c r="B125" s="4"/>
      <c r="C125" s="4"/>
      <c r="AF125" s="2"/>
    </row>
    <row r="126" spans="1:32" x14ac:dyDescent="0.25">
      <c r="A126"/>
      <c r="B126" s="4"/>
      <c r="C126" s="4"/>
      <c r="AF126" s="2"/>
    </row>
    <row r="127" spans="1:32" x14ac:dyDescent="0.25">
      <c r="B127" s="4"/>
      <c r="C127" s="4"/>
      <c r="AF127" s="2"/>
    </row>
    <row r="128" spans="1:32" x14ac:dyDescent="0.25">
      <c r="B128" s="4"/>
      <c r="C128" s="4"/>
      <c r="AF128" s="2"/>
    </row>
    <row r="129" spans="2:32" x14ac:dyDescent="0.25">
      <c r="B129" s="4"/>
      <c r="C129" s="4"/>
      <c r="AF129" s="2"/>
    </row>
    <row r="130" spans="2:32" x14ac:dyDescent="0.25">
      <c r="B130" s="4"/>
      <c r="C130" s="4"/>
    </row>
    <row r="131" spans="2:32" x14ac:dyDescent="0.25">
      <c r="B131" s="4"/>
      <c r="C131" s="4"/>
    </row>
    <row r="132" spans="2:32" x14ac:dyDescent="0.25">
      <c r="B132" s="4"/>
      <c r="C132" s="4"/>
    </row>
    <row r="133" spans="2:32" x14ac:dyDescent="0.25">
      <c r="B133" s="4"/>
      <c r="C133" s="4"/>
    </row>
    <row r="134" spans="2:32" x14ac:dyDescent="0.25">
      <c r="B134" s="4"/>
      <c r="C134" s="4"/>
    </row>
    <row r="135" spans="2:32" x14ac:dyDescent="0.25">
      <c r="B135" s="4"/>
      <c r="C135" s="4"/>
    </row>
    <row r="136" spans="2:32" x14ac:dyDescent="0.25">
      <c r="B136" s="4"/>
      <c r="C136" s="4"/>
    </row>
    <row r="137" spans="2:32" x14ac:dyDescent="0.25">
      <c r="B137" s="4"/>
      <c r="C137" s="4"/>
    </row>
    <row r="138" spans="2:32" x14ac:dyDescent="0.25">
      <c r="B138" s="4"/>
      <c r="C138" s="4"/>
    </row>
    <row r="139" spans="2:32" x14ac:dyDescent="0.25">
      <c r="B139" s="4"/>
      <c r="C139" s="4"/>
    </row>
    <row r="140" spans="2:32" x14ac:dyDescent="0.25">
      <c r="B140" s="4"/>
      <c r="C140" s="4"/>
    </row>
    <row r="141" spans="2:32" x14ac:dyDescent="0.25">
      <c r="B141" s="4"/>
      <c r="C141" s="4"/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141"/>
  <sheetViews>
    <sheetView topLeftCell="A34" zoomScale="85" zoomScaleNormal="85" workbookViewId="0">
      <selection activeCell="L70" sqref="L70"/>
    </sheetView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8" ht="15.75" thickBot="1" x14ac:dyDescent="0.3">
      <c r="A1" s="38" t="s">
        <v>49</v>
      </c>
    </row>
    <row r="2" spans="1:28" ht="15.75" thickBot="1" x14ac:dyDescent="0.3">
      <c r="A2" s="46" t="s">
        <v>4</v>
      </c>
      <c r="B2" s="64" t="s">
        <v>46</v>
      </c>
      <c r="C2" s="59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43</v>
      </c>
      <c r="AA2" s="130" t="s">
        <v>45</v>
      </c>
      <c r="AB2">
        <v>123</v>
      </c>
    </row>
    <row r="3" spans="1:28" x14ac:dyDescent="0.25">
      <c r="A3" s="47">
        <v>41820</v>
      </c>
      <c r="B3" s="65">
        <v>35435</v>
      </c>
      <c r="C3" s="60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8" x14ac:dyDescent="0.25">
      <c r="A4" s="47">
        <v>41835</v>
      </c>
      <c r="B4" s="66">
        <v>148000</v>
      </c>
      <c r="C4" s="61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8" x14ac:dyDescent="0.25">
      <c r="A5" s="47">
        <v>41850</v>
      </c>
      <c r="B5" s="66">
        <v>54300</v>
      </c>
      <c r="C5" s="61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8" x14ac:dyDescent="0.25">
      <c r="A6" s="47">
        <v>41866</v>
      </c>
      <c r="B6" s="66">
        <v>76000</v>
      </c>
      <c r="C6" s="61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8" x14ac:dyDescent="0.25">
      <c r="A7" s="47">
        <v>41881</v>
      </c>
      <c r="B7" s="66">
        <v>56500</v>
      </c>
      <c r="C7" s="61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8" x14ac:dyDescent="0.25">
      <c r="A8" s="47">
        <v>41897</v>
      </c>
      <c r="B8" s="66">
        <v>60000</v>
      </c>
      <c r="C8" s="61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8" x14ac:dyDescent="0.25">
      <c r="A9" s="47">
        <v>41912</v>
      </c>
      <c r="B9" s="66">
        <v>125000</v>
      </c>
      <c r="C9" s="61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8" x14ac:dyDescent="0.25">
      <c r="A10" s="47">
        <v>41927</v>
      </c>
      <c r="B10" s="66">
        <v>99000</v>
      </c>
      <c r="C10" s="61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8" x14ac:dyDescent="0.25">
      <c r="A11" s="47">
        <v>41942</v>
      </c>
      <c r="B11" s="66">
        <v>32000</v>
      </c>
      <c r="C11" s="61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8" x14ac:dyDescent="0.25">
      <c r="A12" s="47">
        <v>41958</v>
      </c>
      <c r="B12" s="66">
        <v>76000</v>
      </c>
      <c r="C12" s="61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8" x14ac:dyDescent="0.25">
      <c r="A13" s="47">
        <v>41973</v>
      </c>
      <c r="B13" s="66">
        <v>33400</v>
      </c>
      <c r="C13" s="61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8" x14ac:dyDescent="0.25">
      <c r="A14" s="47">
        <v>41623</v>
      </c>
      <c r="B14" s="67">
        <v>45000</v>
      </c>
      <c r="C14" s="61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8" x14ac:dyDescent="0.25">
      <c r="A15" s="48" t="s">
        <v>5</v>
      </c>
      <c r="B15" s="66">
        <f>SUM(B3:B14)</f>
        <v>840635</v>
      </c>
      <c r="C15" s="79">
        <f t="shared" ref="C15:Z15" si="0">SUM(C3:C14)</f>
        <v>300000</v>
      </c>
      <c r="D15" s="80">
        <f t="shared" si="0"/>
        <v>20310</v>
      </c>
      <c r="E15" s="80">
        <f t="shared" si="0"/>
        <v>57240</v>
      </c>
      <c r="F15" s="80">
        <f t="shared" si="0"/>
        <v>100745</v>
      </c>
      <c r="G15" s="80">
        <f t="shared" si="0"/>
        <v>111733</v>
      </c>
      <c r="H15" s="80">
        <f t="shared" si="0"/>
        <v>67667</v>
      </c>
      <c r="I15" s="80">
        <f t="shared" si="0"/>
        <v>190226</v>
      </c>
      <c r="J15" s="80">
        <f t="shared" si="0"/>
        <v>4834</v>
      </c>
      <c r="K15" s="80">
        <f t="shared" si="0"/>
        <v>167305</v>
      </c>
      <c r="L15" s="80">
        <f t="shared" si="0"/>
        <v>49565</v>
      </c>
      <c r="M15" s="80">
        <f t="shared" si="0"/>
        <v>50000</v>
      </c>
      <c r="N15" s="80">
        <f t="shared" si="0"/>
        <v>27172</v>
      </c>
      <c r="O15" s="80">
        <f t="shared" si="0"/>
        <v>6000</v>
      </c>
      <c r="P15" s="80">
        <f t="shared" si="0"/>
        <v>14070</v>
      </c>
      <c r="Q15" s="80">
        <f t="shared" si="0"/>
        <v>208629</v>
      </c>
      <c r="R15" s="80">
        <f t="shared" si="0"/>
        <v>10500</v>
      </c>
      <c r="S15" s="80">
        <f t="shared" si="0"/>
        <v>181027</v>
      </c>
      <c r="T15" s="80">
        <f t="shared" si="0"/>
        <v>88164</v>
      </c>
      <c r="U15" s="80">
        <f t="shared" si="0"/>
        <v>27000</v>
      </c>
      <c r="V15" s="80">
        <f t="shared" si="0"/>
        <v>23000</v>
      </c>
      <c r="W15" s="80">
        <f t="shared" si="0"/>
        <v>30000</v>
      </c>
      <c r="X15" s="80">
        <f t="shared" si="0"/>
        <v>38000</v>
      </c>
      <c r="Y15" s="80">
        <f t="shared" si="0"/>
        <v>38000</v>
      </c>
      <c r="Z15" s="80">
        <f t="shared" si="0"/>
        <v>15000</v>
      </c>
      <c r="AA15" s="81">
        <f>SUM(AB3:AB14)</f>
        <v>0</v>
      </c>
    </row>
    <row r="16" spans="1:28" x14ac:dyDescent="0.25">
      <c r="A16" s="49" t="s">
        <v>61</v>
      </c>
      <c r="B16" s="68">
        <f>SUM(C15:AA15)</f>
        <v>1826187</v>
      </c>
      <c r="C16" s="62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27" ht="15.75" thickBot="1" x14ac:dyDescent="0.3">
      <c r="A17" s="50" t="s">
        <v>62</v>
      </c>
      <c r="B17" s="69">
        <f>SUM(C17:AA17)</f>
        <v>840635</v>
      </c>
      <c r="C17" s="63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27" ht="15.75" thickBot="1" x14ac:dyDescent="0.3">
      <c r="B18" s="101">
        <f>SUM(C16:AA16)</f>
        <v>1.0000000000000002</v>
      </c>
    </row>
    <row r="19" spans="1:27" ht="15.75" thickBot="1" x14ac:dyDescent="0.3">
      <c r="A19" s="37" t="s">
        <v>47</v>
      </c>
    </row>
    <row r="20" spans="1:27" ht="15.75" thickBot="1" x14ac:dyDescent="0.3">
      <c r="A20" s="20" t="s">
        <v>4</v>
      </c>
      <c r="B20" s="45" t="s">
        <v>46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43</v>
      </c>
      <c r="AA20" s="43" t="s">
        <v>44</v>
      </c>
    </row>
    <row r="21" spans="1:27" x14ac:dyDescent="0.25">
      <c r="A21" s="26">
        <v>42003</v>
      </c>
      <c r="B21" s="78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27" x14ac:dyDescent="0.25">
      <c r="A22" s="27">
        <v>41654</v>
      </c>
      <c r="B22" s="78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27" x14ac:dyDescent="0.25">
      <c r="A23" s="27">
        <v>41669</v>
      </c>
      <c r="B23" s="78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</row>
    <row r="24" spans="1:27" x14ac:dyDescent="0.25">
      <c r="A24" s="27">
        <v>41685</v>
      </c>
      <c r="B24" s="78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27" x14ac:dyDescent="0.25">
      <c r="A25" s="27">
        <v>41698</v>
      </c>
      <c r="B25" s="78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27" x14ac:dyDescent="0.25">
      <c r="A26" s="27">
        <v>41713</v>
      </c>
      <c r="B26" s="78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27" x14ac:dyDescent="0.25">
      <c r="A27" s="27">
        <v>41728</v>
      </c>
      <c r="B27" s="78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27" x14ac:dyDescent="0.25">
      <c r="A28" s="27">
        <v>41744</v>
      </c>
      <c r="B28" s="78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27" x14ac:dyDescent="0.25">
      <c r="A29" s="27">
        <v>41759</v>
      </c>
      <c r="B29" s="78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27" x14ac:dyDescent="0.25">
      <c r="A30" s="27">
        <v>41774</v>
      </c>
      <c r="B30" s="78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27" x14ac:dyDescent="0.25">
      <c r="A31" s="27">
        <v>41789</v>
      </c>
      <c r="B31" s="78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27" ht="15.75" thickBot="1" x14ac:dyDescent="0.3">
      <c r="A32" s="28">
        <v>41805</v>
      </c>
      <c r="B32" s="78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7">
        <f>SUM(B21:B32)</f>
        <v>24524350</v>
      </c>
      <c r="C33" s="82">
        <f t="shared" ref="C33:M33" si="1">SUM(C21:C32) + C15</f>
        <v>300000</v>
      </c>
      <c r="D33" s="82">
        <f t="shared" si="1"/>
        <v>21210</v>
      </c>
      <c r="E33" s="82">
        <f t="shared" si="1"/>
        <v>62740</v>
      </c>
      <c r="F33" s="82">
        <f t="shared" si="1"/>
        <v>136745</v>
      </c>
      <c r="G33" s="82">
        <f t="shared" si="1"/>
        <v>144733</v>
      </c>
      <c r="H33" s="82">
        <f t="shared" si="1"/>
        <v>69667</v>
      </c>
      <c r="I33" s="82">
        <f t="shared" si="1"/>
        <v>244087</v>
      </c>
      <c r="J33" s="82">
        <f t="shared" si="1"/>
        <v>6834</v>
      </c>
      <c r="K33" s="82">
        <f t="shared" si="1"/>
        <v>249967</v>
      </c>
      <c r="L33" s="82">
        <f t="shared" si="1"/>
        <v>53565</v>
      </c>
      <c r="M33" s="82">
        <f t="shared" si="1"/>
        <v>68000</v>
      </c>
      <c r="N33" s="82">
        <f>SUM(N21:N32) + N14</f>
        <v>0</v>
      </c>
      <c r="O33" s="82">
        <f>SUM(O21:O32) + O14</f>
        <v>10419</v>
      </c>
      <c r="P33" s="82">
        <f t="shared" ref="P33:AA33" si="2">SUM(P21:P32) + P15</f>
        <v>14070</v>
      </c>
      <c r="Q33" s="82">
        <f t="shared" si="2"/>
        <v>237537</v>
      </c>
      <c r="R33" s="82">
        <f t="shared" si="2"/>
        <v>14521</v>
      </c>
      <c r="S33" s="82">
        <f t="shared" si="2"/>
        <v>245151</v>
      </c>
      <c r="T33" s="82">
        <f t="shared" si="2"/>
        <v>136164</v>
      </c>
      <c r="U33" s="82">
        <f t="shared" si="2"/>
        <v>58235</v>
      </c>
      <c r="V33" s="82">
        <f t="shared" si="2"/>
        <v>36543</v>
      </c>
      <c r="W33" s="82">
        <f t="shared" si="2"/>
        <v>44662</v>
      </c>
      <c r="X33" s="82">
        <f t="shared" si="2"/>
        <v>86367</v>
      </c>
      <c r="Y33" s="82">
        <f t="shared" si="2"/>
        <v>86618</v>
      </c>
      <c r="Z33" s="82">
        <f t="shared" si="2"/>
        <v>15000</v>
      </c>
      <c r="AA33" s="82">
        <f t="shared" si="2"/>
        <v>0</v>
      </c>
    </row>
    <row r="34" spans="1:27" x14ac:dyDescent="0.25">
      <c r="A34" s="35" t="s">
        <v>61</v>
      </c>
      <c r="B34" s="68">
        <f>SUM(C33:AA33)</f>
        <v>2342835</v>
      </c>
      <c r="C34" s="62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63</v>
      </c>
      <c r="B35" s="69">
        <f>SUM(C35:AA35)</f>
        <v>24524349.999999996</v>
      </c>
      <c r="C35" s="63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101">
        <f>SUM(C34:AA34)</f>
        <v>1</v>
      </c>
    </row>
    <row r="37" spans="1:27" ht="15.75" thickBot="1" x14ac:dyDescent="0.3">
      <c r="A37" s="37" t="s">
        <v>48</v>
      </c>
    </row>
    <row r="38" spans="1:27" ht="15.75" thickBot="1" x14ac:dyDescent="0.3">
      <c r="A38" s="20" t="s">
        <v>4</v>
      </c>
      <c r="B38" s="4" t="s">
        <v>46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43</v>
      </c>
      <c r="AA38" s="22" t="s">
        <v>44</v>
      </c>
    </row>
    <row r="39" spans="1:27" x14ac:dyDescent="0.25">
      <c r="A39" s="33">
        <v>41820</v>
      </c>
      <c r="B39" s="24">
        <v>35435</v>
      </c>
      <c r="C39" s="4">
        <v>0</v>
      </c>
      <c r="D39" s="4">
        <v>1000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3000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3000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</row>
    <row r="40" spans="1:27" x14ac:dyDescent="0.25">
      <c r="A40" s="34">
        <v>41835</v>
      </c>
      <c r="B40" s="24">
        <v>234234</v>
      </c>
      <c r="C40" s="4">
        <v>0</v>
      </c>
      <c r="D40" s="4">
        <v>1000</v>
      </c>
      <c r="E40" s="4">
        <v>3000</v>
      </c>
      <c r="F40" s="4">
        <v>0</v>
      </c>
      <c r="G40" s="4">
        <v>0</v>
      </c>
      <c r="H40" s="4">
        <v>3000</v>
      </c>
      <c r="I40" s="4">
        <v>0</v>
      </c>
      <c r="J40" s="4">
        <v>0</v>
      </c>
      <c r="K40" s="4">
        <v>3000</v>
      </c>
      <c r="L40" s="4">
        <v>0</v>
      </c>
      <c r="M40" s="4">
        <v>3000</v>
      </c>
      <c r="N40" s="4">
        <v>3000</v>
      </c>
      <c r="O40" s="4">
        <v>0</v>
      </c>
      <c r="P40" s="4">
        <v>3000</v>
      </c>
      <c r="Q40" s="4">
        <v>0</v>
      </c>
      <c r="R40" s="4">
        <v>0</v>
      </c>
      <c r="S40" s="4">
        <v>0</v>
      </c>
      <c r="T40" s="4">
        <v>3000</v>
      </c>
      <c r="U40" s="4">
        <v>0</v>
      </c>
      <c r="V40" s="4">
        <v>0</v>
      </c>
      <c r="W40" s="4">
        <v>3000</v>
      </c>
      <c r="X40" s="4">
        <v>0</v>
      </c>
      <c r="Y40" s="4">
        <v>3000</v>
      </c>
      <c r="Z40" s="4">
        <v>0</v>
      </c>
      <c r="AA40" s="4">
        <v>3000</v>
      </c>
    </row>
    <row r="41" spans="1:27" x14ac:dyDescent="0.25">
      <c r="A41" s="34">
        <v>41850</v>
      </c>
      <c r="B41" s="24">
        <v>23423</v>
      </c>
      <c r="C41" s="4">
        <v>0</v>
      </c>
      <c r="D41" s="4">
        <v>1000</v>
      </c>
      <c r="E41" s="4">
        <v>3000</v>
      </c>
      <c r="F41" s="4">
        <v>3000</v>
      </c>
      <c r="G41" s="4">
        <v>2000</v>
      </c>
      <c r="H41" s="4">
        <v>3000</v>
      </c>
      <c r="I41" s="4">
        <v>3000</v>
      </c>
      <c r="J41" s="4">
        <v>3000</v>
      </c>
      <c r="K41" s="4">
        <v>1000</v>
      </c>
      <c r="L41" s="4">
        <v>2000</v>
      </c>
      <c r="M41" s="4">
        <v>3000</v>
      </c>
      <c r="N41" s="4">
        <v>3000</v>
      </c>
      <c r="O41" s="4">
        <v>0</v>
      </c>
      <c r="P41" s="4">
        <v>3000</v>
      </c>
      <c r="Q41" s="4">
        <v>0</v>
      </c>
      <c r="R41" s="4">
        <v>1000</v>
      </c>
      <c r="S41" s="4">
        <v>3000</v>
      </c>
      <c r="T41" s="4">
        <v>3000</v>
      </c>
      <c r="U41" s="4">
        <v>2000</v>
      </c>
      <c r="V41" s="4">
        <v>2000</v>
      </c>
      <c r="W41" s="4">
        <v>0</v>
      </c>
      <c r="X41" s="4">
        <v>0</v>
      </c>
      <c r="Y41" s="4">
        <v>3000</v>
      </c>
      <c r="Z41" s="4">
        <v>1000</v>
      </c>
      <c r="AA41" s="4">
        <v>3000</v>
      </c>
    </row>
    <row r="42" spans="1:27" x14ac:dyDescent="0.25">
      <c r="A42" s="34">
        <v>41866</v>
      </c>
      <c r="B42" s="24">
        <v>23423</v>
      </c>
      <c r="C42" s="4">
        <v>0</v>
      </c>
      <c r="D42" s="4">
        <v>1000</v>
      </c>
      <c r="E42" s="4">
        <v>1000</v>
      </c>
      <c r="F42" s="4">
        <v>3000</v>
      </c>
      <c r="G42" s="4">
        <v>2000</v>
      </c>
      <c r="H42" s="4">
        <v>2000</v>
      </c>
      <c r="I42" s="4">
        <v>2000</v>
      </c>
      <c r="J42" s="4">
        <v>3000</v>
      </c>
      <c r="K42" s="4">
        <v>2000</v>
      </c>
      <c r="L42" s="4">
        <v>2000</v>
      </c>
      <c r="M42" s="4">
        <v>2000</v>
      </c>
      <c r="N42" s="4">
        <v>2000</v>
      </c>
      <c r="O42" s="4">
        <v>1000</v>
      </c>
      <c r="P42" s="4">
        <v>1000</v>
      </c>
      <c r="Q42" s="4">
        <v>1000</v>
      </c>
      <c r="R42" s="4">
        <v>0</v>
      </c>
      <c r="S42" s="4">
        <v>3000</v>
      </c>
      <c r="T42" s="4">
        <v>0</v>
      </c>
      <c r="U42" s="4">
        <v>3000</v>
      </c>
      <c r="V42" s="4">
        <v>2000</v>
      </c>
      <c r="W42" s="4">
        <v>2000</v>
      </c>
      <c r="X42" s="4">
        <v>0</v>
      </c>
      <c r="Y42" s="4">
        <v>3000</v>
      </c>
      <c r="Z42" s="4">
        <v>0</v>
      </c>
      <c r="AA42" s="4">
        <v>3000</v>
      </c>
    </row>
    <row r="43" spans="1:27" x14ac:dyDescent="0.25">
      <c r="A43" s="34">
        <v>41881</v>
      </c>
      <c r="B43" s="24">
        <v>32423</v>
      </c>
      <c r="C43" s="4">
        <v>0</v>
      </c>
      <c r="D43" s="4">
        <v>3000</v>
      </c>
      <c r="E43" s="4">
        <v>1000</v>
      </c>
      <c r="F43" s="4">
        <v>3000</v>
      </c>
      <c r="G43" s="4">
        <v>3000</v>
      </c>
      <c r="H43" s="4">
        <v>0</v>
      </c>
      <c r="I43" s="4">
        <v>2000</v>
      </c>
      <c r="J43" s="4">
        <v>2000</v>
      </c>
      <c r="K43" s="4">
        <v>2000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2000</v>
      </c>
      <c r="U43" s="4">
        <v>3000</v>
      </c>
      <c r="V43" s="4">
        <v>1000</v>
      </c>
      <c r="W43" s="4">
        <v>1000</v>
      </c>
      <c r="X43" s="4">
        <v>1000</v>
      </c>
      <c r="Y43" s="4">
        <v>0</v>
      </c>
      <c r="Z43" s="4">
        <v>0</v>
      </c>
      <c r="AA43" s="4">
        <v>0</v>
      </c>
    </row>
    <row r="44" spans="1:27" x14ac:dyDescent="0.25">
      <c r="A44" s="34">
        <v>41897</v>
      </c>
      <c r="B44" s="24">
        <v>23423</v>
      </c>
      <c r="C44" s="4">
        <v>0</v>
      </c>
      <c r="D44" s="4">
        <v>3000</v>
      </c>
      <c r="E44" s="4">
        <v>1000</v>
      </c>
      <c r="F44" s="4">
        <v>1000</v>
      </c>
      <c r="G44" s="4">
        <v>3000</v>
      </c>
      <c r="H44" s="4">
        <v>1000</v>
      </c>
      <c r="I44" s="4">
        <v>1000</v>
      </c>
      <c r="J44" s="4">
        <v>0</v>
      </c>
      <c r="K44" s="4">
        <v>0</v>
      </c>
      <c r="L44" s="4">
        <v>1000</v>
      </c>
      <c r="M44" s="4">
        <v>1000</v>
      </c>
      <c r="N44" s="4">
        <v>1000</v>
      </c>
      <c r="O44" s="4">
        <v>1000</v>
      </c>
      <c r="P44" s="4">
        <v>2000</v>
      </c>
      <c r="Q44" s="4">
        <v>2000</v>
      </c>
      <c r="R44" s="4">
        <v>1000</v>
      </c>
      <c r="S44" s="4">
        <v>3000</v>
      </c>
      <c r="T44" s="4">
        <v>2000</v>
      </c>
      <c r="U44" s="4">
        <v>3000</v>
      </c>
      <c r="V44" s="4">
        <v>0</v>
      </c>
      <c r="W44" s="4">
        <v>0</v>
      </c>
      <c r="X44" s="4">
        <v>0</v>
      </c>
      <c r="Y44" s="4">
        <v>0</v>
      </c>
      <c r="Z44" s="4">
        <v>2000</v>
      </c>
      <c r="AA44" s="4">
        <v>0</v>
      </c>
    </row>
    <row r="45" spans="1:27" x14ac:dyDescent="0.25">
      <c r="A45" s="34">
        <v>41912</v>
      </c>
      <c r="B45" s="24">
        <v>2342</v>
      </c>
      <c r="C45" s="4">
        <v>0</v>
      </c>
      <c r="D45" s="4">
        <v>3000</v>
      </c>
      <c r="E45" s="4">
        <v>3000</v>
      </c>
      <c r="F45" s="4">
        <v>0</v>
      </c>
      <c r="G45" s="4">
        <v>3000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2000</v>
      </c>
      <c r="O45" s="4">
        <v>0</v>
      </c>
      <c r="P45" s="4">
        <v>3000</v>
      </c>
      <c r="Q45" s="4">
        <v>2000</v>
      </c>
      <c r="R45" s="4">
        <v>1000</v>
      </c>
      <c r="S45" s="4">
        <v>3000</v>
      </c>
      <c r="T45" s="4">
        <v>2000</v>
      </c>
      <c r="U45" s="4">
        <v>1000</v>
      </c>
      <c r="V45" s="4">
        <v>0</v>
      </c>
      <c r="W45" s="4">
        <v>2000</v>
      </c>
      <c r="X45" s="4">
        <v>3000</v>
      </c>
      <c r="Y45" s="4">
        <v>1000</v>
      </c>
      <c r="Z45" s="4">
        <v>1000</v>
      </c>
      <c r="AA45" s="4">
        <v>1000</v>
      </c>
    </row>
    <row r="46" spans="1:27" x14ac:dyDescent="0.25">
      <c r="A46" s="34">
        <v>41927</v>
      </c>
      <c r="B46" s="24">
        <v>234324</v>
      </c>
      <c r="C46" s="4">
        <v>0</v>
      </c>
      <c r="D46" s="4">
        <v>3000</v>
      </c>
      <c r="E46" s="4">
        <v>3000</v>
      </c>
      <c r="F46" s="4">
        <v>2000</v>
      </c>
      <c r="G46" s="4">
        <v>3000</v>
      </c>
      <c r="H46" s="4">
        <v>0</v>
      </c>
      <c r="I46" s="4">
        <v>0</v>
      </c>
      <c r="J46" s="4">
        <v>0</v>
      </c>
      <c r="K46" s="4">
        <v>1000</v>
      </c>
      <c r="L46" s="4">
        <v>0</v>
      </c>
      <c r="M46" s="4">
        <v>3000</v>
      </c>
      <c r="N46" s="4">
        <v>2000</v>
      </c>
      <c r="O46" s="4">
        <v>0</v>
      </c>
      <c r="P46" s="4">
        <v>3000</v>
      </c>
      <c r="Q46" s="4">
        <v>3000</v>
      </c>
      <c r="R46" s="4">
        <v>0</v>
      </c>
      <c r="S46" s="4">
        <v>3000</v>
      </c>
      <c r="T46" s="4">
        <v>0</v>
      </c>
      <c r="U46" s="4">
        <v>1000</v>
      </c>
      <c r="V46" s="4">
        <v>1000</v>
      </c>
      <c r="W46" s="4">
        <v>0</v>
      </c>
      <c r="X46" s="4">
        <v>3000</v>
      </c>
      <c r="Y46" s="4">
        <v>0</v>
      </c>
      <c r="Z46" s="4">
        <v>2000</v>
      </c>
      <c r="AA46" s="4">
        <v>2000</v>
      </c>
    </row>
    <row r="47" spans="1:27" x14ac:dyDescent="0.25">
      <c r="A47" s="34">
        <v>41942</v>
      </c>
      <c r="B47" s="24">
        <v>23432</v>
      </c>
      <c r="C47" s="4">
        <v>0</v>
      </c>
      <c r="D47" s="4">
        <v>0</v>
      </c>
      <c r="E47" s="4">
        <v>2000</v>
      </c>
      <c r="F47" s="4">
        <v>3000</v>
      </c>
      <c r="G47" s="4">
        <v>0</v>
      </c>
      <c r="H47" s="4">
        <v>3000</v>
      </c>
      <c r="I47" s="4">
        <v>3000</v>
      </c>
      <c r="J47" s="4">
        <v>3000</v>
      </c>
      <c r="K47" s="4">
        <v>3000</v>
      </c>
      <c r="L47" s="4">
        <v>3000</v>
      </c>
      <c r="M47" s="4">
        <v>3000</v>
      </c>
      <c r="N47" s="4">
        <v>0</v>
      </c>
      <c r="O47" s="4">
        <v>2000</v>
      </c>
      <c r="P47" s="4">
        <v>3000</v>
      </c>
      <c r="Q47" s="4">
        <v>3000</v>
      </c>
      <c r="R47" s="4">
        <v>1000</v>
      </c>
      <c r="S47" s="4">
        <v>0</v>
      </c>
      <c r="T47" s="4">
        <v>1000</v>
      </c>
      <c r="U47" s="4">
        <v>1000</v>
      </c>
      <c r="V47" s="4">
        <v>1000</v>
      </c>
      <c r="W47" s="4">
        <v>2000</v>
      </c>
      <c r="X47" s="4">
        <v>3000</v>
      </c>
      <c r="Y47" s="4">
        <v>3000</v>
      </c>
      <c r="Z47" s="4">
        <v>2000</v>
      </c>
      <c r="AA47" s="4">
        <v>2000</v>
      </c>
    </row>
    <row r="48" spans="1:27" x14ac:dyDescent="0.25">
      <c r="A48" s="34">
        <v>41958</v>
      </c>
      <c r="B48" s="24">
        <v>234234</v>
      </c>
      <c r="C48" s="4">
        <v>0</v>
      </c>
      <c r="D48" s="4">
        <v>2000</v>
      </c>
      <c r="E48" s="4">
        <v>2000</v>
      </c>
      <c r="F48" s="4">
        <v>3000</v>
      </c>
      <c r="G48" s="4">
        <v>3000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3000</v>
      </c>
      <c r="N48" s="4">
        <v>2000</v>
      </c>
      <c r="O48" s="4">
        <v>2000</v>
      </c>
      <c r="P48" s="4">
        <v>0</v>
      </c>
      <c r="Q48" s="4">
        <v>3000</v>
      </c>
      <c r="R48" s="4">
        <v>0</v>
      </c>
      <c r="S48" s="4">
        <v>0</v>
      </c>
      <c r="T48" s="4">
        <v>1000</v>
      </c>
      <c r="U48" s="4">
        <v>3000</v>
      </c>
      <c r="V48" s="4">
        <v>3000</v>
      </c>
      <c r="W48" s="4">
        <v>0</v>
      </c>
      <c r="X48" s="4">
        <v>0</v>
      </c>
      <c r="Y48" s="4">
        <v>3000</v>
      </c>
      <c r="Z48" s="4">
        <v>0</v>
      </c>
      <c r="AA48" s="4">
        <v>1000</v>
      </c>
    </row>
    <row r="49" spans="1:27" x14ac:dyDescent="0.25">
      <c r="A49" s="47">
        <v>41973</v>
      </c>
      <c r="B49" s="24" t="s">
        <v>46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3000</v>
      </c>
      <c r="N49" s="4">
        <v>0</v>
      </c>
      <c r="O49" s="4">
        <v>0</v>
      </c>
      <c r="P49" s="4">
        <v>3000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3000</v>
      </c>
      <c r="W49" s="4">
        <v>0</v>
      </c>
      <c r="X49" s="4">
        <v>0</v>
      </c>
      <c r="Y49" s="4">
        <v>3000</v>
      </c>
      <c r="Z49" s="4">
        <v>0</v>
      </c>
      <c r="AA49" s="4">
        <v>0</v>
      </c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2">
        <f t="shared" ref="C51:M51" si="3">SUM(C39:C50) + C33</f>
        <v>300000</v>
      </c>
      <c r="D51" s="82">
        <f t="shared" si="3"/>
        <v>39210</v>
      </c>
      <c r="E51" s="82">
        <f t="shared" si="3"/>
        <v>81740</v>
      </c>
      <c r="F51" s="82">
        <f t="shared" si="3"/>
        <v>154745</v>
      </c>
      <c r="G51" s="82">
        <f t="shared" si="3"/>
        <v>163733</v>
      </c>
      <c r="H51" s="82">
        <f t="shared" si="3"/>
        <v>81667</v>
      </c>
      <c r="I51" s="82">
        <f t="shared" si="3"/>
        <v>255087</v>
      </c>
      <c r="J51" s="82">
        <f t="shared" si="3"/>
        <v>17834</v>
      </c>
      <c r="K51" s="82">
        <f t="shared" si="3"/>
        <v>261967</v>
      </c>
      <c r="L51" s="82">
        <f t="shared" si="3"/>
        <v>61565</v>
      </c>
      <c r="M51" s="82">
        <f t="shared" si="3"/>
        <v>89000</v>
      </c>
      <c r="N51" s="82">
        <f>SUM(N39:N50) + N32</f>
        <v>18000</v>
      </c>
      <c r="O51" s="82">
        <f>SUM(O39:O50) + O32</f>
        <v>6000</v>
      </c>
      <c r="P51" s="82">
        <f t="shared" ref="P51:AA51" si="4">SUM(P39:P50) + P33</f>
        <v>35070</v>
      </c>
      <c r="Q51" s="82">
        <f t="shared" si="4"/>
        <v>251537</v>
      </c>
      <c r="R51" s="82">
        <f t="shared" si="4"/>
        <v>18521</v>
      </c>
      <c r="S51" s="82">
        <f t="shared" si="4"/>
        <v>260151</v>
      </c>
      <c r="T51" s="82">
        <f t="shared" si="4"/>
        <v>153164</v>
      </c>
      <c r="U51" s="82">
        <f t="shared" si="4"/>
        <v>75235</v>
      </c>
      <c r="V51" s="82">
        <f t="shared" si="4"/>
        <v>49543</v>
      </c>
      <c r="W51" s="82">
        <f t="shared" si="4"/>
        <v>54662</v>
      </c>
      <c r="X51" s="82">
        <f t="shared" si="4"/>
        <v>96367</v>
      </c>
      <c r="Y51" s="82">
        <f t="shared" si="4"/>
        <v>105618</v>
      </c>
      <c r="Z51" s="82">
        <f t="shared" si="4"/>
        <v>23000</v>
      </c>
      <c r="AA51" s="82">
        <f t="shared" si="4"/>
        <v>15000</v>
      </c>
    </row>
    <row r="52" spans="1:27" x14ac:dyDescent="0.25">
      <c r="A52" s="35" t="s">
        <v>61</v>
      </c>
      <c r="B52" s="68">
        <f>SUM(C51:AA51)</f>
        <v>2668416</v>
      </c>
      <c r="C52" s="62">
        <f>C51/B52</f>
        <v>0.11242624838106202</v>
      </c>
      <c r="D52" s="39">
        <f>D51/B52</f>
        <v>1.4694110663404807E-2</v>
      </c>
      <c r="E52" s="39">
        <f>E51/B52</f>
        <v>3.0632405142226701E-2</v>
      </c>
      <c r="F52" s="39">
        <f>F51/B52</f>
        <v>5.7991332685758144E-2</v>
      </c>
      <c r="G52" s="39">
        <f>G51/B52</f>
        <v>6.1359623087254761E-2</v>
      </c>
      <c r="H52" s="39">
        <f>H51/B52</f>
        <v>3.0605048088453973E-2</v>
      </c>
      <c r="I52" s="39">
        <f>I51/B52</f>
        <v>9.5594914735933234E-2</v>
      </c>
      <c r="J52" s="39">
        <f>J51/B52</f>
        <v>6.6833657120928674E-3</v>
      </c>
      <c r="K52" s="39">
        <f>K51/B52</f>
        <v>9.8173223365472254E-2</v>
      </c>
      <c r="L52" s="39">
        <f>L51/B52</f>
        <v>2.3071739938600278E-2</v>
      </c>
      <c r="M52" s="39">
        <f>M51/B52</f>
        <v>3.3353120353048403E-2</v>
      </c>
      <c r="N52" s="39">
        <f>N51/B52</f>
        <v>6.7455749028637211E-3</v>
      </c>
      <c r="O52" s="39">
        <f>O51/B52</f>
        <v>2.2485249676212405E-3</v>
      </c>
      <c r="P52" s="39">
        <f>P51/B52</f>
        <v>1.3142628435746151E-2</v>
      </c>
      <c r="Q52" s="39">
        <f>Q51/B52</f>
        <v>9.4264537463423989E-2</v>
      </c>
      <c r="R52" s="39">
        <f>R51/B52</f>
        <v>6.9408218208854991E-3</v>
      </c>
      <c r="S52" s="39">
        <f>S51/B52</f>
        <v>9.7492669808605562E-2</v>
      </c>
      <c r="T52" s="39">
        <f>T51/B52</f>
        <v>5.7398846356789948E-2</v>
      </c>
      <c r="U52" s="39">
        <f>U51/B52</f>
        <v>2.8194629323164005E-2</v>
      </c>
      <c r="V52" s="39">
        <f>V51/B52</f>
        <v>1.8566445411809854E-2</v>
      </c>
      <c r="W52" s="39">
        <f>W51/B52</f>
        <v>2.0484811963352043E-2</v>
      </c>
      <c r="X52" s="39">
        <f>X51/B52</f>
        <v>3.6113934259126013E-2</v>
      </c>
      <c r="Y52" s="39">
        <f>Y51/B52</f>
        <v>3.9580785005036694E-2</v>
      </c>
      <c r="Z52" s="39">
        <f>Z51/B52</f>
        <v>8.6193457092147551E-3</v>
      </c>
      <c r="AA52" s="52">
        <f>AA51/B52</f>
        <v>5.6213124190531011E-3</v>
      </c>
    </row>
    <row r="53" spans="1:27" ht="15.75" thickBot="1" x14ac:dyDescent="0.3">
      <c r="A53" s="35" t="s">
        <v>63</v>
      </c>
      <c r="B53" s="69">
        <f>SUM(C53:AA53)</f>
        <v>1100927.0000000002</v>
      </c>
      <c r="C53" s="63">
        <f>B51*C52</f>
        <v>123773.09235141746</v>
      </c>
      <c r="D53" s="53">
        <f>B51*D52</f>
        <v>16177.143170330264</v>
      </c>
      <c r="E53" s="53">
        <f>B51*E52</f>
        <v>33724.041896016213</v>
      </c>
      <c r="F53" s="53">
        <f>B51*F52</f>
        <v>63844.223919733653</v>
      </c>
      <c r="G53" s="53">
        <f>B51*G52</f>
        <v>67552.465766582129</v>
      </c>
      <c r="H53" s="53">
        <f>B51*H52</f>
        <v>33693.923776877367</v>
      </c>
      <c r="I53" s="53">
        <f>B51*I52</f>
        <v>105243.02269548677</v>
      </c>
      <c r="J53" s="53">
        <f>B51*J52</f>
        <v>7357.8977633172644</v>
      </c>
      <c r="K53" s="53">
        <f>B51*K52</f>
        <v>108081.55228007927</v>
      </c>
      <c r="L53" s="53">
        <f>B51*L52</f>
        <v>25400.30143538339</v>
      </c>
      <c r="M53" s="53">
        <f>B51*M52</f>
        <v>36719.350730920516</v>
      </c>
      <c r="N53" s="53">
        <f>B51*N52</f>
        <v>7426.3855410850483</v>
      </c>
      <c r="O53" s="53">
        <f>B51*O52</f>
        <v>2475.4618470283494</v>
      </c>
      <c r="P53" s="53">
        <f>B51*P52</f>
        <v>14469.074495880703</v>
      </c>
      <c r="Q53" s="53">
        <f>B51*Q52</f>
        <v>103778.37443599498</v>
      </c>
      <c r="R53" s="53">
        <f>B51*R52</f>
        <v>7641.33814480201</v>
      </c>
      <c r="S53" s="53">
        <f>B51*S52</f>
        <v>107332.3124943787</v>
      </c>
      <c r="T53" s="53">
        <f>B51*T52</f>
        <v>63191.939723041687</v>
      </c>
      <c r="U53" s="53">
        <f>B51*U52</f>
        <v>31040.228676862978</v>
      </c>
      <c r="V53" s="53">
        <f>B51*V52</f>
        <v>20440.301047887588</v>
      </c>
      <c r="W53" s="53">
        <f>B51*W52</f>
        <v>22552.282580377276</v>
      </c>
      <c r="X53" s="53">
        <f>B51*X52</f>
        <v>39758.805302096822</v>
      </c>
      <c r="Y53" s="53">
        <f>B51*Y52</f>
        <v>43575.554893240034</v>
      </c>
      <c r="Z53" s="53">
        <f>B51*Z52</f>
        <v>9489.2704136086722</v>
      </c>
      <c r="AA53" s="54">
        <f>B51*AA52</f>
        <v>6188.6546175708736</v>
      </c>
    </row>
    <row r="54" spans="1:27" x14ac:dyDescent="0.25">
      <c r="A54"/>
      <c r="B54" s="101">
        <f>SUM(C52:AA52)</f>
        <v>1</v>
      </c>
    </row>
    <row r="55" spans="1:27" x14ac:dyDescent="0.25">
      <c r="A55" s="141">
        <v>2015</v>
      </c>
      <c r="B55" s="85"/>
      <c r="C55" s="102"/>
      <c r="D55" s="102"/>
      <c r="E55" s="111"/>
      <c r="F55" s="111"/>
    </row>
    <row r="56" spans="1:27" x14ac:dyDescent="0.25">
      <c r="A56" s="142" t="s">
        <v>94</v>
      </c>
      <c r="B56" s="85" t="s">
        <v>46</v>
      </c>
      <c r="C56" s="102"/>
      <c r="D56" s="102"/>
      <c r="E56" s="111"/>
      <c r="F56" s="111"/>
    </row>
    <row r="57" spans="1:27" x14ac:dyDescent="0.25">
      <c r="A57" s="143">
        <v>46021</v>
      </c>
      <c r="B57" s="85"/>
      <c r="C57" s="102"/>
      <c r="D57" s="102"/>
      <c r="E57" s="111"/>
      <c r="F57" s="111"/>
    </row>
    <row r="58" spans="1:27" x14ac:dyDescent="0.25">
      <c r="A58" s="143">
        <v>45672</v>
      </c>
      <c r="B58" s="85"/>
      <c r="C58" s="102"/>
      <c r="D58" s="102"/>
      <c r="E58" s="111"/>
      <c r="F58" s="111"/>
    </row>
    <row r="59" spans="1:27" x14ac:dyDescent="0.25">
      <c r="A59" s="143">
        <v>45687</v>
      </c>
      <c r="B59" s="85"/>
      <c r="C59" s="102"/>
      <c r="D59" s="102"/>
      <c r="E59" s="111"/>
      <c r="F59" s="111"/>
    </row>
    <row r="60" spans="1:27" x14ac:dyDescent="0.25">
      <c r="A60" s="143">
        <v>45703</v>
      </c>
      <c r="B60" s="85"/>
      <c r="C60" s="102"/>
      <c r="D60" s="102"/>
      <c r="E60" s="111"/>
      <c r="F60" s="111"/>
    </row>
    <row r="61" spans="1:27" x14ac:dyDescent="0.25">
      <c r="A61" s="143">
        <v>45716</v>
      </c>
      <c r="B61" s="85"/>
      <c r="C61" s="102"/>
      <c r="D61" s="102"/>
      <c r="E61" s="111"/>
      <c r="F61" s="111"/>
    </row>
    <row r="62" spans="1:27" x14ac:dyDescent="0.25">
      <c r="A62" s="143">
        <v>45731</v>
      </c>
      <c r="B62" s="85"/>
      <c r="C62" s="102"/>
      <c r="D62" s="102"/>
      <c r="E62" s="111"/>
      <c r="F62" s="111"/>
    </row>
    <row r="63" spans="1:27" x14ac:dyDescent="0.25">
      <c r="A63" s="143">
        <v>45746</v>
      </c>
      <c r="B63" s="85"/>
      <c r="C63" s="102"/>
      <c r="D63" s="102"/>
      <c r="E63" s="111"/>
      <c r="F63" s="111"/>
    </row>
    <row r="64" spans="1:27" x14ac:dyDescent="0.25">
      <c r="A64" s="143">
        <v>45762</v>
      </c>
      <c r="B64" s="85"/>
      <c r="C64" s="102"/>
      <c r="D64" s="102"/>
      <c r="E64" s="111"/>
      <c r="F64" s="111"/>
    </row>
    <row r="65" spans="1:32" x14ac:dyDescent="0.25">
      <c r="A65" s="143">
        <v>45777</v>
      </c>
      <c r="B65" s="85"/>
      <c r="C65" s="102"/>
      <c r="D65" s="102"/>
      <c r="E65" s="111"/>
      <c r="F65" s="111"/>
    </row>
    <row r="66" spans="1:32" x14ac:dyDescent="0.25">
      <c r="A66" s="143">
        <v>45792</v>
      </c>
      <c r="B66" s="85"/>
      <c r="C66" s="102"/>
      <c r="D66" s="102"/>
      <c r="E66" s="111"/>
      <c r="F66" s="111"/>
    </row>
    <row r="67" spans="1:32" x14ac:dyDescent="0.25">
      <c r="A67" s="143">
        <v>45807</v>
      </c>
      <c r="B67" s="85"/>
      <c r="C67" s="102"/>
      <c r="D67" s="102"/>
      <c r="E67" s="111"/>
      <c r="F67" s="111"/>
      <c r="AF67" s="1"/>
    </row>
    <row r="68" spans="1:32" x14ac:dyDescent="0.25">
      <c r="A68" s="143">
        <v>45823</v>
      </c>
      <c r="B68" s="85"/>
      <c r="C68" s="102"/>
      <c r="D68" s="102"/>
      <c r="E68" s="111"/>
      <c r="F68" s="111"/>
      <c r="AF68" s="1"/>
    </row>
    <row r="69" spans="1:32" x14ac:dyDescent="0.25">
      <c r="A69" s="144" t="s">
        <v>5</v>
      </c>
      <c r="B69" s="145">
        <f>SUM(B57:B68)</f>
        <v>0</v>
      </c>
      <c r="C69" s="102"/>
      <c r="D69" s="102"/>
      <c r="E69" s="111"/>
      <c r="F69" s="111"/>
      <c r="AF69" s="1"/>
    </row>
    <row r="70" spans="1:32" x14ac:dyDescent="0.25">
      <c r="A70" s="146" t="s">
        <v>61</v>
      </c>
      <c r="B70" s="147">
        <f>SUM(C69:AF69)</f>
        <v>0</v>
      </c>
      <c r="C70" s="102"/>
      <c r="D70" s="102"/>
      <c r="E70" s="111"/>
      <c r="F70" s="111"/>
      <c r="AF70" s="1"/>
    </row>
    <row r="71" spans="1:32" x14ac:dyDescent="0.25">
      <c r="A71" s="85" t="s">
        <v>95</v>
      </c>
      <c r="B71" s="148">
        <f>SUM(C71:AF71)</f>
        <v>0</v>
      </c>
      <c r="C71" s="102"/>
      <c r="D71" s="102"/>
      <c r="E71" s="111"/>
      <c r="F71" s="111"/>
      <c r="AF71" s="1"/>
    </row>
    <row r="72" spans="1:32" x14ac:dyDescent="0.25">
      <c r="A72" s="85"/>
      <c r="B72" s="149">
        <f>SUM(C70:AF70)</f>
        <v>0</v>
      </c>
      <c r="C72" s="102"/>
      <c r="D72" s="102"/>
      <c r="E72" s="111"/>
      <c r="F72" s="111"/>
    </row>
    <row r="73" spans="1:32" x14ac:dyDescent="0.25">
      <c r="A73" s="102"/>
      <c r="B73" s="102"/>
      <c r="C73" s="102"/>
      <c r="D73" s="102"/>
      <c r="E73" s="111"/>
      <c r="F73" s="111"/>
      <c r="AF73" s="1"/>
    </row>
    <row r="74" spans="1:32" x14ac:dyDescent="0.25">
      <c r="A74" s="102"/>
      <c r="B74" s="102"/>
      <c r="C74" s="102"/>
      <c r="D74" s="102"/>
      <c r="E74" s="111"/>
      <c r="F74" s="111"/>
      <c r="AF74" s="1"/>
    </row>
    <row r="75" spans="1:32" x14ac:dyDescent="0.25">
      <c r="A75" s="136"/>
      <c r="B75" s="102"/>
      <c r="C75" s="102"/>
      <c r="D75" s="102"/>
      <c r="E75" s="111"/>
      <c r="F75" s="111"/>
      <c r="AF75" s="1"/>
    </row>
    <row r="76" spans="1:32" x14ac:dyDescent="0.25">
      <c r="A76" s="136"/>
      <c r="B76" s="102"/>
      <c r="C76" s="102"/>
      <c r="D76" s="102"/>
      <c r="E76" s="111"/>
      <c r="F76" s="111"/>
      <c r="AF76" s="1"/>
    </row>
    <row r="77" spans="1:32" x14ac:dyDescent="0.25">
      <c r="A77" s="137"/>
      <c r="B77" s="111"/>
      <c r="C77" s="111"/>
      <c r="D77" s="111"/>
      <c r="E77" s="111"/>
      <c r="F77" s="111"/>
      <c r="AF77" s="1"/>
    </row>
    <row r="78" spans="1:32" x14ac:dyDescent="0.25">
      <c r="A78" s="137"/>
      <c r="B78" s="111"/>
      <c r="C78" s="111"/>
      <c r="D78" s="111"/>
      <c r="E78" s="111"/>
      <c r="F78" s="111"/>
      <c r="AF78" s="1"/>
    </row>
    <row r="79" spans="1:32" x14ac:dyDescent="0.25">
      <c r="A79" s="137"/>
      <c r="B79" s="111"/>
      <c r="C79" s="111"/>
      <c r="D79" s="111"/>
      <c r="E79" s="111"/>
      <c r="F79" s="111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AF79" s="1"/>
    </row>
    <row r="80" spans="1:32" x14ac:dyDescent="0.25">
      <c r="A80" s="137"/>
      <c r="B80" s="111"/>
      <c r="C80" s="111"/>
      <c r="D80" s="111"/>
      <c r="E80" s="111"/>
      <c r="F80" s="111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AF80" s="1"/>
    </row>
    <row r="81" spans="1:32" x14ac:dyDescent="0.25">
      <c r="A81" s="137"/>
      <c r="B81" s="111"/>
      <c r="C81" s="111"/>
      <c r="D81" s="111"/>
      <c r="E81" s="111"/>
      <c r="F81" s="111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AF81" s="1"/>
    </row>
    <row r="82" spans="1:32" x14ac:dyDescent="0.25">
      <c r="A82" s="137"/>
      <c r="B82" s="111"/>
      <c r="C82" s="111"/>
      <c r="D82" s="111"/>
      <c r="E82" s="111"/>
      <c r="F82" s="111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AF82" s="1"/>
    </row>
    <row r="83" spans="1:32" x14ac:dyDescent="0.25">
      <c r="A83" s="137"/>
      <c r="B83" s="111"/>
      <c r="C83" s="111"/>
      <c r="D83" s="111"/>
      <c r="E83" s="111"/>
      <c r="F83" s="111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AF83" s="1"/>
    </row>
    <row r="84" spans="1:32" x14ac:dyDescent="0.25">
      <c r="A84" s="137"/>
      <c r="B84" s="111"/>
      <c r="C84" s="111"/>
      <c r="D84" s="111"/>
      <c r="E84" s="111"/>
      <c r="F84" s="111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AF84" s="1"/>
    </row>
    <row r="85" spans="1:32" x14ac:dyDescent="0.25">
      <c r="A85" s="137"/>
      <c r="B85" s="111"/>
      <c r="C85" s="111"/>
      <c r="D85" s="111"/>
      <c r="E85" s="111"/>
      <c r="F85" s="111"/>
      <c r="G85" s="3"/>
      <c r="H85" s="3"/>
      <c r="I85" s="3"/>
      <c r="J85" s="3"/>
      <c r="AF85" s="1"/>
    </row>
    <row r="86" spans="1:32" x14ac:dyDescent="0.25">
      <c r="A86" s="137"/>
      <c r="B86" s="111"/>
      <c r="C86" s="111"/>
      <c r="D86" s="111"/>
      <c r="E86" s="111"/>
      <c r="F86" s="111"/>
      <c r="G86" s="3"/>
      <c r="H86" s="3"/>
      <c r="I86" s="3"/>
      <c r="J86" s="3"/>
      <c r="AF86" s="1"/>
    </row>
    <row r="87" spans="1:32" x14ac:dyDescent="0.25">
      <c r="A87" s="135"/>
      <c r="B87" s="111"/>
      <c r="C87" s="111"/>
      <c r="D87" s="111"/>
      <c r="E87" s="111"/>
      <c r="F87" s="111"/>
      <c r="G87" s="3"/>
      <c r="H87" s="3"/>
      <c r="I87" s="3"/>
      <c r="J87" s="3"/>
      <c r="AF87" s="1"/>
    </row>
    <row r="88" spans="1:32" x14ac:dyDescent="0.25">
      <c r="A88" s="135"/>
      <c r="B88" s="138"/>
      <c r="C88" s="111"/>
      <c r="D88" s="111"/>
      <c r="E88" s="111"/>
      <c r="F88" s="111"/>
      <c r="G88" s="3"/>
      <c r="H88" s="3"/>
      <c r="I88" s="3"/>
      <c r="J88" s="3"/>
      <c r="AF88" s="1"/>
    </row>
    <row r="89" spans="1:32" x14ac:dyDescent="0.25">
      <c r="A89" s="135"/>
      <c r="B89" s="139"/>
      <c r="C89" s="111"/>
      <c r="D89" s="111"/>
      <c r="E89" s="111"/>
      <c r="F89" s="111"/>
      <c r="G89" s="3"/>
      <c r="H89" s="3"/>
      <c r="I89" s="3"/>
      <c r="J89" s="3"/>
      <c r="AF89" s="1"/>
    </row>
    <row r="90" spans="1:32" x14ac:dyDescent="0.25">
      <c r="A90" s="135"/>
      <c r="B90" s="140"/>
      <c r="C90" s="111"/>
      <c r="D90" s="111"/>
      <c r="E90" s="111"/>
      <c r="F90" s="111"/>
      <c r="G90" s="3"/>
      <c r="H90" s="3"/>
      <c r="I90" s="3"/>
      <c r="J90" s="3"/>
      <c r="AF90" s="1"/>
    </row>
    <row r="91" spans="1:32" x14ac:dyDescent="0.25">
      <c r="A91" s="135"/>
      <c r="B91" s="111"/>
      <c r="C91" s="111"/>
      <c r="D91" s="111"/>
      <c r="E91" s="111"/>
      <c r="F91" s="111"/>
      <c r="G91" s="3"/>
      <c r="H91" s="3"/>
      <c r="I91" s="3"/>
      <c r="J91" s="3"/>
      <c r="AF91" s="1"/>
    </row>
    <row r="92" spans="1:32" x14ac:dyDescent="0.25">
      <c r="A92" s="135"/>
      <c r="B92" s="111"/>
      <c r="C92" s="111"/>
      <c r="D92" s="111"/>
      <c r="E92" s="111"/>
      <c r="F92" s="111"/>
      <c r="G92" s="3"/>
      <c r="H92" s="3"/>
      <c r="I92" s="3"/>
      <c r="J92" s="3"/>
      <c r="AF92" s="1"/>
    </row>
    <row r="93" spans="1:32" x14ac:dyDescent="0.25">
      <c r="A93" s="135"/>
      <c r="B93" s="111"/>
      <c r="C93" s="111"/>
      <c r="D93" s="111"/>
      <c r="E93" s="111"/>
      <c r="F93" s="111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B124" s="4"/>
      <c r="C124" s="4"/>
      <c r="AF124" s="2"/>
    </row>
    <row r="125" spans="1:32" x14ac:dyDescent="0.25">
      <c r="A125"/>
      <c r="B125" s="4"/>
      <c r="C125" s="4"/>
      <c r="AF125" s="2"/>
    </row>
    <row r="126" spans="1:32" x14ac:dyDescent="0.25">
      <c r="A126"/>
      <c r="B126" s="4"/>
      <c r="C126" s="4"/>
      <c r="AF126" s="2"/>
    </row>
    <row r="127" spans="1:32" x14ac:dyDescent="0.25">
      <c r="B127" s="4"/>
      <c r="C127" s="4"/>
      <c r="AF127" s="2"/>
    </row>
    <row r="128" spans="1:32" x14ac:dyDescent="0.25">
      <c r="B128" s="4"/>
      <c r="C128" s="4"/>
      <c r="AF128" s="2"/>
    </row>
    <row r="129" spans="2:32" x14ac:dyDescent="0.25">
      <c r="B129" s="4"/>
      <c r="C129" s="4"/>
      <c r="AF129" s="2"/>
    </row>
    <row r="130" spans="2:32" x14ac:dyDescent="0.25">
      <c r="B130" s="4"/>
      <c r="C130" s="4"/>
    </row>
    <row r="131" spans="2:32" x14ac:dyDescent="0.25">
      <c r="B131" s="4"/>
      <c r="C131" s="4"/>
    </row>
    <row r="132" spans="2:32" x14ac:dyDescent="0.25">
      <c r="B132" s="4"/>
      <c r="C132" s="4"/>
    </row>
    <row r="133" spans="2:32" x14ac:dyDescent="0.25">
      <c r="B133" s="4"/>
      <c r="C133" s="4"/>
    </row>
    <row r="134" spans="2:32" x14ac:dyDescent="0.25">
      <c r="B134" s="4"/>
      <c r="C134" s="4"/>
    </row>
    <row r="135" spans="2:32" x14ac:dyDescent="0.25">
      <c r="B135" s="4"/>
      <c r="C135" s="4"/>
    </row>
    <row r="136" spans="2:32" x14ac:dyDescent="0.25">
      <c r="B136" s="4"/>
      <c r="C136" s="4"/>
    </row>
    <row r="137" spans="2:32" x14ac:dyDescent="0.25">
      <c r="B137" s="4"/>
      <c r="C137" s="4"/>
    </row>
    <row r="138" spans="2:32" x14ac:dyDescent="0.25">
      <c r="B138" s="4"/>
      <c r="C138" s="4"/>
    </row>
    <row r="139" spans="2:32" x14ac:dyDescent="0.25">
      <c r="B139" s="4"/>
      <c r="C139" s="4"/>
    </row>
    <row r="140" spans="2:32" x14ac:dyDescent="0.25">
      <c r="B140" s="4"/>
      <c r="C140" s="4"/>
    </row>
    <row r="141" spans="2:32" x14ac:dyDescent="0.25">
      <c r="B141" s="4"/>
      <c r="C141" s="4"/>
    </row>
  </sheetData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E148"/>
  <sheetViews>
    <sheetView topLeftCell="F1" workbookViewId="0">
      <pane ySplit="2" topLeftCell="A3" activePane="bottomLeft" state="frozen"/>
      <selection pane="bottomLeft" activeCell="M24" sqref="M24"/>
    </sheetView>
  </sheetViews>
  <sheetFormatPr defaultRowHeight="15" x14ac:dyDescent="0.25"/>
  <cols>
    <col min="1" max="1" width="16.28515625" customWidth="1"/>
    <col min="2" max="2" width="9.28515625" bestFit="1" customWidth="1"/>
    <col min="3" max="3" width="16.5703125" customWidth="1"/>
    <col min="4" max="4" width="14.28515625" customWidth="1"/>
    <col min="5" max="5" width="18.28515625" customWidth="1"/>
    <col min="6" max="6" width="16.7109375" customWidth="1"/>
    <col min="7" max="7" width="15.5703125" customWidth="1"/>
    <col min="8" max="8" width="13.5703125" customWidth="1"/>
    <col min="9" max="9" width="17.42578125" customWidth="1"/>
    <col min="11" max="11" width="9.28515625" bestFit="1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165" x14ac:dyDescent="0.25">
      <c r="A1" s="13" t="s">
        <v>41</v>
      </c>
      <c r="B1" s="4"/>
      <c r="C1" s="4"/>
      <c r="D1" s="4"/>
      <c r="E1" s="13" t="s">
        <v>42</v>
      </c>
      <c r="F1" s="4"/>
      <c r="G1" s="4"/>
      <c r="H1" s="4"/>
      <c r="I1" s="13" t="s">
        <v>82</v>
      </c>
      <c r="J1" s="4"/>
      <c r="K1" s="4"/>
      <c r="L1" s="4"/>
      <c r="M1" s="13" t="s">
        <v>83</v>
      </c>
      <c r="N1" s="4"/>
      <c r="O1" s="4"/>
      <c r="P1" s="4"/>
      <c r="Q1" s="13" t="s">
        <v>84</v>
      </c>
      <c r="R1" s="4"/>
      <c r="S1" s="4"/>
      <c r="T1" s="4"/>
      <c r="U1" s="150" t="s">
        <v>97</v>
      </c>
    </row>
    <row r="2" spans="1:165" x14ac:dyDescent="0.25">
      <c r="A2" s="4" t="s">
        <v>13</v>
      </c>
      <c r="B2" s="4" t="s">
        <v>14</v>
      </c>
      <c r="C2" s="4" t="s">
        <v>15</v>
      </c>
      <c r="D2" s="4" t="s">
        <v>7</v>
      </c>
      <c r="E2" s="4" t="s">
        <v>13</v>
      </c>
      <c r="F2" s="4" t="s">
        <v>14</v>
      </c>
      <c r="G2" s="4" t="s">
        <v>15</v>
      </c>
      <c r="H2" s="4" t="s">
        <v>7</v>
      </c>
      <c r="I2" s="4" t="s">
        <v>13</v>
      </c>
      <c r="J2" s="4" t="s">
        <v>14</v>
      </c>
      <c r="K2" s="4" t="s">
        <v>15</v>
      </c>
      <c r="L2" s="4" t="s">
        <v>7</v>
      </c>
      <c r="M2" s="4" t="s">
        <v>13</v>
      </c>
      <c r="N2" s="4" t="s">
        <v>14</v>
      </c>
      <c r="O2" s="4" t="s">
        <v>15</v>
      </c>
      <c r="P2" s="4" t="s">
        <v>7</v>
      </c>
      <c r="Q2" s="4" t="s">
        <v>13</v>
      </c>
      <c r="R2" s="4" t="s">
        <v>14</v>
      </c>
      <c r="S2" s="4" t="s">
        <v>15</v>
      </c>
      <c r="T2" s="4" t="s">
        <v>7</v>
      </c>
      <c r="U2" t="s">
        <v>13</v>
      </c>
      <c r="V2" t="s">
        <v>14</v>
      </c>
      <c r="W2" t="s">
        <v>15</v>
      </c>
      <c r="X2" t="s">
        <v>7</v>
      </c>
    </row>
    <row r="3" spans="1:165" x14ac:dyDescent="0.25">
      <c r="A3" s="16">
        <v>43586.259375000001</v>
      </c>
      <c r="B3" s="4">
        <v>10000</v>
      </c>
      <c r="C3" s="17"/>
      <c r="D3" s="4">
        <v>10000</v>
      </c>
      <c r="E3" s="16">
        <v>43587.187615740739</v>
      </c>
      <c r="F3" s="4">
        <v>20000</v>
      </c>
      <c r="G3" s="17"/>
      <c r="H3" s="4">
        <v>20000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spans="1:165" x14ac:dyDescent="0.25">
      <c r="A4" s="16">
        <v>43586.259398148148</v>
      </c>
      <c r="B4" s="4">
        <v>0</v>
      </c>
      <c r="C4" s="18">
        <v>300</v>
      </c>
      <c r="D4" s="4">
        <v>10300</v>
      </c>
      <c r="E4" s="16">
        <v>43587.195613425924</v>
      </c>
      <c r="F4" s="4"/>
      <c r="G4" s="18">
        <v>600</v>
      </c>
      <c r="H4" s="4">
        <v>21200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99"/>
      <c r="V4" s="97"/>
      <c r="W4" s="97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</row>
    <row r="5" spans="1:165" ht="15.75" customHeight="1" x14ac:dyDescent="0.25">
      <c r="A5" s="16">
        <v>43586.259699074071</v>
      </c>
      <c r="B5" s="4">
        <v>0</v>
      </c>
      <c r="C5" s="4"/>
      <c r="D5" s="4">
        <v>10000</v>
      </c>
      <c r="E5" s="16">
        <v>43587.206620370373</v>
      </c>
      <c r="F5" s="4"/>
      <c r="G5" s="4"/>
      <c r="H5" s="4">
        <v>20000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99"/>
      <c r="V5" s="97"/>
      <c r="W5" s="97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</row>
    <row r="6" spans="1:165" x14ac:dyDescent="0.25">
      <c r="A6" s="16">
        <v>43586.260092592594</v>
      </c>
      <c r="B6" s="4"/>
      <c r="C6" s="18">
        <v>300</v>
      </c>
      <c r="D6" s="4">
        <v>10300</v>
      </c>
      <c r="E6" s="16">
        <v>43587.206643518519</v>
      </c>
      <c r="F6" s="4"/>
      <c r="G6" s="17">
        <v>600</v>
      </c>
      <c r="H6" s="4">
        <v>21200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99"/>
      <c r="V6" s="97"/>
      <c r="W6" s="97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</row>
    <row r="7" spans="1:165" x14ac:dyDescent="0.25">
      <c r="A7" s="16">
        <v>43586.26017361111</v>
      </c>
      <c r="B7" s="4"/>
      <c r="C7" s="4"/>
      <c r="D7" s="4">
        <v>10000</v>
      </c>
      <c r="E7" s="16">
        <v>43587.206666666665</v>
      </c>
      <c r="F7" s="4"/>
      <c r="G7" s="17">
        <v>600</v>
      </c>
      <c r="H7" s="4">
        <v>22400</v>
      </c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99"/>
      <c r="V7" s="97"/>
      <c r="W7" s="97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</row>
    <row r="8" spans="1:165" x14ac:dyDescent="0.25">
      <c r="A8" s="16">
        <v>43586.260243055556</v>
      </c>
      <c r="B8" s="4">
        <v>-3000</v>
      </c>
      <c r="C8" s="17"/>
      <c r="D8" s="4">
        <v>7000</v>
      </c>
      <c r="E8" s="16">
        <v>43587.206666666665</v>
      </c>
      <c r="F8" s="4"/>
      <c r="G8" s="18">
        <v>600</v>
      </c>
      <c r="H8" s="4">
        <v>23600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99"/>
      <c r="V8" s="97"/>
      <c r="W8" s="97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</row>
    <row r="9" spans="1:165" x14ac:dyDescent="0.25">
      <c r="A9" s="19">
        <v>43586.260254629633</v>
      </c>
      <c r="B9" s="5">
        <v>0</v>
      </c>
      <c r="C9" s="18">
        <v>210</v>
      </c>
      <c r="D9" s="5">
        <v>7210</v>
      </c>
      <c r="E9" s="16">
        <v>43587.206712962965</v>
      </c>
      <c r="F9" s="4"/>
      <c r="G9" s="18"/>
      <c r="H9" s="4">
        <v>21600</v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99"/>
      <c r="V9" s="97"/>
      <c r="W9" s="97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</row>
    <row r="10" spans="1:165" x14ac:dyDescent="0.25">
      <c r="A10" s="19">
        <v>43586.260347222225</v>
      </c>
      <c r="B10" s="5">
        <v>0</v>
      </c>
      <c r="C10" s="5"/>
      <c r="D10" s="5">
        <v>7000</v>
      </c>
      <c r="E10" s="19">
        <v>43587.206747685188</v>
      </c>
      <c r="F10" s="4"/>
      <c r="G10" s="4"/>
      <c r="H10" s="4">
        <v>20000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99"/>
      <c r="V10" s="97"/>
      <c r="W10" s="97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</row>
    <row r="11" spans="1:165" x14ac:dyDescent="0.25">
      <c r="A11" s="19">
        <v>43586.952615740738</v>
      </c>
      <c r="B11" s="5"/>
      <c r="C11" s="18">
        <v>210</v>
      </c>
      <c r="D11" s="5">
        <v>7210</v>
      </c>
      <c r="E11" s="19">
        <v>43587.206805555557</v>
      </c>
      <c r="F11" s="5">
        <v>-5000</v>
      </c>
      <c r="G11" s="17"/>
      <c r="H11" s="5">
        <v>15000</v>
      </c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99"/>
      <c r="V11" s="97"/>
      <c r="W11" s="97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</row>
    <row r="12" spans="1:165" s="14" customFormat="1" x14ac:dyDescent="0.25">
      <c r="A12" s="19">
        <v>43586.952766203707</v>
      </c>
      <c r="B12" s="5"/>
      <c r="C12" s="5"/>
      <c r="D12" s="5">
        <v>7000</v>
      </c>
      <c r="E12" s="19">
        <v>43587.206817129627</v>
      </c>
      <c r="F12" s="5">
        <v>0</v>
      </c>
      <c r="G12" s="17">
        <v>450</v>
      </c>
      <c r="H12" s="5">
        <v>15900</v>
      </c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99"/>
      <c r="V12" s="97"/>
      <c r="W12" s="97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</row>
    <row r="13" spans="1:165" x14ac:dyDescent="0.25">
      <c r="A13" s="16">
        <v>43586.952800925923</v>
      </c>
      <c r="B13" s="4"/>
      <c r="C13" s="18">
        <v>210</v>
      </c>
      <c r="D13" s="4">
        <v>7210</v>
      </c>
      <c r="E13" s="16">
        <v>43587.20684027778</v>
      </c>
      <c r="F13" s="4">
        <v>0</v>
      </c>
      <c r="G13" s="18">
        <v>450</v>
      </c>
      <c r="H13" s="4">
        <v>16800</v>
      </c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99"/>
      <c r="V13" s="97"/>
      <c r="W13" s="97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</row>
    <row r="14" spans="1:165" x14ac:dyDescent="0.25">
      <c r="A14" s="16">
        <v>43586.958854166667</v>
      </c>
      <c r="B14" s="4"/>
      <c r="C14" s="4"/>
      <c r="D14" s="4">
        <v>5770</v>
      </c>
      <c r="E14" s="16">
        <v>43587.206863425927</v>
      </c>
      <c r="F14" s="4">
        <v>0</v>
      </c>
      <c r="G14" s="18"/>
      <c r="H14" s="4">
        <v>16000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99"/>
      <c r="V14" s="97"/>
      <c r="W14" s="97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</row>
    <row r="15" spans="1:165" x14ac:dyDescent="0.25">
      <c r="A15" s="16">
        <v>43586.958958333336</v>
      </c>
      <c r="B15" s="4"/>
      <c r="C15" s="18">
        <v>210</v>
      </c>
      <c r="D15" s="4">
        <v>5980</v>
      </c>
      <c r="E15" s="16">
        <v>43587.206886574073</v>
      </c>
      <c r="F15" s="4">
        <v>0</v>
      </c>
      <c r="G15" s="4"/>
      <c r="H15" s="4">
        <v>15000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99"/>
      <c r="V15" s="97"/>
      <c r="W15" s="97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</row>
    <row r="16" spans="1:165" x14ac:dyDescent="0.25">
      <c r="A16" s="16">
        <v>43586.959027777775</v>
      </c>
      <c r="B16" s="4"/>
      <c r="C16" s="4"/>
      <c r="D16" s="4">
        <v>5560</v>
      </c>
      <c r="E16" s="16">
        <v>43587.206932870373</v>
      </c>
      <c r="F16" s="4">
        <v>2000</v>
      </c>
      <c r="G16" s="17"/>
      <c r="H16" s="4">
        <v>17000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99"/>
      <c r="V16" s="97"/>
      <c r="W16" s="97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</row>
    <row r="17" spans="1:185" x14ac:dyDescent="0.25">
      <c r="A17" s="16">
        <v>43586.961481481485</v>
      </c>
      <c r="B17" s="4"/>
      <c r="C17" s="18">
        <v>210</v>
      </c>
      <c r="D17" s="4">
        <v>7420</v>
      </c>
      <c r="E17" s="16">
        <v>43587.206944444442</v>
      </c>
      <c r="F17" s="4">
        <v>0</v>
      </c>
      <c r="G17" s="18">
        <v>510</v>
      </c>
      <c r="H17" s="4">
        <v>18020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99"/>
      <c r="V17" s="97"/>
      <c r="W17" s="97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</row>
    <row r="18" spans="1:185" x14ac:dyDescent="0.25">
      <c r="A18" s="16">
        <v>43586.961539351854</v>
      </c>
      <c r="B18" s="4"/>
      <c r="C18" s="4"/>
      <c r="D18" s="4">
        <v>7000</v>
      </c>
      <c r="E18" s="16">
        <v>43587.206979166665</v>
      </c>
      <c r="F18" s="4">
        <v>0</v>
      </c>
      <c r="G18" s="4"/>
      <c r="H18" s="4">
        <v>17000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100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</row>
    <row r="19" spans="1:185" x14ac:dyDescent="0.25">
      <c r="A19" s="12">
        <v>43586.961597222224</v>
      </c>
      <c r="B19" s="5"/>
      <c r="C19" s="18">
        <v>210</v>
      </c>
      <c r="D19" s="5">
        <v>7420</v>
      </c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100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</row>
    <row r="20" spans="1:185" x14ac:dyDescent="0.25">
      <c r="A20" s="7">
        <v>43586.961863425924</v>
      </c>
      <c r="B20" s="5"/>
      <c r="C20" s="5"/>
      <c r="D20" s="10">
        <v>7000</v>
      </c>
      <c r="E20" s="12">
        <v>43587.18712962963</v>
      </c>
      <c r="F20" s="5"/>
      <c r="G20" s="18">
        <v>1500</v>
      </c>
      <c r="H20" s="5">
        <v>53000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00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</row>
    <row r="21" spans="1:185" x14ac:dyDescent="0.25">
      <c r="A21" s="7">
        <v>43586.962094907409</v>
      </c>
      <c r="B21" s="5"/>
      <c r="C21" s="18">
        <v>210</v>
      </c>
      <c r="D21" s="10">
        <v>7420</v>
      </c>
      <c r="E21" s="12">
        <v>43587.187175925923</v>
      </c>
      <c r="F21" s="5"/>
      <c r="G21" s="5"/>
      <c r="H21" s="5">
        <v>50000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100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</row>
    <row r="22" spans="1:185" x14ac:dyDescent="0.25">
      <c r="A22" s="7">
        <v>43586.971516203703</v>
      </c>
      <c r="B22" s="5"/>
      <c r="C22" s="5"/>
      <c r="D22" s="10">
        <v>7000</v>
      </c>
      <c r="E22" s="12">
        <v>43587.187476851854</v>
      </c>
      <c r="F22" s="5">
        <v>-20000</v>
      </c>
      <c r="G22" s="17"/>
      <c r="H22" s="5">
        <v>30000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100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</row>
    <row r="23" spans="1:185" x14ac:dyDescent="0.25">
      <c r="A23" s="7">
        <v>43586.971550925926</v>
      </c>
      <c r="B23" s="5"/>
      <c r="C23" s="17">
        <v>210</v>
      </c>
      <c r="D23" s="10">
        <v>7420</v>
      </c>
      <c r="E23" s="11">
        <v>43587.1875</v>
      </c>
      <c r="F23" s="4">
        <v>0</v>
      </c>
      <c r="G23" s="18">
        <v>900</v>
      </c>
      <c r="H23" s="4">
        <v>31800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100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</row>
    <row r="24" spans="1:185" x14ac:dyDescent="0.25">
      <c r="A24" s="7">
        <v>43586.971550925926</v>
      </c>
      <c r="B24" s="5"/>
      <c r="C24" s="17">
        <v>210</v>
      </c>
      <c r="D24" s="10">
        <v>7840</v>
      </c>
      <c r="E24" s="11">
        <v>43587.1875462963</v>
      </c>
      <c r="F24" s="4">
        <v>0</v>
      </c>
      <c r="G24" s="4">
        <v>1500</v>
      </c>
      <c r="H24" s="4">
        <v>30000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100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</row>
    <row r="25" spans="1:185" x14ac:dyDescent="0.25">
      <c r="A25" s="7">
        <v>43586.971562500003</v>
      </c>
      <c r="B25" s="5"/>
      <c r="C25" s="18">
        <v>210</v>
      </c>
      <c r="D25" s="10">
        <v>8260</v>
      </c>
      <c r="E25" s="11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100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</row>
    <row r="26" spans="1:185" x14ac:dyDescent="0.25">
      <c r="A26" s="7">
        <v>43586.971620370372</v>
      </c>
      <c r="B26" s="5"/>
      <c r="C26" s="5"/>
      <c r="D26" s="10">
        <v>7000</v>
      </c>
      <c r="E26" s="11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100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</row>
    <row r="27" spans="1:185" x14ac:dyDescent="0.25">
      <c r="A27" s="7">
        <v>43587.008402777778</v>
      </c>
      <c r="B27" s="5"/>
      <c r="C27" s="18">
        <v>210</v>
      </c>
      <c r="D27" s="10">
        <v>7420</v>
      </c>
      <c r="E27" s="11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</row>
    <row r="28" spans="1:185" x14ac:dyDescent="0.25">
      <c r="A28" s="7">
        <v>43587.178761574076</v>
      </c>
      <c r="B28" s="5"/>
      <c r="C28" s="5"/>
      <c r="D28" s="10">
        <v>7000</v>
      </c>
      <c r="E28" s="11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</row>
    <row r="29" spans="1:185" x14ac:dyDescent="0.25">
      <c r="A29" s="7">
        <v>43587.186921296299</v>
      </c>
      <c r="B29" s="5"/>
      <c r="C29" s="17">
        <v>210</v>
      </c>
      <c r="D29" s="10">
        <v>7420</v>
      </c>
      <c r="E29" s="11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</row>
    <row r="30" spans="1:185" x14ac:dyDescent="0.25">
      <c r="A30" s="7">
        <v>43587.187326388892</v>
      </c>
      <c r="B30" s="5">
        <v>-2000</v>
      </c>
      <c r="C30" s="18"/>
      <c r="D30" s="10">
        <v>5420</v>
      </c>
      <c r="E30" s="11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</row>
    <row r="31" spans="1:185" x14ac:dyDescent="0.25">
      <c r="A31" s="7">
        <v>43587.187372685185</v>
      </c>
      <c r="B31" s="5">
        <v>0</v>
      </c>
      <c r="C31" s="5"/>
      <c r="D31" s="10">
        <v>5000</v>
      </c>
      <c r="E31" s="11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</row>
    <row r="32" spans="1:185" x14ac:dyDescent="0.25">
      <c r="A32" s="7">
        <v>45708.459594907406</v>
      </c>
      <c r="B32" s="5">
        <v>20000</v>
      </c>
      <c r="C32" s="17"/>
      <c r="D32" s="10">
        <v>25000</v>
      </c>
      <c r="E32" s="11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</row>
    <row r="33" spans="1:185" x14ac:dyDescent="0.25">
      <c r="A33" s="7">
        <v>45708.45994212963</v>
      </c>
      <c r="B33" s="5">
        <v>0</v>
      </c>
      <c r="C33" s="17">
        <v>750</v>
      </c>
      <c r="D33" s="10">
        <v>26500</v>
      </c>
      <c r="E33" s="11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</row>
    <row r="34" spans="1:185" x14ac:dyDescent="0.25">
      <c r="A34" s="7">
        <v>45708.459988425922</v>
      </c>
      <c r="B34" s="5">
        <v>0</v>
      </c>
      <c r="C34" s="17">
        <v>750</v>
      </c>
      <c r="D34" s="10">
        <v>28000</v>
      </c>
      <c r="E34" s="11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</row>
    <row r="35" spans="1:185" x14ac:dyDescent="0.25">
      <c r="A35" s="7">
        <v>45708.460011574076</v>
      </c>
      <c r="B35" s="5">
        <v>0</v>
      </c>
      <c r="C35" s="18">
        <v>750</v>
      </c>
      <c r="D35" s="10">
        <v>29500</v>
      </c>
      <c r="E35" s="11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</row>
    <row r="36" spans="1:185" x14ac:dyDescent="0.25">
      <c r="A36" s="7">
        <v>45708.460104166668</v>
      </c>
      <c r="B36" s="5">
        <v>0</v>
      </c>
      <c r="C36" s="5">
        <v>1200</v>
      </c>
      <c r="D36" s="10">
        <v>25000</v>
      </c>
      <c r="E36" s="11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</row>
    <row r="37" spans="1:185" x14ac:dyDescent="0.25">
      <c r="A37" s="7"/>
      <c r="B37" s="5"/>
      <c r="C37" s="5"/>
      <c r="D37" s="10"/>
      <c r="E37" s="11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</row>
    <row r="38" spans="1:185" x14ac:dyDescent="0.25">
      <c r="A38" s="7"/>
      <c r="B38" s="5"/>
      <c r="C38" s="5"/>
      <c r="D38" s="10"/>
      <c r="E38" s="11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</row>
    <row r="39" spans="1:185" x14ac:dyDescent="0.25">
      <c r="A39" s="7"/>
      <c r="B39" s="5"/>
      <c r="C39" s="5"/>
      <c r="D39" s="10"/>
      <c r="E39" s="11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</row>
    <row r="40" spans="1:185" x14ac:dyDescent="0.25">
      <c r="A40" s="7"/>
      <c r="B40" s="5"/>
      <c r="C40" s="5"/>
      <c r="D40" s="10"/>
      <c r="E40" s="11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</row>
    <row r="41" spans="1:185" x14ac:dyDescent="0.25">
      <c r="A41" s="7"/>
      <c r="B41" s="5"/>
      <c r="C41" s="5"/>
      <c r="D41" s="10"/>
      <c r="E41" s="11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</row>
    <row r="42" spans="1:185" x14ac:dyDescent="0.25">
      <c r="A42" s="7"/>
      <c r="B42" s="5"/>
      <c r="C42" s="5"/>
      <c r="D42" s="10"/>
      <c r="E42" s="11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</row>
    <row r="43" spans="1:185" x14ac:dyDescent="0.25">
      <c r="A43" s="7"/>
      <c r="B43" s="5"/>
      <c r="C43" s="5"/>
      <c r="D43" s="10"/>
      <c r="E43" s="11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</row>
    <row r="44" spans="1:185" x14ac:dyDescent="0.25">
      <c r="A44" s="7"/>
      <c r="B44" s="5"/>
      <c r="C44" s="5"/>
      <c r="D44" s="10"/>
      <c r="E44" s="11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</row>
    <row r="45" spans="1:185" x14ac:dyDescent="0.25">
      <c r="A45" s="7"/>
      <c r="B45" s="5"/>
      <c r="C45" s="5"/>
      <c r="D45" s="10"/>
      <c r="E45" s="11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</row>
    <row r="46" spans="1:185" x14ac:dyDescent="0.25">
      <c r="A46" s="7"/>
      <c r="B46" s="5"/>
      <c r="C46" s="5"/>
      <c r="D46" s="10"/>
      <c r="E46" s="11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</row>
    <row r="47" spans="1:185" x14ac:dyDescent="0.25">
      <c r="A47" s="7"/>
      <c r="B47" s="5"/>
      <c r="C47" s="5"/>
      <c r="D47" s="10"/>
      <c r="E47" s="11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</row>
    <row r="48" spans="1:185" x14ac:dyDescent="0.25">
      <c r="A48" s="7"/>
      <c r="B48" s="5"/>
      <c r="C48" s="5"/>
      <c r="D48" s="10"/>
      <c r="E48" s="11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</row>
    <row r="49" spans="1:213" x14ac:dyDescent="0.25">
      <c r="A49" s="7"/>
      <c r="B49" s="5"/>
      <c r="C49" s="5"/>
      <c r="D49" s="10"/>
      <c r="E49" s="11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</row>
    <row r="50" spans="1:213" x14ac:dyDescent="0.25">
      <c r="A50" s="7"/>
      <c r="B50" s="5"/>
      <c r="C50" s="5"/>
      <c r="D50" s="10"/>
      <c r="E50" s="11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</row>
    <row r="51" spans="1:213" x14ac:dyDescent="0.25">
      <c r="A51" s="7"/>
      <c r="B51" s="5"/>
      <c r="C51" s="5"/>
      <c r="D51" s="10"/>
      <c r="E51" s="11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</row>
    <row r="52" spans="1:213" x14ac:dyDescent="0.25">
      <c r="A52" s="98">
        <v>1</v>
      </c>
      <c r="B52" s="5">
        <v>2</v>
      </c>
      <c r="C52" s="5">
        <v>3</v>
      </c>
      <c r="D52" s="5">
        <v>4</v>
      </c>
      <c r="E52" s="98">
        <v>5</v>
      </c>
      <c r="F52" s="5">
        <v>6</v>
      </c>
      <c r="G52" s="5">
        <v>7</v>
      </c>
      <c r="H52" s="5">
        <v>8</v>
      </c>
      <c r="I52" s="98">
        <v>9</v>
      </c>
      <c r="J52" s="5">
        <v>10</v>
      </c>
      <c r="K52" s="5">
        <v>11</v>
      </c>
      <c r="L52" s="5">
        <v>12</v>
      </c>
      <c r="M52" s="98">
        <v>13</v>
      </c>
      <c r="N52" s="5">
        <v>14</v>
      </c>
      <c r="O52" s="5">
        <v>15</v>
      </c>
      <c r="P52" s="5">
        <v>16</v>
      </c>
      <c r="Q52" s="98">
        <v>17</v>
      </c>
      <c r="R52" s="5">
        <v>18</v>
      </c>
      <c r="S52" s="5">
        <v>19</v>
      </c>
      <c r="T52" s="5">
        <v>20</v>
      </c>
      <c r="U52" s="98">
        <v>21</v>
      </c>
      <c r="V52" s="5">
        <v>22</v>
      </c>
      <c r="W52" s="5">
        <v>23</v>
      </c>
      <c r="X52" s="5">
        <v>24</v>
      </c>
      <c r="Y52" s="98">
        <v>25</v>
      </c>
      <c r="Z52" s="5">
        <v>26</v>
      </c>
      <c r="AA52" s="5">
        <v>27</v>
      </c>
      <c r="AB52" s="5">
        <v>28</v>
      </c>
      <c r="AC52" s="98">
        <v>29</v>
      </c>
      <c r="AD52" s="4">
        <v>30</v>
      </c>
      <c r="AE52" s="5">
        <v>31</v>
      </c>
      <c r="AF52" s="5">
        <v>32</v>
      </c>
      <c r="AG52" s="98">
        <v>33</v>
      </c>
      <c r="AH52" s="97">
        <v>34</v>
      </c>
      <c r="AI52" s="4">
        <v>35</v>
      </c>
      <c r="AJ52" s="5">
        <v>36</v>
      </c>
      <c r="AK52" s="98">
        <v>37</v>
      </c>
      <c r="AL52" s="5">
        <v>38</v>
      </c>
      <c r="AM52" s="97">
        <v>39</v>
      </c>
      <c r="AN52" s="4">
        <v>40</v>
      </c>
      <c r="AO52" s="98">
        <v>41</v>
      </c>
      <c r="AP52" s="5">
        <v>42</v>
      </c>
      <c r="AQ52" s="5">
        <v>43</v>
      </c>
      <c r="AR52" s="97">
        <v>44</v>
      </c>
      <c r="AS52" s="98">
        <v>45</v>
      </c>
      <c r="AT52" s="5">
        <v>46</v>
      </c>
      <c r="AU52" s="5">
        <v>47</v>
      </c>
      <c r="AV52" s="5">
        <v>48</v>
      </c>
      <c r="AW52" s="98">
        <v>49</v>
      </c>
      <c r="AX52" s="4">
        <v>50</v>
      </c>
      <c r="AY52" s="5">
        <v>51</v>
      </c>
      <c r="AZ52" s="5">
        <v>52</v>
      </c>
      <c r="BA52" s="98">
        <v>53</v>
      </c>
      <c r="BB52" s="97">
        <v>54</v>
      </c>
      <c r="BC52" s="4">
        <v>55</v>
      </c>
      <c r="BD52" s="5">
        <v>56</v>
      </c>
      <c r="BE52" s="98">
        <v>57</v>
      </c>
      <c r="BF52" s="5">
        <v>58</v>
      </c>
      <c r="BG52" s="97">
        <v>59</v>
      </c>
      <c r="BH52" s="4">
        <v>60</v>
      </c>
      <c r="BI52" s="98">
        <v>61</v>
      </c>
      <c r="BJ52" s="5">
        <v>62</v>
      </c>
      <c r="BK52" s="5">
        <v>63</v>
      </c>
      <c r="BL52" s="97">
        <v>64</v>
      </c>
      <c r="BM52" s="98">
        <v>65</v>
      </c>
      <c r="BN52" s="5">
        <v>66</v>
      </c>
      <c r="BO52" s="5">
        <v>67</v>
      </c>
      <c r="BP52" s="5">
        <v>68</v>
      </c>
      <c r="BQ52" s="98">
        <v>69</v>
      </c>
      <c r="BR52" s="4">
        <v>70</v>
      </c>
      <c r="BS52" s="5">
        <v>71</v>
      </c>
      <c r="BT52" s="5">
        <v>72</v>
      </c>
      <c r="BU52" s="98">
        <v>73</v>
      </c>
      <c r="BV52" s="97">
        <v>74</v>
      </c>
      <c r="BW52" s="4">
        <v>75</v>
      </c>
      <c r="BX52" s="5">
        <v>76</v>
      </c>
      <c r="BY52" s="98">
        <v>77</v>
      </c>
      <c r="BZ52" s="5">
        <v>78</v>
      </c>
      <c r="CA52" s="97">
        <v>79</v>
      </c>
      <c r="CB52" s="4">
        <v>80</v>
      </c>
      <c r="CC52" s="98">
        <v>81</v>
      </c>
      <c r="CD52" s="5">
        <v>82</v>
      </c>
      <c r="CE52" s="5">
        <v>83</v>
      </c>
      <c r="CF52" s="97">
        <v>84</v>
      </c>
      <c r="CG52" s="98">
        <v>85</v>
      </c>
      <c r="CH52" s="5">
        <v>86</v>
      </c>
      <c r="CI52" s="5">
        <v>87</v>
      </c>
      <c r="CJ52" s="5">
        <v>88</v>
      </c>
      <c r="CK52" s="98">
        <v>89</v>
      </c>
      <c r="CL52" s="4">
        <v>90</v>
      </c>
      <c r="CM52" s="5">
        <v>91</v>
      </c>
      <c r="CN52" s="5">
        <v>92</v>
      </c>
      <c r="CO52" s="98">
        <v>93</v>
      </c>
      <c r="CP52" s="97">
        <v>94</v>
      </c>
      <c r="CQ52" s="4">
        <v>95</v>
      </c>
      <c r="CR52" s="5">
        <v>96</v>
      </c>
      <c r="CS52" s="98">
        <v>97</v>
      </c>
      <c r="CT52" s="5">
        <v>98</v>
      </c>
      <c r="CU52" s="97">
        <v>99</v>
      </c>
      <c r="CV52" s="4">
        <v>100</v>
      </c>
      <c r="CW52" s="98">
        <v>101</v>
      </c>
      <c r="CX52" s="5">
        <v>102</v>
      </c>
      <c r="CY52" s="5">
        <v>103</v>
      </c>
      <c r="CZ52" s="97">
        <v>104</v>
      </c>
      <c r="DA52" s="98">
        <v>105</v>
      </c>
      <c r="DB52" s="5">
        <v>106</v>
      </c>
      <c r="DC52" s="5">
        <v>107</v>
      </c>
      <c r="DD52" s="5">
        <v>108</v>
      </c>
      <c r="DE52" s="98">
        <v>109</v>
      </c>
      <c r="DF52" s="4">
        <v>110</v>
      </c>
      <c r="DG52" s="5">
        <v>111</v>
      </c>
      <c r="DH52" s="5">
        <v>112</v>
      </c>
      <c r="DI52" s="98">
        <v>113</v>
      </c>
      <c r="DJ52" s="97">
        <v>114</v>
      </c>
      <c r="DK52" s="4">
        <v>115</v>
      </c>
      <c r="DL52" s="5">
        <v>116</v>
      </c>
      <c r="DM52" s="98">
        <v>117</v>
      </c>
      <c r="DN52" s="5">
        <v>118</v>
      </c>
      <c r="DO52" s="97">
        <v>119</v>
      </c>
      <c r="DP52" s="4">
        <v>120</v>
      </c>
      <c r="DQ52" s="98">
        <v>121</v>
      </c>
      <c r="DR52" s="5">
        <v>122</v>
      </c>
      <c r="DS52" s="5">
        <v>123</v>
      </c>
      <c r="DT52" s="97">
        <v>124</v>
      </c>
      <c r="DU52" s="98">
        <v>125</v>
      </c>
      <c r="DV52" s="5">
        <v>126</v>
      </c>
      <c r="DW52" s="5">
        <v>127</v>
      </c>
      <c r="DX52" s="5">
        <v>128</v>
      </c>
      <c r="DY52" s="98">
        <v>129</v>
      </c>
      <c r="DZ52" s="4">
        <v>130</v>
      </c>
      <c r="EA52" s="5">
        <v>131</v>
      </c>
      <c r="EB52" s="5">
        <v>132</v>
      </c>
      <c r="EC52" s="98">
        <v>133</v>
      </c>
      <c r="ED52" s="97">
        <v>134</v>
      </c>
      <c r="EE52" s="4">
        <v>135</v>
      </c>
      <c r="EF52" s="5">
        <v>136</v>
      </c>
      <c r="EG52" s="98">
        <v>137</v>
      </c>
      <c r="EH52" s="5">
        <v>138</v>
      </c>
      <c r="EI52" s="97">
        <v>139</v>
      </c>
      <c r="EJ52" s="4">
        <v>140</v>
      </c>
      <c r="EK52" s="98">
        <v>141</v>
      </c>
      <c r="EL52" s="5">
        <v>142</v>
      </c>
      <c r="EM52" s="5">
        <v>143</v>
      </c>
      <c r="EN52" s="97">
        <v>144</v>
      </c>
      <c r="EO52" s="98">
        <v>145</v>
      </c>
      <c r="EP52" s="5">
        <v>146</v>
      </c>
      <c r="EQ52" s="5">
        <v>147</v>
      </c>
      <c r="ER52" s="5">
        <v>148</v>
      </c>
      <c r="ES52" s="98">
        <v>149</v>
      </c>
      <c r="ET52" s="4">
        <v>150</v>
      </c>
      <c r="EU52" s="5">
        <v>151</v>
      </c>
      <c r="EV52" s="5">
        <v>152</v>
      </c>
      <c r="EW52" s="98">
        <v>153</v>
      </c>
      <c r="EX52" s="97">
        <v>154</v>
      </c>
      <c r="EY52" s="4">
        <v>155</v>
      </c>
      <c r="EZ52" s="5">
        <v>156</v>
      </c>
      <c r="FA52" s="98">
        <v>157</v>
      </c>
      <c r="FB52" s="5">
        <v>158</v>
      </c>
      <c r="FC52" s="97">
        <v>159</v>
      </c>
      <c r="FD52" s="4">
        <v>160</v>
      </c>
      <c r="FE52" s="98">
        <v>161</v>
      </c>
      <c r="FF52" s="5">
        <v>162</v>
      </c>
      <c r="FG52" s="5">
        <v>163</v>
      </c>
      <c r="FH52" s="97">
        <v>164</v>
      </c>
      <c r="FI52" s="98">
        <v>165</v>
      </c>
      <c r="FJ52" s="5">
        <v>166</v>
      </c>
      <c r="FK52" s="5">
        <v>167</v>
      </c>
      <c r="FL52" s="5">
        <v>168</v>
      </c>
      <c r="FM52" s="98">
        <v>169</v>
      </c>
      <c r="FN52" s="4">
        <v>170</v>
      </c>
      <c r="FO52" s="5">
        <v>171</v>
      </c>
      <c r="FP52" s="5">
        <v>172</v>
      </c>
      <c r="FQ52" s="98">
        <v>173</v>
      </c>
      <c r="FR52" s="97">
        <v>174</v>
      </c>
      <c r="FS52" s="4">
        <v>175</v>
      </c>
      <c r="FT52" s="5">
        <v>176</v>
      </c>
      <c r="FU52" s="98">
        <v>177</v>
      </c>
      <c r="FV52" s="5">
        <v>178</v>
      </c>
      <c r="FW52" s="97">
        <v>179</v>
      </c>
      <c r="FX52" s="4">
        <v>180</v>
      </c>
      <c r="FY52" s="98">
        <v>181</v>
      </c>
      <c r="FZ52" s="5">
        <v>182</v>
      </c>
      <c r="GA52" s="5">
        <v>183</v>
      </c>
      <c r="GB52" s="97">
        <v>184</v>
      </c>
      <c r="GC52" s="98">
        <v>185</v>
      </c>
      <c r="GD52" s="5">
        <v>186</v>
      </c>
      <c r="GE52" s="5">
        <v>187</v>
      </c>
      <c r="GF52" s="5">
        <v>188</v>
      </c>
      <c r="GG52" s="98">
        <v>189</v>
      </c>
      <c r="GH52" s="4">
        <v>190</v>
      </c>
      <c r="GI52" s="5">
        <v>191</v>
      </c>
      <c r="GJ52" s="5">
        <v>192</v>
      </c>
      <c r="GK52" s="98">
        <v>193</v>
      </c>
      <c r="GL52" s="97">
        <v>194</v>
      </c>
      <c r="GM52" s="4">
        <v>195</v>
      </c>
      <c r="GN52" s="5">
        <v>196</v>
      </c>
      <c r="GO52" s="98">
        <v>197</v>
      </c>
      <c r="GP52" s="5">
        <v>198</v>
      </c>
      <c r="GQ52" s="97">
        <v>199</v>
      </c>
      <c r="GR52" s="4">
        <v>200</v>
      </c>
      <c r="GS52" s="98">
        <v>201</v>
      </c>
      <c r="GT52" s="5">
        <v>202</v>
      </c>
      <c r="GU52" s="5">
        <v>203</v>
      </c>
      <c r="GV52" s="97">
        <v>204</v>
      </c>
      <c r="GW52" s="98">
        <v>205</v>
      </c>
      <c r="GX52" s="5">
        <v>206</v>
      </c>
      <c r="GY52" s="5">
        <v>207</v>
      </c>
      <c r="GZ52" s="5">
        <v>208</v>
      </c>
      <c r="HA52" s="98">
        <v>209</v>
      </c>
      <c r="HB52" s="4">
        <v>210</v>
      </c>
      <c r="HC52" s="5">
        <v>211</v>
      </c>
      <c r="HD52" s="5">
        <v>212</v>
      </c>
      <c r="HE52" s="98">
        <v>213</v>
      </c>
    </row>
    <row r="53" spans="1:213" x14ac:dyDescent="0.25">
      <c r="A53" s="7"/>
      <c r="B53" s="5"/>
      <c r="C53" s="5"/>
      <c r="D53" s="10"/>
      <c r="E53" s="11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</row>
    <row r="54" spans="1:213" x14ac:dyDescent="0.25">
      <c r="A54" s="7"/>
      <c r="B54" s="5"/>
      <c r="C54" s="5"/>
      <c r="D54" s="10"/>
      <c r="E54" s="11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</row>
    <row r="55" spans="1:213" x14ac:dyDescent="0.25">
      <c r="A55" s="7"/>
      <c r="B55" s="5"/>
      <c r="C55" s="5"/>
      <c r="D55" s="10"/>
      <c r="E55" s="11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</row>
    <row r="56" spans="1:213" x14ac:dyDescent="0.25">
      <c r="A56" s="7"/>
      <c r="B56" s="5"/>
      <c r="C56" s="5"/>
      <c r="D56" s="10"/>
      <c r="E56" s="11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</row>
    <row r="57" spans="1:213" x14ac:dyDescent="0.25">
      <c r="A57" s="7"/>
      <c r="B57" s="5"/>
      <c r="C57" s="5"/>
      <c r="D57" s="10"/>
      <c r="E57" s="11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</row>
    <row r="58" spans="1:213" x14ac:dyDescent="0.25">
      <c r="A58" s="7"/>
      <c r="B58" s="5"/>
      <c r="C58" s="5"/>
      <c r="D58" s="10"/>
      <c r="E58" s="11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</row>
    <row r="59" spans="1:213" x14ac:dyDescent="0.25">
      <c r="A59" s="7"/>
      <c r="B59" s="5"/>
      <c r="C59" s="5"/>
      <c r="D59" s="10"/>
      <c r="E59" s="11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</row>
    <row r="60" spans="1:213" x14ac:dyDescent="0.25">
      <c r="A60" s="7"/>
      <c r="B60" s="5"/>
      <c r="C60" s="5"/>
      <c r="D60" s="10"/>
      <c r="E60" s="11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</row>
    <row r="61" spans="1:213" x14ac:dyDescent="0.25">
      <c r="A61" s="7"/>
      <c r="B61" s="5"/>
      <c r="C61" s="5"/>
      <c r="D61" s="10"/>
      <c r="E61" s="11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</row>
    <row r="62" spans="1:213" x14ac:dyDescent="0.25">
      <c r="A62" s="7"/>
      <c r="B62" s="5"/>
      <c r="C62" s="5"/>
      <c r="D62" s="10"/>
      <c r="E62" s="11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</row>
    <row r="63" spans="1:213" x14ac:dyDescent="0.25">
      <c r="A63" s="7"/>
      <c r="B63" s="5"/>
      <c r="C63" s="5"/>
      <c r="D63" s="10"/>
      <c r="E63" s="11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</row>
    <row r="64" spans="1:213" x14ac:dyDescent="0.25">
      <c r="A64" s="6"/>
      <c r="B64" s="5"/>
      <c r="C64" s="5"/>
      <c r="D64" s="10"/>
      <c r="E64" s="11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</row>
    <row r="65" spans="2:185" x14ac:dyDescent="0.25">
      <c r="B65" s="5"/>
      <c r="C65" s="3"/>
      <c r="D65" s="10"/>
      <c r="E65" s="11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</row>
    <row r="66" spans="2:185" x14ac:dyDescent="0.25">
      <c r="B66" s="3"/>
      <c r="C66" s="3"/>
      <c r="D66" s="3"/>
      <c r="E66" s="11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</row>
    <row r="67" spans="2:185" x14ac:dyDescent="0.25">
      <c r="B67" s="3"/>
      <c r="C67" s="3"/>
      <c r="D67" s="3"/>
      <c r="E67" s="11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</row>
    <row r="68" spans="2:185" x14ac:dyDescent="0.25">
      <c r="B68" s="3"/>
      <c r="C68" s="3"/>
      <c r="D68" s="3"/>
      <c r="E68" s="11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</row>
    <row r="69" spans="2:185" x14ac:dyDescent="0.25">
      <c r="B69" s="3"/>
      <c r="C69" s="3"/>
      <c r="D69" s="3"/>
      <c r="E69" s="11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</row>
    <row r="70" spans="2:185" x14ac:dyDescent="0.25">
      <c r="B70" s="3"/>
      <c r="D70" s="3"/>
      <c r="E70" s="11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</row>
    <row r="71" spans="2:185" x14ac:dyDescent="0.25">
      <c r="E71" s="11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</row>
    <row r="72" spans="2:185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</row>
    <row r="73" spans="2:185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</row>
    <row r="74" spans="2:185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</row>
    <row r="75" spans="2:185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</row>
    <row r="76" spans="2:185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</row>
    <row r="77" spans="2:185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</row>
    <row r="78" spans="2:185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</row>
    <row r="79" spans="2:185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</row>
    <row r="80" spans="2:185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</row>
    <row r="81" spans="5:185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</row>
    <row r="82" spans="5:185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</row>
    <row r="83" spans="5:185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</row>
    <row r="84" spans="5:185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</row>
    <row r="85" spans="5:185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</row>
    <row r="86" spans="5:185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</row>
    <row r="87" spans="5:185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</row>
    <row r="88" spans="5:185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</row>
    <row r="89" spans="5:185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</row>
    <row r="90" spans="5:185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</row>
    <row r="91" spans="5:185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</row>
    <row r="92" spans="5:185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</row>
    <row r="93" spans="5:185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</row>
    <row r="94" spans="5:185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</row>
    <row r="95" spans="5:185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</row>
    <row r="96" spans="5:185" x14ac:dyDescent="0.25">
      <c r="E96" s="9"/>
    </row>
    <row r="97" spans="1:8" x14ac:dyDescent="0.25">
      <c r="E97" s="9"/>
    </row>
    <row r="99" spans="1:8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</row>
    <row r="100" spans="1:8" x14ac:dyDescent="0.25">
      <c r="A100" t="s">
        <v>41</v>
      </c>
      <c r="B100">
        <f>COUNTA(A1:HA1)</f>
        <v>6</v>
      </c>
      <c r="C100">
        <f>COUNTA(A1:A95)</f>
        <v>37</v>
      </c>
      <c r="D100">
        <f>SUM(E100,H100)</f>
        <v>26205</v>
      </c>
      <c r="E100">
        <f>SUM(B3:B95)</f>
        <v>25002</v>
      </c>
      <c r="F100">
        <f>SUM(C3:C95)</f>
        <v>6573</v>
      </c>
      <c r="G100">
        <v>5370</v>
      </c>
      <c r="H100">
        <f>F100-G100</f>
        <v>1203</v>
      </c>
    </row>
    <row r="101" spans="1:8" x14ac:dyDescent="0.25">
      <c r="A101" t="s">
        <v>42</v>
      </c>
      <c r="C101">
        <f>COUNTA(E1:E95)</f>
        <v>24</v>
      </c>
      <c r="D101">
        <f>SUM(E101,H101)</f>
        <v>913</v>
      </c>
      <c r="E101">
        <f>SUM(F3:F95)</f>
        <v>-2994</v>
      </c>
      <c r="F101">
        <f>SUM(G3:G95)</f>
        <v>7717</v>
      </c>
      <c r="G101">
        <v>3810</v>
      </c>
      <c r="H101">
        <f>F101-G101</f>
        <v>3907</v>
      </c>
    </row>
    <row r="102" spans="1:8" x14ac:dyDescent="0.25">
      <c r="A102" t="s">
        <v>82</v>
      </c>
      <c r="C102">
        <f>COUNTA(I1:I95)</f>
        <v>3</v>
      </c>
      <c r="D102">
        <f>SUM(E102,H102)</f>
        <v>21</v>
      </c>
      <c r="E102">
        <f>SUM(J3:J95)</f>
        <v>10</v>
      </c>
      <c r="F102">
        <f>SUM(K3:K95)</f>
        <v>11</v>
      </c>
      <c r="H102">
        <f>F102-G102</f>
        <v>11</v>
      </c>
    </row>
    <row r="103" spans="1:8" x14ac:dyDescent="0.25">
      <c r="A103" t="s">
        <v>83</v>
      </c>
      <c r="C103">
        <f>COUNTA(M1:M95)</f>
        <v>3</v>
      </c>
      <c r="D103">
        <f>SUM(E103,H103)</f>
        <v>29</v>
      </c>
      <c r="E103">
        <f>SUM(N3:N95)</f>
        <v>14</v>
      </c>
      <c r="F103">
        <f>SUM(O3:O95)</f>
        <v>15</v>
      </c>
      <c r="H103">
        <f>F103-G103</f>
        <v>15</v>
      </c>
    </row>
    <row r="104" spans="1:8" x14ac:dyDescent="0.25">
      <c r="A104" t="s">
        <v>84</v>
      </c>
      <c r="C104">
        <f>COUNTA(Q1:Q95)</f>
        <v>3</v>
      </c>
      <c r="D104">
        <f t="shared" ref="D104:D108" si="0">SUM(E104,H104)</f>
        <v>37</v>
      </c>
      <c r="E104">
        <f>SUM(R3:R95)</f>
        <v>18</v>
      </c>
      <c r="F104">
        <f>SUM(S3:S95)</f>
        <v>19</v>
      </c>
      <c r="H104">
        <f t="shared" ref="H104:H130" si="1">F104-G104</f>
        <v>19</v>
      </c>
    </row>
    <row r="105" spans="1:8" x14ac:dyDescent="0.25">
      <c r="A105" t="s">
        <v>97</v>
      </c>
      <c r="C105">
        <f>COUNTA(U1:U95)</f>
        <v>3</v>
      </c>
      <c r="D105">
        <f>SUM(E105,H105)</f>
        <v>45</v>
      </c>
      <c r="E105">
        <f>SUM(V3:V95)</f>
        <v>22</v>
      </c>
      <c r="F105">
        <f>SUM(W3:W95)</f>
        <v>23</v>
      </c>
      <c r="H105">
        <f t="shared" si="1"/>
        <v>23</v>
      </c>
    </row>
    <row r="106" spans="1:8" x14ac:dyDescent="0.25">
      <c r="C106">
        <f>COUNTA(Y1:Y95)</f>
        <v>1</v>
      </c>
      <c r="D106">
        <f t="shared" si="0"/>
        <v>53</v>
      </c>
      <c r="E106">
        <f>SUM(Z3:Z95)</f>
        <v>26</v>
      </c>
      <c r="F106">
        <f>SUM(AA3:AA95)</f>
        <v>27</v>
      </c>
      <c r="H106">
        <f t="shared" si="1"/>
        <v>27</v>
      </c>
    </row>
    <row r="107" spans="1:8" x14ac:dyDescent="0.25">
      <c r="C107">
        <f>COUNTA(AC1:AC95)</f>
        <v>1</v>
      </c>
      <c r="D107">
        <f t="shared" si="0"/>
        <v>61</v>
      </c>
      <c r="E107">
        <f>SUM(AD3:AD95)</f>
        <v>30</v>
      </c>
      <c r="F107">
        <f>SUM(AE3:AE95)</f>
        <v>31</v>
      </c>
      <c r="H107">
        <f t="shared" si="1"/>
        <v>31</v>
      </c>
    </row>
    <row r="108" spans="1:8" x14ac:dyDescent="0.25">
      <c r="C108">
        <f>COUNTA(AG1:AG95)</f>
        <v>1</v>
      </c>
      <c r="D108">
        <f t="shared" si="0"/>
        <v>69</v>
      </c>
      <c r="E108">
        <f>SUM(AH3:AH95)</f>
        <v>34</v>
      </c>
      <c r="F108">
        <f>SUM(AI3:AI95)</f>
        <v>35</v>
      </c>
      <c r="H108">
        <f t="shared" si="1"/>
        <v>35</v>
      </c>
    </row>
    <row r="109" spans="1:8" x14ac:dyDescent="0.25">
      <c r="C109">
        <f>COUNTA(AK1:AK95)</f>
        <v>1</v>
      </c>
      <c r="D109">
        <f t="shared" ref="D109:D148" si="2">SUM(E109,H109)</f>
        <v>77</v>
      </c>
      <c r="E109">
        <f>SUM(AL3:AL95)</f>
        <v>38</v>
      </c>
      <c r="F109">
        <f>SUM(AM3:AM95)</f>
        <v>39</v>
      </c>
      <c r="H109">
        <f t="shared" si="1"/>
        <v>39</v>
      </c>
    </row>
    <row r="110" spans="1:8" x14ac:dyDescent="0.25">
      <c r="C110">
        <f>COUNTA(AO1:AO95)</f>
        <v>1</v>
      </c>
      <c r="D110">
        <f t="shared" si="2"/>
        <v>85</v>
      </c>
      <c r="E110">
        <f>SUM(AP3:AP95)</f>
        <v>42</v>
      </c>
      <c r="F110">
        <f>SUM(AQ3:AQ95)</f>
        <v>43</v>
      </c>
      <c r="H110">
        <f t="shared" si="1"/>
        <v>43</v>
      </c>
    </row>
    <row r="111" spans="1:8" x14ac:dyDescent="0.25">
      <c r="C111">
        <f>COUNTA(AS1:AS95)</f>
        <v>1</v>
      </c>
      <c r="D111">
        <f t="shared" si="2"/>
        <v>93</v>
      </c>
      <c r="E111">
        <f>SUM(AT3:AT95)</f>
        <v>46</v>
      </c>
      <c r="F111">
        <f>SUM(AU3:AU95)</f>
        <v>47</v>
      </c>
      <c r="H111">
        <f t="shared" si="1"/>
        <v>47</v>
      </c>
    </row>
    <row r="112" spans="1:8" x14ac:dyDescent="0.25">
      <c r="C112">
        <f>COUNTA(AW1:AW95)</f>
        <v>1</v>
      </c>
      <c r="D112">
        <f t="shared" si="2"/>
        <v>101</v>
      </c>
      <c r="E112">
        <f>SUM(AX3:AX95)</f>
        <v>50</v>
      </c>
      <c r="F112">
        <f>SUM(AY3:AY95)</f>
        <v>51</v>
      </c>
      <c r="H112">
        <f t="shared" si="1"/>
        <v>51</v>
      </c>
    </row>
    <row r="113" spans="3:8" x14ac:dyDescent="0.25">
      <c r="C113">
        <f>COUNTA(BA1:BA95)</f>
        <v>1</v>
      </c>
      <c r="D113">
        <f t="shared" si="2"/>
        <v>109</v>
      </c>
      <c r="E113">
        <f>SUM(BB3:BB95)</f>
        <v>54</v>
      </c>
      <c r="F113">
        <f>SUM(BC3:BC95)</f>
        <v>55</v>
      </c>
      <c r="H113">
        <f t="shared" si="1"/>
        <v>55</v>
      </c>
    </row>
    <row r="114" spans="3:8" x14ac:dyDescent="0.25">
      <c r="C114">
        <f>COUNTA(BE1:BE95)</f>
        <v>1</v>
      </c>
      <c r="D114">
        <f t="shared" si="2"/>
        <v>117</v>
      </c>
      <c r="E114">
        <f>SUM(BF3:BF95)</f>
        <v>58</v>
      </c>
      <c r="F114">
        <f>SUM(BG3:BG95)</f>
        <v>59</v>
      </c>
      <c r="H114">
        <f t="shared" si="1"/>
        <v>59</v>
      </c>
    </row>
    <row r="115" spans="3:8" x14ac:dyDescent="0.25">
      <c r="C115">
        <f>COUNTA(BI1:BI95)</f>
        <v>1</v>
      </c>
      <c r="D115">
        <f t="shared" si="2"/>
        <v>125</v>
      </c>
      <c r="E115">
        <f>SUM(BJ3:BJ95)</f>
        <v>62</v>
      </c>
      <c r="F115">
        <f>SUM(BK3:BK95)</f>
        <v>63</v>
      </c>
      <c r="H115">
        <f t="shared" si="1"/>
        <v>63</v>
      </c>
    </row>
    <row r="116" spans="3:8" x14ac:dyDescent="0.25">
      <c r="C116">
        <f>COUNTA(BM1:BM95)</f>
        <v>1</v>
      </c>
      <c r="D116">
        <f t="shared" si="2"/>
        <v>133</v>
      </c>
      <c r="E116">
        <f>SUM(BN3:BN95)</f>
        <v>66</v>
      </c>
      <c r="F116">
        <f>SUM(BO3:BO95)</f>
        <v>67</v>
      </c>
      <c r="H116">
        <f t="shared" si="1"/>
        <v>67</v>
      </c>
    </row>
    <row r="117" spans="3:8" x14ac:dyDescent="0.25">
      <c r="C117">
        <f>COUNTA(BQ1:BQ95)</f>
        <v>1</v>
      </c>
      <c r="D117">
        <f t="shared" si="2"/>
        <v>141</v>
      </c>
      <c r="E117">
        <f>SUM(BR3:BR95)</f>
        <v>70</v>
      </c>
      <c r="F117">
        <f>SUM(BS3:BS95)</f>
        <v>71</v>
      </c>
      <c r="H117">
        <f t="shared" si="1"/>
        <v>71</v>
      </c>
    </row>
    <row r="118" spans="3:8" x14ac:dyDescent="0.25">
      <c r="C118">
        <f>COUNTA(BU1:BU95)</f>
        <v>1</v>
      </c>
      <c r="D118">
        <f t="shared" si="2"/>
        <v>149</v>
      </c>
      <c r="E118">
        <f>SUM(BV3:BV95)</f>
        <v>74</v>
      </c>
      <c r="F118">
        <f>SUM(BW3:BW95)</f>
        <v>75</v>
      </c>
      <c r="H118">
        <f t="shared" si="1"/>
        <v>75</v>
      </c>
    </row>
    <row r="119" spans="3:8" x14ac:dyDescent="0.25">
      <c r="C119">
        <f>COUNTA(BY1:BY95)</f>
        <v>1</v>
      </c>
      <c r="D119">
        <f t="shared" si="2"/>
        <v>157</v>
      </c>
      <c r="E119">
        <f>SUM(BZ3:BZ95)</f>
        <v>78</v>
      </c>
      <c r="F119">
        <f>SUM(CA3:CA95)</f>
        <v>79</v>
      </c>
      <c r="H119">
        <f t="shared" si="1"/>
        <v>79</v>
      </c>
    </row>
    <row r="120" spans="3:8" x14ac:dyDescent="0.25">
      <c r="C120">
        <f>COUNTA(CC1:CC95)</f>
        <v>1</v>
      </c>
      <c r="D120">
        <f t="shared" si="2"/>
        <v>165</v>
      </c>
      <c r="E120">
        <f>SUM(CD3:CD95)</f>
        <v>82</v>
      </c>
      <c r="F120">
        <f>SUM(CE3:CE95)</f>
        <v>83</v>
      </c>
      <c r="H120">
        <f t="shared" si="1"/>
        <v>83</v>
      </c>
    </row>
    <row r="121" spans="3:8" x14ac:dyDescent="0.25">
      <c r="C121">
        <f>COUNTA(CG1:CG95)</f>
        <v>1</v>
      </c>
      <c r="D121">
        <f t="shared" si="2"/>
        <v>173</v>
      </c>
      <c r="E121">
        <f>SUM(CH3:CH95)</f>
        <v>86</v>
      </c>
      <c r="F121">
        <f>SUM(CI3:CI95)</f>
        <v>87</v>
      </c>
      <c r="H121">
        <f t="shared" si="1"/>
        <v>87</v>
      </c>
    </row>
    <row r="122" spans="3:8" x14ac:dyDescent="0.25">
      <c r="C122">
        <f>COUNTA(CK1:CK95)</f>
        <v>1</v>
      </c>
      <c r="D122">
        <f t="shared" si="2"/>
        <v>181</v>
      </c>
      <c r="E122">
        <f>SUM(CL3:CL95)</f>
        <v>90</v>
      </c>
      <c r="F122">
        <f>SUM(CM3:CM95)</f>
        <v>91</v>
      </c>
      <c r="H122">
        <f t="shared" si="1"/>
        <v>91</v>
      </c>
    </row>
    <row r="123" spans="3:8" x14ac:dyDescent="0.25">
      <c r="C123">
        <f>COUNTA(CO1:CO95)</f>
        <v>1</v>
      </c>
      <c r="D123">
        <f t="shared" si="2"/>
        <v>189</v>
      </c>
      <c r="E123">
        <f>SUM(CP3:CP95)</f>
        <v>94</v>
      </c>
      <c r="F123">
        <f>SUM(CQ3:CQ95)</f>
        <v>95</v>
      </c>
      <c r="H123">
        <f t="shared" si="1"/>
        <v>95</v>
      </c>
    </row>
    <row r="124" spans="3:8" x14ac:dyDescent="0.25">
      <c r="C124">
        <f>COUNTA(CS1:CS95)</f>
        <v>1</v>
      </c>
      <c r="D124">
        <f t="shared" si="2"/>
        <v>197</v>
      </c>
      <c r="E124">
        <f>SUM(CT3:CT95)</f>
        <v>98</v>
      </c>
      <c r="F124">
        <f>SUM(CU3:CU95)</f>
        <v>99</v>
      </c>
      <c r="H124">
        <f t="shared" si="1"/>
        <v>99</v>
      </c>
    </row>
    <row r="125" spans="3:8" x14ac:dyDescent="0.25">
      <c r="C125">
        <f>COUNTA(CW1:CW95)</f>
        <v>1</v>
      </c>
      <c r="D125">
        <f t="shared" si="2"/>
        <v>205</v>
      </c>
      <c r="E125">
        <f>SUM(CX3:CX95)</f>
        <v>102</v>
      </c>
      <c r="F125">
        <f>SUM(CY3:CY95)</f>
        <v>103</v>
      </c>
      <c r="H125">
        <f t="shared" si="1"/>
        <v>103</v>
      </c>
    </row>
    <row r="126" spans="3:8" x14ac:dyDescent="0.25">
      <c r="C126">
        <f>COUNTA(DA1:DA95)</f>
        <v>1</v>
      </c>
      <c r="D126">
        <f t="shared" si="2"/>
        <v>213</v>
      </c>
      <c r="E126">
        <f>SUM(DB3:DB95)</f>
        <v>106</v>
      </c>
      <c r="F126">
        <f>SUM(DC3:DC95)</f>
        <v>107</v>
      </c>
      <c r="H126">
        <f t="shared" si="1"/>
        <v>107</v>
      </c>
    </row>
    <row r="127" spans="3:8" x14ac:dyDescent="0.25">
      <c r="C127">
        <f>COUNTA(DE1:DE95)</f>
        <v>1</v>
      </c>
      <c r="D127">
        <f t="shared" si="2"/>
        <v>221</v>
      </c>
      <c r="E127">
        <f>SUM(DF3:DF95)</f>
        <v>110</v>
      </c>
      <c r="F127">
        <f>SUM(DG3:DG95)</f>
        <v>111</v>
      </c>
      <c r="H127">
        <f t="shared" si="1"/>
        <v>111</v>
      </c>
    </row>
    <row r="128" spans="3:8" x14ac:dyDescent="0.25">
      <c r="C128">
        <f>COUNTA(DI1:DI95)</f>
        <v>1</v>
      </c>
      <c r="D128">
        <f t="shared" si="2"/>
        <v>229</v>
      </c>
      <c r="E128">
        <f>SUM(DJ3:DJ95)</f>
        <v>114</v>
      </c>
      <c r="F128">
        <f>SUM(DK3:DK95)</f>
        <v>115</v>
      </c>
      <c r="H128">
        <f t="shared" si="1"/>
        <v>115</v>
      </c>
    </row>
    <row r="129" spans="3:8" x14ac:dyDescent="0.25">
      <c r="C129">
        <f>COUNTA(DM1:DM95)</f>
        <v>1</v>
      </c>
      <c r="D129">
        <f t="shared" si="2"/>
        <v>237</v>
      </c>
      <c r="E129">
        <f>SUM(DN3:DN95)</f>
        <v>118</v>
      </c>
      <c r="F129">
        <f>SUM(DO3:DO95)</f>
        <v>119</v>
      </c>
      <c r="H129">
        <f t="shared" si="1"/>
        <v>119</v>
      </c>
    </row>
    <row r="130" spans="3:8" x14ac:dyDescent="0.25">
      <c r="C130">
        <f>COUNTA(DQ1:DQ95)</f>
        <v>1</v>
      </c>
      <c r="D130">
        <f t="shared" si="2"/>
        <v>245</v>
      </c>
      <c r="E130">
        <f>SUM(DR3:DR95)</f>
        <v>122</v>
      </c>
      <c r="F130">
        <f>SUM(DS3:DS95)</f>
        <v>123</v>
      </c>
      <c r="H130">
        <f t="shared" si="1"/>
        <v>123</v>
      </c>
    </row>
    <row r="131" spans="3:8" x14ac:dyDescent="0.25">
      <c r="C131">
        <f>COUNTA(DU1:DU95)</f>
        <v>1</v>
      </c>
      <c r="D131">
        <f t="shared" si="2"/>
        <v>253</v>
      </c>
      <c r="E131">
        <f>SUM(DV3:DV95)</f>
        <v>126</v>
      </c>
      <c r="F131">
        <f>SUM(DW3:DW95)</f>
        <v>127</v>
      </c>
      <c r="H131">
        <f t="shared" ref="H131:H148" si="3">F131-G103</f>
        <v>127</v>
      </c>
    </row>
    <row r="132" spans="3:8" x14ac:dyDescent="0.25">
      <c r="C132">
        <f>COUNTA(DY1:DY95)</f>
        <v>1</v>
      </c>
      <c r="D132">
        <f t="shared" si="2"/>
        <v>257</v>
      </c>
      <c r="E132">
        <f>SUM(DX3:DX95)</f>
        <v>128</v>
      </c>
      <c r="F132">
        <f>SUM(DY3:DY95)</f>
        <v>129</v>
      </c>
      <c r="H132">
        <f t="shared" si="3"/>
        <v>129</v>
      </c>
    </row>
    <row r="133" spans="3:8" x14ac:dyDescent="0.25">
      <c r="C133">
        <f>COUNTA(EC1:EC95)</f>
        <v>1</v>
      </c>
      <c r="D133">
        <f t="shared" si="2"/>
        <v>269</v>
      </c>
      <c r="E133">
        <f>SUM(ED3:ED95)</f>
        <v>134</v>
      </c>
      <c r="F133">
        <f>SUM(EE3:EE95)</f>
        <v>135</v>
      </c>
      <c r="H133">
        <f t="shared" si="3"/>
        <v>135</v>
      </c>
    </row>
    <row r="134" spans="3:8" x14ac:dyDescent="0.25">
      <c r="C134">
        <f>COUNTA(EG1:EG96)</f>
        <v>1</v>
      </c>
      <c r="D134">
        <f t="shared" si="2"/>
        <v>277</v>
      </c>
      <c r="E134">
        <f>SUM(EH3:EH95)</f>
        <v>138</v>
      </c>
      <c r="F134">
        <f>SUM(EI3:EI95)</f>
        <v>139</v>
      </c>
      <c r="H134">
        <f t="shared" si="3"/>
        <v>139</v>
      </c>
    </row>
    <row r="135" spans="3:8" x14ac:dyDescent="0.25">
      <c r="C135">
        <f>COUNTA(EK1:EK95)</f>
        <v>1</v>
      </c>
      <c r="D135">
        <f t="shared" si="2"/>
        <v>285</v>
      </c>
      <c r="E135">
        <f>SUM(EL3:EL95)</f>
        <v>142</v>
      </c>
      <c r="F135">
        <f>SUM(EM3:EM95)</f>
        <v>143</v>
      </c>
      <c r="H135">
        <f t="shared" si="3"/>
        <v>143</v>
      </c>
    </row>
    <row r="136" spans="3:8" x14ac:dyDescent="0.25">
      <c r="C136">
        <f>COUNTA(EO1:EO95)</f>
        <v>1</v>
      </c>
      <c r="D136">
        <f t="shared" si="2"/>
        <v>293</v>
      </c>
      <c r="E136">
        <f>SUM(EP3:EP95)</f>
        <v>146</v>
      </c>
      <c r="F136">
        <f>SUM(EQ3:EQ95)</f>
        <v>147</v>
      </c>
      <c r="H136">
        <f t="shared" si="3"/>
        <v>147</v>
      </c>
    </row>
    <row r="137" spans="3:8" x14ac:dyDescent="0.25">
      <c r="C137">
        <f>COUNTA(ES1:ES95)</f>
        <v>1</v>
      </c>
      <c r="D137">
        <f t="shared" si="2"/>
        <v>301</v>
      </c>
      <c r="E137">
        <f>SUM(ET3:ET95)</f>
        <v>150</v>
      </c>
      <c r="F137">
        <f>SUM(EU3:EU95)</f>
        <v>151</v>
      </c>
      <c r="H137">
        <f t="shared" si="3"/>
        <v>151</v>
      </c>
    </row>
    <row r="138" spans="3:8" x14ac:dyDescent="0.25">
      <c r="C138">
        <f>COUNTA(EW1:EW95)</f>
        <v>1</v>
      </c>
      <c r="D138">
        <f t="shared" si="2"/>
        <v>309</v>
      </c>
      <c r="E138">
        <f>SUM(EX3:EX95)</f>
        <v>154</v>
      </c>
      <c r="F138">
        <f>SUM(EY3:EY95)</f>
        <v>155</v>
      </c>
      <c r="H138">
        <f t="shared" si="3"/>
        <v>155</v>
      </c>
    </row>
    <row r="139" spans="3:8" x14ac:dyDescent="0.25">
      <c r="C139">
        <f>COUNTA(FA1:FA95)</f>
        <v>1</v>
      </c>
      <c r="D139">
        <f t="shared" si="2"/>
        <v>317</v>
      </c>
      <c r="E139">
        <f>SUM(FB3:FB95)</f>
        <v>158</v>
      </c>
      <c r="F139">
        <f>SUM(FC3:FC95)</f>
        <v>159</v>
      </c>
      <c r="H139">
        <f t="shared" si="3"/>
        <v>159</v>
      </c>
    </row>
    <row r="140" spans="3:8" x14ac:dyDescent="0.25">
      <c r="C140">
        <f>COUNTA(FE1:FE95)</f>
        <v>1</v>
      </c>
      <c r="D140">
        <f t="shared" si="2"/>
        <v>325</v>
      </c>
      <c r="E140">
        <f>SUM(FF3:FF95)</f>
        <v>162</v>
      </c>
      <c r="F140">
        <f>SUM(FG3:FG95)</f>
        <v>163</v>
      </c>
      <c r="H140">
        <f t="shared" si="3"/>
        <v>163</v>
      </c>
    </row>
    <row r="141" spans="3:8" x14ac:dyDescent="0.25">
      <c r="C141">
        <f>COUNTA(FI1:FI95)</f>
        <v>1</v>
      </c>
      <c r="D141">
        <f t="shared" si="2"/>
        <v>333</v>
      </c>
      <c r="E141">
        <f>SUM(FJ3:FJ95)</f>
        <v>166</v>
      </c>
      <c r="F141">
        <f>SUM(FK3:FK95)</f>
        <v>167</v>
      </c>
      <c r="H141">
        <f t="shared" si="3"/>
        <v>167</v>
      </c>
    </row>
    <row r="142" spans="3:8" x14ac:dyDescent="0.25">
      <c r="C142">
        <f>COUNTA(FM1:FM95)</f>
        <v>1</v>
      </c>
      <c r="D142">
        <f t="shared" si="2"/>
        <v>341</v>
      </c>
      <c r="E142">
        <f>SUM(FN3:FN95)</f>
        <v>170</v>
      </c>
      <c r="F142">
        <f>SUM(FO3:FO95)</f>
        <v>171</v>
      </c>
      <c r="H142">
        <f t="shared" si="3"/>
        <v>171</v>
      </c>
    </row>
    <row r="143" spans="3:8" x14ac:dyDescent="0.25">
      <c r="C143">
        <f>COUNTA(FQ1:FQ95)</f>
        <v>1</v>
      </c>
      <c r="D143">
        <f t="shared" si="2"/>
        <v>349</v>
      </c>
      <c r="E143">
        <f>SUM(FR3:FR95)</f>
        <v>174</v>
      </c>
      <c r="F143">
        <f>SUM(FS3:FS95)</f>
        <v>175</v>
      </c>
      <c r="H143">
        <f t="shared" si="3"/>
        <v>175</v>
      </c>
    </row>
    <row r="144" spans="3:8" x14ac:dyDescent="0.25">
      <c r="C144">
        <f>COUNTA(FU1:FU95)</f>
        <v>1</v>
      </c>
      <c r="D144">
        <f t="shared" si="2"/>
        <v>357</v>
      </c>
      <c r="E144">
        <f>SUM(FV3:FV95)</f>
        <v>178</v>
      </c>
      <c r="F144">
        <f>SUM(FW3:FW95)</f>
        <v>179</v>
      </c>
      <c r="H144">
        <f t="shared" si="3"/>
        <v>179</v>
      </c>
    </row>
    <row r="145" spans="3:8" x14ac:dyDescent="0.25">
      <c r="C145">
        <f>COUNTA(FY1:FY95)</f>
        <v>1</v>
      </c>
      <c r="D145">
        <f t="shared" si="2"/>
        <v>365</v>
      </c>
      <c r="E145">
        <f>SUM(FZ3:FZ95)</f>
        <v>182</v>
      </c>
      <c r="F145">
        <f>SUM(GA3:GA95)</f>
        <v>183</v>
      </c>
      <c r="H145">
        <f t="shared" si="3"/>
        <v>183</v>
      </c>
    </row>
    <row r="146" spans="3:8" x14ac:dyDescent="0.25">
      <c r="C146">
        <f>COUNTA(GC1:GC95)</f>
        <v>1</v>
      </c>
      <c r="D146">
        <f t="shared" si="2"/>
        <v>373</v>
      </c>
      <c r="E146">
        <f>SUM(GD3:GD95)</f>
        <v>186</v>
      </c>
      <c r="F146">
        <f>SUM(GE3:GE95)</f>
        <v>187</v>
      </c>
      <c r="H146">
        <f t="shared" si="3"/>
        <v>187</v>
      </c>
    </row>
    <row r="147" spans="3:8" x14ac:dyDescent="0.25">
      <c r="C147">
        <f>COUNTA(GG1:GG95)</f>
        <v>1</v>
      </c>
      <c r="D147">
        <f t="shared" si="2"/>
        <v>381</v>
      </c>
      <c r="E147">
        <f>SUM(GH3:GH95)</f>
        <v>190</v>
      </c>
      <c r="F147">
        <f>SUM(GI3:GI95)</f>
        <v>191</v>
      </c>
      <c r="H147">
        <f t="shared" si="3"/>
        <v>191</v>
      </c>
    </row>
    <row r="148" spans="3:8" x14ac:dyDescent="0.25">
      <c r="C148">
        <f>COUNTA(GK1:GK95)</f>
        <v>1</v>
      </c>
      <c r="D148">
        <f t="shared" si="2"/>
        <v>389</v>
      </c>
      <c r="E148">
        <f>SUM(GL3:GL95)</f>
        <v>194</v>
      </c>
      <c r="F148">
        <f>SUM(GM3:GM95)</f>
        <v>195</v>
      </c>
      <c r="H148">
        <f t="shared" si="3"/>
        <v>195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AA102"/>
  <sheetViews>
    <sheetView workbookViewId="0">
      <selection activeCell="I28" sqref="I28"/>
    </sheetView>
  </sheetViews>
  <sheetFormatPr defaultRowHeight="15" x14ac:dyDescent="0.25"/>
  <cols>
    <col min="1" max="1" width="10.7109375" bestFit="1" customWidth="1"/>
  </cols>
  <sheetData>
    <row r="2" spans="1:27" x14ac:dyDescent="0.25">
      <c r="A2" t="s">
        <v>60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20</v>
      </c>
      <c r="L2" t="s">
        <v>30</v>
      </c>
      <c r="M2" t="s">
        <v>31</v>
      </c>
      <c r="N2" t="s">
        <v>32</v>
      </c>
      <c r="O2" t="s">
        <v>33</v>
      </c>
      <c r="P2" t="s">
        <v>34</v>
      </c>
      <c r="Q2" t="s">
        <v>35</v>
      </c>
      <c r="R2" t="s">
        <v>36</v>
      </c>
      <c r="S2" t="s">
        <v>37</v>
      </c>
      <c r="T2" t="s">
        <v>6</v>
      </c>
      <c r="U2" t="s">
        <v>0</v>
      </c>
      <c r="V2" t="s">
        <v>38</v>
      </c>
      <c r="W2" t="s">
        <v>39</v>
      </c>
      <c r="X2" t="s">
        <v>40</v>
      </c>
      <c r="Y2" t="s">
        <v>43</v>
      </c>
      <c r="Z2" t="s">
        <v>44</v>
      </c>
      <c r="AA2">
        <v>123</v>
      </c>
    </row>
    <row r="3" spans="1:27" x14ac:dyDescent="0.25">
      <c r="B3">
        <v>6</v>
      </c>
      <c r="C3">
        <v>0</v>
      </c>
      <c r="D3">
        <v>1</v>
      </c>
      <c r="E3">
        <v>3</v>
      </c>
      <c r="F3">
        <v>2</v>
      </c>
      <c r="G3">
        <v>1</v>
      </c>
      <c r="H3">
        <v>4</v>
      </c>
      <c r="I3">
        <v>0</v>
      </c>
      <c r="J3">
        <v>5</v>
      </c>
      <c r="K3">
        <v>1</v>
      </c>
      <c r="L3">
        <v>1</v>
      </c>
      <c r="M3">
        <v>0</v>
      </c>
      <c r="N3">
        <v>0</v>
      </c>
      <c r="O3">
        <v>0</v>
      </c>
      <c r="P3">
        <v>6</v>
      </c>
      <c r="Q3">
        <v>0</v>
      </c>
      <c r="R3">
        <v>5</v>
      </c>
      <c r="S3">
        <v>2</v>
      </c>
      <c r="T3">
        <v>0</v>
      </c>
      <c r="U3">
        <v>0</v>
      </c>
      <c r="V3">
        <v>0</v>
      </c>
      <c r="W3">
        <v>1</v>
      </c>
      <c r="X3">
        <v>1</v>
      </c>
      <c r="Y3">
        <v>0</v>
      </c>
    </row>
    <row r="4" spans="1:27" x14ac:dyDescent="0.25">
      <c r="A4" s="9">
        <v>42003</v>
      </c>
      <c r="B4">
        <v>1664</v>
      </c>
      <c r="C4">
        <v>116</v>
      </c>
      <c r="D4">
        <v>334</v>
      </c>
      <c r="E4">
        <v>765</v>
      </c>
      <c r="F4">
        <v>681</v>
      </c>
      <c r="G4">
        <v>389</v>
      </c>
      <c r="H4">
        <v>1138</v>
      </c>
      <c r="I4">
        <v>32</v>
      </c>
      <c r="J4">
        <v>1256</v>
      </c>
      <c r="K4">
        <v>277</v>
      </c>
      <c r="L4">
        <v>291</v>
      </c>
      <c r="M4">
        <v>182</v>
      </c>
      <c r="N4">
        <v>49</v>
      </c>
      <c r="O4">
        <v>94</v>
      </c>
      <c r="P4">
        <v>1554</v>
      </c>
      <c r="Q4">
        <v>60</v>
      </c>
      <c r="R4">
        <v>1358</v>
      </c>
      <c r="S4">
        <v>699</v>
      </c>
      <c r="T4">
        <v>216</v>
      </c>
      <c r="U4">
        <v>177</v>
      </c>
      <c r="V4">
        <v>180</v>
      </c>
      <c r="W4">
        <v>319</v>
      </c>
      <c r="X4">
        <v>325</v>
      </c>
      <c r="Y4">
        <v>0</v>
      </c>
    </row>
    <row r="6" spans="1:27" x14ac:dyDescent="0.25">
      <c r="A6" s="9">
        <v>41654</v>
      </c>
    </row>
    <row r="7" spans="1:27" x14ac:dyDescent="0.25">
      <c r="A7" s="9">
        <v>41669</v>
      </c>
    </row>
    <row r="8" spans="1:27" x14ac:dyDescent="0.25">
      <c r="A8" s="9">
        <v>41685</v>
      </c>
    </row>
    <row r="9" spans="1:27" x14ac:dyDescent="0.25">
      <c r="A9" s="9">
        <v>41698</v>
      </c>
    </row>
    <row r="10" spans="1:27" x14ac:dyDescent="0.25">
      <c r="A10" s="9">
        <v>41713</v>
      </c>
    </row>
    <row r="11" spans="1:27" x14ac:dyDescent="0.25">
      <c r="A11" s="9">
        <v>41728</v>
      </c>
    </row>
    <row r="12" spans="1:27" x14ac:dyDescent="0.25">
      <c r="A12" s="9">
        <v>41744</v>
      </c>
    </row>
    <row r="13" spans="1:27" x14ac:dyDescent="0.25">
      <c r="A13" s="9">
        <v>41759</v>
      </c>
    </row>
    <row r="14" spans="1:27" x14ac:dyDescent="0.25">
      <c r="A14" s="9">
        <v>41774</v>
      </c>
    </row>
    <row r="15" spans="1:27" x14ac:dyDescent="0.25">
      <c r="A15" s="9">
        <v>41789</v>
      </c>
    </row>
    <row r="16" spans="1:27" x14ac:dyDescent="0.25">
      <c r="A16" s="9">
        <v>41805</v>
      </c>
    </row>
    <row r="99" spans="1:3" x14ac:dyDescent="0.25">
      <c r="B99">
        <v>24330</v>
      </c>
      <c r="C99">
        <f>COUNTA(B2:X2)</f>
        <v>23</v>
      </c>
    </row>
    <row r="100" spans="1:3" x14ac:dyDescent="0.25">
      <c r="A100" t="s">
        <v>0</v>
      </c>
    </row>
    <row r="101" spans="1:3" x14ac:dyDescent="0.25">
      <c r="A101" t="s">
        <v>6</v>
      </c>
    </row>
    <row r="102" spans="1:3" x14ac:dyDescent="0.25">
      <c r="A102" t="s">
        <v>19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B7811-641F-4F12-BE30-818D2E5E40B6}">
  <sheetPr codeName="Sheet6"/>
  <dimension ref="A1:AA51"/>
  <sheetViews>
    <sheetView workbookViewId="0">
      <selection activeCell="L8" sqref="L8"/>
    </sheetView>
  </sheetViews>
  <sheetFormatPr defaultRowHeight="15" x14ac:dyDescent="0.25"/>
  <cols>
    <col min="2" max="2" width="18.5703125" customWidth="1"/>
    <col min="3" max="3" width="18.85546875" customWidth="1"/>
    <col min="4" max="4" width="15.42578125" customWidth="1"/>
    <col min="10" max="10" width="13.7109375" customWidth="1"/>
    <col min="11" max="11" width="11.85546875" customWidth="1"/>
    <col min="12" max="12" width="12.28515625" customWidth="1"/>
    <col min="13" max="13" width="13.42578125" customWidth="1"/>
    <col min="14" max="14" width="13.7109375" bestFit="1" customWidth="1"/>
    <col min="15" max="15" width="12.85546875" bestFit="1" customWidth="1"/>
    <col min="16" max="16" width="12.28515625" bestFit="1" customWidth="1"/>
    <col min="17" max="17" width="13.42578125" bestFit="1" customWidth="1"/>
  </cols>
  <sheetData>
    <row r="1" spans="1:27" ht="37.5" customHeight="1" x14ac:dyDescent="0.25">
      <c r="A1" s="41"/>
      <c r="B1" s="278" t="s">
        <v>81</v>
      </c>
      <c r="C1" s="279"/>
      <c r="D1" s="279"/>
      <c r="E1" s="279"/>
      <c r="F1" s="279"/>
      <c r="G1" s="279"/>
      <c r="H1" s="280"/>
    </row>
    <row r="2" spans="1:27" x14ac:dyDescent="0.25">
      <c r="A2" s="41"/>
      <c r="B2" s="86" t="s">
        <v>76</v>
      </c>
      <c r="C2" s="84" t="s">
        <v>75</v>
      </c>
      <c r="D2" s="44"/>
      <c r="E2" s="84" t="s">
        <v>74</v>
      </c>
      <c r="F2" s="84" t="s">
        <v>17</v>
      </c>
      <c r="G2" s="84" t="s">
        <v>50</v>
      </c>
      <c r="H2" s="87" t="s">
        <v>51</v>
      </c>
      <c r="J2" s="8" t="s">
        <v>10</v>
      </c>
      <c r="K2" s="8" t="s">
        <v>8</v>
      </c>
      <c r="L2" s="8" t="s">
        <v>9</v>
      </c>
      <c r="M2" s="8" t="s">
        <v>7</v>
      </c>
      <c r="N2" s="8" t="s">
        <v>11</v>
      </c>
      <c r="O2" s="8" t="s">
        <v>12</v>
      </c>
      <c r="P2" s="8" t="s">
        <v>18</v>
      </c>
      <c r="Q2" s="8" t="s">
        <v>16</v>
      </c>
      <c r="S2" s="96"/>
      <c r="AA2" s="15">
        <v>123</v>
      </c>
    </row>
    <row r="3" spans="1:27" x14ac:dyDescent="0.25">
      <c r="A3" s="41"/>
      <c r="B3" s="88" t="s">
        <v>21</v>
      </c>
      <c r="C3" s="44" t="s">
        <v>49</v>
      </c>
      <c r="D3" s="44" t="s">
        <v>1</v>
      </c>
      <c r="E3" s="44">
        <f>COUNTA(B3:B80)</f>
        <v>26</v>
      </c>
      <c r="F3" s="44">
        <v>18</v>
      </c>
      <c r="G3" s="44">
        <f>COUNTA(C3:C36)</f>
        <v>4</v>
      </c>
      <c r="H3" s="89">
        <f>G3*F3</f>
        <v>72</v>
      </c>
      <c r="J3" t="s">
        <v>41</v>
      </c>
      <c r="K3">
        <f>COUNTA(Borrowers!A1:HA1)</f>
        <v>6</v>
      </c>
      <c r="L3">
        <f>COUNTA(Borrowers!A1:A95)</f>
        <v>37</v>
      </c>
      <c r="M3" t="e">
        <f>SUM(Borrowers!#REF!,Q3)</f>
        <v>#REF!</v>
      </c>
      <c r="N3" t="e">
        <f>SUM(#REF!)</f>
        <v>#REF!</v>
      </c>
      <c r="O3" t="e">
        <f>SUM(#REF!)</f>
        <v>#REF!</v>
      </c>
      <c r="P3">
        <v>5370</v>
      </c>
      <c r="Q3" t="e">
        <f>O3-P3</f>
        <v>#REF!</v>
      </c>
      <c r="R3">
        <v>1</v>
      </c>
      <c r="S3" t="str">
        <f>IF(L3=R3, "OK", "MALI")</f>
        <v>MALI</v>
      </c>
    </row>
    <row r="4" spans="1:27" x14ac:dyDescent="0.25">
      <c r="A4" s="41"/>
      <c r="B4" s="88" t="s">
        <v>22</v>
      </c>
      <c r="C4" s="44" t="s">
        <v>52</v>
      </c>
      <c r="D4" s="44" t="s">
        <v>3</v>
      </c>
      <c r="E4" s="44"/>
      <c r="F4" s="44"/>
      <c r="G4" s="44"/>
      <c r="H4" s="89"/>
      <c r="J4" t="s">
        <v>42</v>
      </c>
      <c r="L4">
        <f>COUNTA(Borrowers!E20:E95)</f>
        <v>6</v>
      </c>
      <c r="M4" t="e">
        <f t="shared" ref="M4:M51" si="0">SUM(N4,Q4)</f>
        <v>#REF!</v>
      </c>
      <c r="N4" t="e">
        <f>SUM(#REF!)</f>
        <v>#REF!</v>
      </c>
      <c r="O4" t="e">
        <f>SUM(#REF!)</f>
        <v>#REF!</v>
      </c>
      <c r="P4">
        <v>17400</v>
      </c>
      <c r="Q4" t="e">
        <f t="shared" ref="Q4:Q51" si="1">O4-P4</f>
        <v>#REF!</v>
      </c>
      <c r="R4">
        <v>5</v>
      </c>
      <c r="S4" t="str">
        <f t="shared" ref="S4:S20" si="2">IF(L4=R4, "OK", "MALI")</f>
        <v>MALI</v>
      </c>
    </row>
    <row r="5" spans="1:27" x14ac:dyDescent="0.25">
      <c r="A5" s="41"/>
      <c r="B5" s="88" t="s">
        <v>23</v>
      </c>
      <c r="C5" s="44" t="s">
        <v>53</v>
      </c>
      <c r="D5" s="44" t="s">
        <v>2</v>
      </c>
      <c r="E5" s="44"/>
      <c r="F5" s="44"/>
      <c r="G5" s="4"/>
      <c r="H5" s="90"/>
      <c r="J5" t="s">
        <v>82</v>
      </c>
      <c r="L5">
        <f>COUNTA(Borrowers!I1:I95)</f>
        <v>3</v>
      </c>
      <c r="M5" t="e">
        <f t="shared" si="0"/>
        <v>#REF!</v>
      </c>
      <c r="N5" t="e">
        <f>SUM(#REF!)</f>
        <v>#REF!</v>
      </c>
      <c r="O5" t="e">
        <f>SUM(#REF!)</f>
        <v>#REF!</v>
      </c>
      <c r="P5">
        <v>3810</v>
      </c>
      <c r="Q5" t="e">
        <f t="shared" si="1"/>
        <v>#REF!</v>
      </c>
      <c r="R5">
        <v>9</v>
      </c>
      <c r="S5" t="str">
        <f t="shared" si="2"/>
        <v>MALI</v>
      </c>
    </row>
    <row r="6" spans="1:27" x14ac:dyDescent="0.25">
      <c r="A6" s="41"/>
      <c r="B6" s="88" t="s">
        <v>24</v>
      </c>
      <c r="C6" s="44">
        <v>2015</v>
      </c>
      <c r="D6" s="44"/>
      <c r="E6" s="44"/>
      <c r="F6" s="44"/>
      <c r="G6" s="4"/>
      <c r="H6" s="90"/>
      <c r="J6" t="s">
        <v>83</v>
      </c>
      <c r="L6">
        <f>COUNTA(Borrowers!M1:M95)</f>
        <v>3</v>
      </c>
      <c r="M6" t="e">
        <f t="shared" si="0"/>
        <v>#REF!</v>
      </c>
      <c r="N6" t="e">
        <f>SUM(#REF!)</f>
        <v>#REF!</v>
      </c>
      <c r="O6" t="e">
        <f>SUM(#REF!)</f>
        <v>#REF!</v>
      </c>
      <c r="P6">
        <v>300</v>
      </c>
      <c r="Q6" t="e">
        <f t="shared" si="1"/>
        <v>#REF!</v>
      </c>
      <c r="R6">
        <v>13</v>
      </c>
      <c r="S6" t="str">
        <f t="shared" si="2"/>
        <v>MALI</v>
      </c>
    </row>
    <row r="7" spans="1:27" x14ac:dyDescent="0.25">
      <c r="A7" s="41"/>
      <c r="B7" s="88" t="s">
        <v>25</v>
      </c>
      <c r="C7" s="44"/>
      <c r="D7" s="44"/>
      <c r="E7" s="44"/>
      <c r="F7" s="44"/>
      <c r="G7" s="4"/>
      <c r="H7" s="90"/>
      <c r="J7" t="s">
        <v>84</v>
      </c>
      <c r="L7">
        <f>COUNTA(Borrowers!Q1:Q95)</f>
        <v>3</v>
      </c>
      <c r="M7" t="e">
        <f t="shared" si="0"/>
        <v>#REF!</v>
      </c>
      <c r="N7" t="e">
        <f>SUM(#REF!)</f>
        <v>#REF!</v>
      </c>
      <c r="O7" t="e">
        <f>SUM(#REF!)</f>
        <v>#REF!</v>
      </c>
      <c r="Q7" t="e">
        <f t="shared" si="1"/>
        <v>#REF!</v>
      </c>
      <c r="R7">
        <v>17</v>
      </c>
      <c r="S7" t="str">
        <f t="shared" si="2"/>
        <v>MALI</v>
      </c>
    </row>
    <row r="8" spans="1:27" x14ac:dyDescent="0.25">
      <c r="A8" s="41"/>
      <c r="B8" s="88" t="s">
        <v>26</v>
      </c>
      <c r="C8" s="44"/>
      <c r="D8" s="44"/>
      <c r="E8" s="44"/>
      <c r="F8" s="44"/>
      <c r="G8" s="4"/>
      <c r="H8" s="90"/>
      <c r="J8" t="s">
        <v>97</v>
      </c>
      <c r="L8">
        <f>COUNTA(Borrowers!U1:U95)</f>
        <v>3</v>
      </c>
      <c r="M8" t="e">
        <f t="shared" si="0"/>
        <v>#REF!</v>
      </c>
      <c r="N8" t="e">
        <f>SUM(#REF!)</f>
        <v>#REF!</v>
      </c>
      <c r="O8" t="e">
        <f>SUM(#REF!)</f>
        <v>#REF!</v>
      </c>
      <c r="Q8" t="e">
        <f t="shared" si="1"/>
        <v>#REF!</v>
      </c>
      <c r="R8">
        <v>21</v>
      </c>
      <c r="S8" t="str">
        <f t="shared" si="2"/>
        <v>MALI</v>
      </c>
    </row>
    <row r="9" spans="1:27" x14ac:dyDescent="0.25">
      <c r="A9" s="41"/>
      <c r="B9" s="88" t="s">
        <v>27</v>
      </c>
      <c r="C9" s="44"/>
      <c r="D9" s="44"/>
      <c r="E9" s="44"/>
      <c r="F9" s="85"/>
      <c r="G9" s="4"/>
      <c r="H9" s="90"/>
      <c r="L9">
        <f>COUNTA(Borrowers!Y1:Y95)</f>
        <v>1</v>
      </c>
      <c r="M9" t="e">
        <f t="shared" si="0"/>
        <v>#REF!</v>
      </c>
      <c r="N9" t="e">
        <f>SUM(#REF!)</f>
        <v>#REF!</v>
      </c>
      <c r="O9" t="e">
        <f>SUM(#REF!)</f>
        <v>#REF!</v>
      </c>
      <c r="Q9" t="e">
        <f t="shared" si="1"/>
        <v>#REF!</v>
      </c>
      <c r="R9">
        <v>25</v>
      </c>
      <c r="S9" t="str">
        <f t="shared" si="2"/>
        <v>MALI</v>
      </c>
    </row>
    <row r="10" spans="1:27" x14ac:dyDescent="0.25">
      <c r="A10" s="41"/>
      <c r="B10" s="88" t="s">
        <v>28</v>
      </c>
      <c r="C10" s="44"/>
      <c r="D10" s="44"/>
      <c r="E10" s="44"/>
      <c r="F10" s="44"/>
      <c r="G10" s="4"/>
      <c r="H10" s="90"/>
      <c r="L10">
        <f>COUNTA(Borrowers!AC1:AC95)</f>
        <v>1</v>
      </c>
      <c r="M10" t="e">
        <f t="shared" si="0"/>
        <v>#REF!</v>
      </c>
      <c r="N10" t="e">
        <f>SUM(#REF!)</f>
        <v>#REF!</v>
      </c>
      <c r="O10" t="e">
        <f>SUM(#REF!)</f>
        <v>#REF!</v>
      </c>
      <c r="Q10" t="e">
        <f t="shared" si="1"/>
        <v>#REF!</v>
      </c>
      <c r="R10">
        <v>29</v>
      </c>
      <c r="S10" t="str">
        <f t="shared" si="2"/>
        <v>MALI</v>
      </c>
    </row>
    <row r="11" spans="1:27" x14ac:dyDescent="0.25">
      <c r="A11" s="41"/>
      <c r="B11" s="88" t="s">
        <v>29</v>
      </c>
      <c r="C11" s="44"/>
      <c r="D11" s="44"/>
      <c r="E11" s="44"/>
      <c r="F11" s="44"/>
      <c r="G11" s="4"/>
      <c r="H11" s="90"/>
      <c r="M11" t="e">
        <f t="shared" si="0"/>
        <v>#REF!</v>
      </c>
      <c r="N11" t="e">
        <f>SUM(#REF!)</f>
        <v>#REF!</v>
      </c>
      <c r="O11" t="e">
        <f>SUM(#REF!)</f>
        <v>#REF!</v>
      </c>
      <c r="Q11" t="e">
        <f t="shared" si="1"/>
        <v>#REF!</v>
      </c>
      <c r="R11">
        <v>33</v>
      </c>
      <c r="S11" t="str">
        <f t="shared" si="2"/>
        <v>MALI</v>
      </c>
    </row>
    <row r="12" spans="1:27" x14ac:dyDescent="0.25">
      <c r="A12" s="41"/>
      <c r="B12" s="88" t="s">
        <v>20</v>
      </c>
      <c r="C12" s="44"/>
      <c r="D12" s="44"/>
      <c r="E12" s="44"/>
      <c r="F12" s="44"/>
      <c r="G12" s="4"/>
      <c r="H12" s="90"/>
      <c r="M12" t="e">
        <f t="shared" si="0"/>
        <v>#REF!</v>
      </c>
      <c r="N12" t="e">
        <f>SUM(#REF!)</f>
        <v>#REF!</v>
      </c>
      <c r="O12" t="e">
        <f>SUM(#REF!)</f>
        <v>#REF!</v>
      </c>
      <c r="Q12" t="e">
        <f t="shared" si="1"/>
        <v>#REF!</v>
      </c>
      <c r="R12">
        <v>37</v>
      </c>
      <c r="S12" t="str">
        <f t="shared" si="2"/>
        <v>MALI</v>
      </c>
    </row>
    <row r="13" spans="1:27" x14ac:dyDescent="0.25">
      <c r="A13" s="41"/>
      <c r="B13" s="88" t="s">
        <v>30</v>
      </c>
      <c r="C13" s="44"/>
      <c r="D13" s="44"/>
      <c r="E13" s="44"/>
      <c r="F13" s="44"/>
      <c r="G13" s="4"/>
      <c r="H13" s="90"/>
      <c r="M13" t="e">
        <f t="shared" si="0"/>
        <v>#REF!</v>
      </c>
      <c r="N13" t="e">
        <f>SUM(#REF!)</f>
        <v>#REF!</v>
      </c>
      <c r="O13" t="e">
        <f>SUM(#REF!)</f>
        <v>#REF!</v>
      </c>
      <c r="Q13" t="e">
        <f t="shared" si="1"/>
        <v>#REF!</v>
      </c>
      <c r="R13">
        <v>41</v>
      </c>
      <c r="S13" t="str">
        <f t="shared" si="2"/>
        <v>MALI</v>
      </c>
    </row>
    <row r="14" spans="1:27" x14ac:dyDescent="0.25">
      <c r="A14" s="41"/>
      <c r="B14" s="88" t="s">
        <v>31</v>
      </c>
      <c r="C14" s="44"/>
      <c r="D14" s="44"/>
      <c r="E14" s="44"/>
      <c r="F14" s="44"/>
      <c r="G14" s="4"/>
      <c r="H14" s="90"/>
      <c r="M14" t="e">
        <f t="shared" si="0"/>
        <v>#REF!</v>
      </c>
      <c r="N14" t="e">
        <f>SUM(#REF!)</f>
        <v>#REF!</v>
      </c>
      <c r="O14" t="e">
        <f>SUM(#REF!)</f>
        <v>#REF!</v>
      </c>
      <c r="Q14" t="e">
        <f t="shared" si="1"/>
        <v>#REF!</v>
      </c>
      <c r="R14">
        <v>45</v>
      </c>
      <c r="S14" t="str">
        <f t="shared" si="2"/>
        <v>MALI</v>
      </c>
    </row>
    <row r="15" spans="1:27" x14ac:dyDescent="0.25">
      <c r="A15" s="41"/>
      <c r="B15" s="88" t="s">
        <v>32</v>
      </c>
      <c r="C15" s="44"/>
      <c r="D15" s="44"/>
      <c r="E15" s="44"/>
      <c r="F15" s="44"/>
      <c r="G15" s="4"/>
      <c r="H15" s="90"/>
      <c r="M15" t="e">
        <f t="shared" si="0"/>
        <v>#REF!</v>
      </c>
      <c r="N15" t="e">
        <f>SUM(#REF!)</f>
        <v>#REF!</v>
      </c>
      <c r="O15" t="e">
        <f>SUM(#REF!)</f>
        <v>#REF!</v>
      </c>
      <c r="Q15" t="e">
        <f t="shared" si="1"/>
        <v>#REF!</v>
      </c>
      <c r="R15">
        <v>49</v>
      </c>
      <c r="S15" t="str">
        <f t="shared" si="2"/>
        <v>MALI</v>
      </c>
    </row>
    <row r="16" spans="1:27" x14ac:dyDescent="0.25">
      <c r="A16" s="41"/>
      <c r="B16" s="88" t="s">
        <v>33</v>
      </c>
      <c r="C16" s="44"/>
      <c r="D16" s="44"/>
      <c r="E16" s="44"/>
      <c r="F16" s="44"/>
      <c r="G16" s="4"/>
      <c r="H16" s="90"/>
      <c r="M16" t="e">
        <f t="shared" si="0"/>
        <v>#REF!</v>
      </c>
      <c r="N16" t="e">
        <f>SUM(#REF!)</f>
        <v>#REF!</v>
      </c>
      <c r="O16" t="e">
        <f>SUM(#REF!)</f>
        <v>#REF!</v>
      </c>
      <c r="Q16" t="e">
        <f t="shared" si="1"/>
        <v>#REF!</v>
      </c>
      <c r="R16">
        <v>53</v>
      </c>
      <c r="S16" t="str">
        <f t="shared" si="2"/>
        <v>MALI</v>
      </c>
    </row>
    <row r="17" spans="1:19" x14ac:dyDescent="0.25">
      <c r="A17" s="41"/>
      <c r="B17" s="88" t="s">
        <v>34</v>
      </c>
      <c r="C17" s="44"/>
      <c r="D17" s="44"/>
      <c r="E17" s="44"/>
      <c r="F17" s="44"/>
      <c r="G17" s="4"/>
      <c r="H17" s="90"/>
      <c r="M17" t="e">
        <f t="shared" si="0"/>
        <v>#REF!</v>
      </c>
      <c r="N17" t="e">
        <f>SUM(#REF!)</f>
        <v>#REF!</v>
      </c>
      <c r="O17" t="e">
        <f>SUM(#REF!)</f>
        <v>#REF!</v>
      </c>
      <c r="Q17" t="e">
        <f t="shared" si="1"/>
        <v>#REF!</v>
      </c>
      <c r="R17">
        <v>57</v>
      </c>
      <c r="S17" t="str">
        <f t="shared" si="2"/>
        <v>MALI</v>
      </c>
    </row>
    <row r="18" spans="1:19" x14ac:dyDescent="0.25">
      <c r="A18" s="41"/>
      <c r="B18" s="88" t="s">
        <v>35</v>
      </c>
      <c r="C18" s="44"/>
      <c r="D18" s="44"/>
      <c r="E18" s="44"/>
      <c r="F18" s="44"/>
      <c r="G18" s="4"/>
      <c r="H18" s="90"/>
      <c r="M18" t="e">
        <f t="shared" si="0"/>
        <v>#REF!</v>
      </c>
      <c r="N18" t="e">
        <f>SUM(#REF!)</f>
        <v>#REF!</v>
      </c>
      <c r="O18" t="e">
        <f>SUM(#REF!)</f>
        <v>#REF!</v>
      </c>
      <c r="Q18" t="e">
        <f t="shared" si="1"/>
        <v>#REF!</v>
      </c>
      <c r="R18">
        <v>61</v>
      </c>
      <c r="S18" t="str">
        <f t="shared" si="2"/>
        <v>MALI</v>
      </c>
    </row>
    <row r="19" spans="1:19" x14ac:dyDescent="0.25">
      <c r="A19" s="41"/>
      <c r="B19" s="88" t="s">
        <v>36</v>
      </c>
      <c r="C19" s="44"/>
      <c r="D19" s="44"/>
      <c r="E19" s="44"/>
      <c r="F19" s="44"/>
      <c r="G19" s="4"/>
      <c r="H19" s="90"/>
      <c r="M19" t="e">
        <f t="shared" si="0"/>
        <v>#REF!</v>
      </c>
      <c r="N19" t="e">
        <f>SUM(#REF!)</f>
        <v>#REF!</v>
      </c>
      <c r="O19" t="e">
        <f>SUM(#REF!)</f>
        <v>#REF!</v>
      </c>
      <c r="Q19" t="e">
        <f t="shared" si="1"/>
        <v>#REF!</v>
      </c>
      <c r="R19">
        <v>65</v>
      </c>
      <c r="S19" t="str">
        <f t="shared" si="2"/>
        <v>MALI</v>
      </c>
    </row>
    <row r="20" spans="1:19" x14ac:dyDescent="0.25">
      <c r="A20" s="41"/>
      <c r="B20" s="88" t="s">
        <v>37</v>
      </c>
      <c r="C20" s="44"/>
      <c r="D20" s="44"/>
      <c r="E20" s="44"/>
      <c r="F20" s="44"/>
      <c r="G20" s="4"/>
      <c r="H20" s="90"/>
      <c r="M20" t="e">
        <f t="shared" si="0"/>
        <v>#REF!</v>
      </c>
      <c r="N20" t="e">
        <f>SUM(#REF!)</f>
        <v>#REF!</v>
      </c>
      <c r="O20" t="e">
        <f>SUM(#REF!)</f>
        <v>#REF!</v>
      </c>
      <c r="Q20" t="e">
        <f t="shared" si="1"/>
        <v>#REF!</v>
      </c>
      <c r="R20">
        <v>69</v>
      </c>
      <c r="S20" t="str">
        <f t="shared" si="2"/>
        <v>MALI</v>
      </c>
    </row>
    <row r="21" spans="1:19" x14ac:dyDescent="0.25">
      <c r="A21" s="41"/>
      <c r="B21" s="88" t="s">
        <v>6</v>
      </c>
      <c r="C21" s="44"/>
      <c r="D21" s="44"/>
      <c r="E21" s="44"/>
      <c r="F21" s="44"/>
      <c r="G21" s="4"/>
      <c r="H21" s="90"/>
      <c r="M21" t="e">
        <f t="shared" si="0"/>
        <v>#REF!</v>
      </c>
      <c r="N21" t="e">
        <f>SUM(#REF!)</f>
        <v>#REF!</v>
      </c>
      <c r="O21" t="e">
        <f>SUM(#REF!)</f>
        <v>#REF!</v>
      </c>
      <c r="Q21" t="e">
        <f t="shared" si="1"/>
        <v>#REF!</v>
      </c>
    </row>
    <row r="22" spans="1:19" x14ac:dyDescent="0.25">
      <c r="A22" s="41"/>
      <c r="B22" s="88" t="s">
        <v>0</v>
      </c>
      <c r="C22" s="44"/>
      <c r="D22" s="44"/>
      <c r="E22" s="44"/>
      <c r="F22" s="44"/>
      <c r="G22" s="4"/>
      <c r="H22" s="90"/>
      <c r="M22" t="e">
        <f t="shared" si="0"/>
        <v>#REF!</v>
      </c>
      <c r="N22" t="e">
        <f>SUM(#REF!)</f>
        <v>#REF!</v>
      </c>
      <c r="O22" t="e">
        <f>SUM(#REF!)</f>
        <v>#REF!</v>
      </c>
      <c r="Q22" t="e">
        <f t="shared" si="1"/>
        <v>#REF!</v>
      </c>
    </row>
    <row r="23" spans="1:19" x14ac:dyDescent="0.25">
      <c r="A23" s="41"/>
      <c r="B23" s="88" t="s">
        <v>38</v>
      </c>
      <c r="C23" s="44"/>
      <c r="D23" s="44"/>
      <c r="E23" s="44"/>
      <c r="F23" s="44"/>
      <c r="G23" s="4"/>
      <c r="H23" s="90"/>
      <c r="M23" t="e">
        <f t="shared" si="0"/>
        <v>#REF!</v>
      </c>
      <c r="N23" t="e">
        <f>SUM(#REF!)</f>
        <v>#REF!</v>
      </c>
      <c r="O23" t="e">
        <f>SUM(#REF!)</f>
        <v>#REF!</v>
      </c>
      <c r="Q23" t="e">
        <f t="shared" si="1"/>
        <v>#REF!</v>
      </c>
    </row>
    <row r="24" spans="1:19" x14ac:dyDescent="0.25">
      <c r="A24" s="41"/>
      <c r="B24" s="88" t="s">
        <v>39</v>
      </c>
      <c r="C24" s="44"/>
      <c r="D24" s="44"/>
      <c r="E24" s="44"/>
      <c r="F24" s="44"/>
      <c r="G24" s="4"/>
      <c r="H24" s="90"/>
      <c r="M24" t="e">
        <f t="shared" si="0"/>
        <v>#REF!</v>
      </c>
      <c r="N24" t="e">
        <f>SUM(#REF!)</f>
        <v>#REF!</v>
      </c>
      <c r="O24" t="e">
        <f>SUM(#REF!)</f>
        <v>#REF!</v>
      </c>
      <c r="Q24" t="e">
        <f t="shared" si="1"/>
        <v>#REF!</v>
      </c>
    </row>
    <row r="25" spans="1:19" x14ac:dyDescent="0.25">
      <c r="A25" s="41"/>
      <c r="B25" s="88" t="s">
        <v>40</v>
      </c>
      <c r="C25" s="44"/>
      <c r="D25" s="44"/>
      <c r="E25" s="44"/>
      <c r="F25" s="44"/>
      <c r="G25" s="4"/>
      <c r="H25" s="90"/>
      <c r="M25" t="e">
        <f t="shared" si="0"/>
        <v>#REF!</v>
      </c>
      <c r="N25" t="e">
        <f>SUM(#REF!)</f>
        <v>#REF!</v>
      </c>
      <c r="O25" t="e">
        <f>SUM(#REF!)</f>
        <v>#REF!</v>
      </c>
      <c r="Q25" t="e">
        <f t="shared" si="1"/>
        <v>#REF!</v>
      </c>
    </row>
    <row r="26" spans="1:19" x14ac:dyDescent="0.25">
      <c r="A26" s="41"/>
      <c r="B26" s="88" t="s">
        <v>43</v>
      </c>
      <c r="C26" s="44"/>
      <c r="D26" s="44"/>
      <c r="E26" s="44"/>
      <c r="F26" s="44"/>
      <c r="G26" s="4"/>
      <c r="H26" s="90"/>
      <c r="M26" t="e">
        <f t="shared" si="0"/>
        <v>#REF!</v>
      </c>
      <c r="N26" t="e">
        <f>SUM(#REF!)</f>
        <v>#REF!</v>
      </c>
      <c r="O26" t="e">
        <f>SUM(#REF!)</f>
        <v>#REF!</v>
      </c>
      <c r="Q26" t="e">
        <f t="shared" si="1"/>
        <v>#REF!</v>
      </c>
    </row>
    <row r="27" spans="1:19" x14ac:dyDescent="0.25">
      <c r="A27" s="41"/>
      <c r="B27" s="88" t="s">
        <v>45</v>
      </c>
      <c r="C27" s="44"/>
      <c r="D27" s="44"/>
      <c r="E27" s="44"/>
      <c r="F27" s="44"/>
      <c r="G27" s="4"/>
      <c r="H27" s="90"/>
      <c r="M27" t="e">
        <f t="shared" si="0"/>
        <v>#REF!</v>
      </c>
      <c r="N27" t="e">
        <f>SUM(#REF!)</f>
        <v>#REF!</v>
      </c>
      <c r="O27" t="e">
        <f>SUM(#REF!)</f>
        <v>#REF!</v>
      </c>
      <c r="Q27" t="e">
        <f t="shared" si="1"/>
        <v>#REF!</v>
      </c>
    </row>
    <row r="28" spans="1:19" x14ac:dyDescent="0.25">
      <c r="A28" s="41"/>
      <c r="B28" s="91">
        <v>123</v>
      </c>
      <c r="C28" s="44"/>
      <c r="D28" s="44"/>
      <c r="E28" s="44"/>
      <c r="F28" s="44"/>
      <c r="G28" s="4"/>
      <c r="H28" s="90"/>
      <c r="M28" t="e">
        <f t="shared" si="0"/>
        <v>#REF!</v>
      </c>
      <c r="N28" t="e">
        <f>SUM(#REF!)</f>
        <v>#REF!</v>
      </c>
      <c r="O28" t="e">
        <f>SUM(#REF!)</f>
        <v>#REF!</v>
      </c>
      <c r="Q28" t="e">
        <f t="shared" si="1"/>
        <v>#REF!</v>
      </c>
    </row>
    <row r="29" spans="1:19" x14ac:dyDescent="0.25">
      <c r="A29" s="41"/>
      <c r="B29" s="91"/>
      <c r="C29" s="44"/>
      <c r="D29" s="44"/>
      <c r="E29" s="44"/>
      <c r="F29" s="44"/>
      <c r="G29" s="4"/>
      <c r="H29" s="90"/>
      <c r="M29" t="e">
        <f t="shared" si="0"/>
        <v>#REF!</v>
      </c>
      <c r="N29" t="e">
        <f>SUM(#REF!)</f>
        <v>#REF!</v>
      </c>
      <c r="O29" t="e">
        <f>SUM(#REF!)</f>
        <v>#REF!</v>
      </c>
      <c r="Q29" t="e">
        <f t="shared" si="1"/>
        <v>#REF!</v>
      </c>
    </row>
    <row r="30" spans="1:19" x14ac:dyDescent="0.25">
      <c r="A30" s="41"/>
      <c r="B30" s="91"/>
      <c r="C30" s="44"/>
      <c r="D30" s="44"/>
      <c r="E30" s="44"/>
      <c r="F30" s="44"/>
      <c r="G30" s="4"/>
      <c r="H30" s="90"/>
      <c r="M30" t="e">
        <f t="shared" si="0"/>
        <v>#REF!</v>
      </c>
      <c r="N30" t="e">
        <f>SUM(#REF!)</f>
        <v>#REF!</v>
      </c>
      <c r="O30" t="e">
        <f>SUM(#REF!)</f>
        <v>#REF!</v>
      </c>
      <c r="Q30" t="e">
        <f t="shared" si="1"/>
        <v>#REF!</v>
      </c>
    </row>
    <row r="31" spans="1:19" x14ac:dyDescent="0.25">
      <c r="A31" s="41"/>
      <c r="B31" s="91"/>
      <c r="C31" s="44"/>
      <c r="D31" s="44"/>
      <c r="E31" s="44"/>
      <c r="F31" s="44"/>
      <c r="G31" s="4"/>
      <c r="H31" s="90"/>
      <c r="M31" t="e">
        <f t="shared" si="0"/>
        <v>#REF!</v>
      </c>
      <c r="N31" t="e">
        <f>SUM(#REF!)</f>
        <v>#REF!</v>
      </c>
      <c r="O31" t="e">
        <f>SUM(#REF!)</f>
        <v>#REF!</v>
      </c>
      <c r="Q31" t="e">
        <f t="shared" si="1"/>
        <v>#REF!</v>
      </c>
    </row>
    <row r="32" spans="1:19" x14ac:dyDescent="0.25">
      <c r="B32" s="92"/>
      <c r="C32" s="4"/>
      <c r="D32" s="4"/>
      <c r="E32" s="4"/>
      <c r="F32" s="4"/>
      <c r="G32" s="4"/>
      <c r="H32" s="90"/>
      <c r="M32" t="e">
        <f t="shared" si="0"/>
        <v>#REF!</v>
      </c>
      <c r="N32" t="e">
        <f>SUM(#REF!)</f>
        <v>#REF!</v>
      </c>
      <c r="O32" t="e">
        <f>SUM(#REF!)</f>
        <v>#REF!</v>
      </c>
      <c r="Q32" t="e">
        <f t="shared" si="1"/>
        <v>#REF!</v>
      </c>
    </row>
    <row r="33" spans="2:17" x14ac:dyDescent="0.25">
      <c r="B33" s="92"/>
      <c r="C33" s="4"/>
      <c r="D33" s="4"/>
      <c r="E33" s="4"/>
      <c r="F33" s="4"/>
      <c r="G33" s="4"/>
      <c r="H33" s="90"/>
      <c r="M33" t="e">
        <f t="shared" si="0"/>
        <v>#REF!</v>
      </c>
      <c r="N33" t="e">
        <f>SUM(#REF!)</f>
        <v>#REF!</v>
      </c>
      <c r="O33" t="e">
        <f>SUM(#REF!)</f>
        <v>#REF!</v>
      </c>
      <c r="Q33" t="e">
        <f t="shared" si="1"/>
        <v>#REF!</v>
      </c>
    </row>
    <row r="34" spans="2:17" ht="15.75" thickBot="1" x14ac:dyDescent="0.3">
      <c r="B34" s="93"/>
      <c r="C34" s="94"/>
      <c r="D34" s="94"/>
      <c r="E34" s="94"/>
      <c r="F34" s="94"/>
      <c r="G34" s="94"/>
      <c r="H34" s="95"/>
      <c r="M34" t="e">
        <f t="shared" si="0"/>
        <v>#REF!</v>
      </c>
      <c r="N34" t="e">
        <f>SUM(#REF!)</f>
        <v>#REF!</v>
      </c>
      <c r="O34" t="e">
        <f>SUM(#REF!)</f>
        <v>#REF!</v>
      </c>
      <c r="Q34" t="e">
        <f t="shared" si="1"/>
        <v>#REF!</v>
      </c>
    </row>
    <row r="35" spans="2:17" x14ac:dyDescent="0.25">
      <c r="M35" t="e">
        <f t="shared" si="0"/>
        <v>#REF!</v>
      </c>
      <c r="N35" t="e">
        <f>SUM(#REF!)</f>
        <v>#REF!</v>
      </c>
      <c r="O35" t="e">
        <f>SUM(#REF!)</f>
        <v>#REF!</v>
      </c>
      <c r="Q35" t="e">
        <f t="shared" si="1"/>
        <v>#REF!</v>
      </c>
    </row>
    <row r="36" spans="2:17" x14ac:dyDescent="0.25">
      <c r="M36" t="e">
        <f t="shared" si="0"/>
        <v>#REF!</v>
      </c>
      <c r="N36" t="e">
        <f>SUM(#REF!)</f>
        <v>#REF!</v>
      </c>
      <c r="O36" t="e">
        <f>SUM(#REF!)</f>
        <v>#REF!</v>
      </c>
      <c r="Q36" t="e">
        <f t="shared" si="1"/>
        <v>#REF!</v>
      </c>
    </row>
    <row r="37" spans="2:17" x14ac:dyDescent="0.25">
      <c r="M37" t="e">
        <f t="shared" si="0"/>
        <v>#REF!</v>
      </c>
      <c r="N37" t="e">
        <f>SUM(#REF!)</f>
        <v>#REF!</v>
      </c>
      <c r="O37" t="e">
        <f>SUM(#REF!)</f>
        <v>#REF!</v>
      </c>
      <c r="Q37" t="e">
        <f t="shared" si="1"/>
        <v>#REF!</v>
      </c>
    </row>
    <row r="38" spans="2:17" x14ac:dyDescent="0.25">
      <c r="M38" t="e">
        <f t="shared" si="0"/>
        <v>#REF!</v>
      </c>
      <c r="N38" t="e">
        <f>SUM(#REF!)</f>
        <v>#REF!</v>
      </c>
      <c r="O38" t="e">
        <f>SUM(#REF!)</f>
        <v>#REF!</v>
      </c>
      <c r="Q38" t="e">
        <f t="shared" si="1"/>
        <v>#REF!</v>
      </c>
    </row>
    <row r="39" spans="2:17" x14ac:dyDescent="0.25">
      <c r="M39" t="e">
        <f t="shared" si="0"/>
        <v>#REF!</v>
      </c>
      <c r="N39" t="e">
        <f>SUM(#REF!)</f>
        <v>#REF!</v>
      </c>
      <c r="O39" t="e">
        <f>SUM(#REF!)</f>
        <v>#REF!</v>
      </c>
      <c r="Q39" t="e">
        <f t="shared" si="1"/>
        <v>#REF!</v>
      </c>
    </row>
    <row r="40" spans="2:17" x14ac:dyDescent="0.25">
      <c r="M40" t="e">
        <f t="shared" si="0"/>
        <v>#REF!</v>
      </c>
      <c r="N40" t="e">
        <f>SUM(#REF!)</f>
        <v>#REF!</v>
      </c>
      <c r="O40" t="e">
        <f>SUM(#REF!)</f>
        <v>#REF!</v>
      </c>
      <c r="Q40" t="e">
        <f t="shared" si="1"/>
        <v>#REF!</v>
      </c>
    </row>
    <row r="41" spans="2:17" x14ac:dyDescent="0.25">
      <c r="M41" t="e">
        <f t="shared" si="0"/>
        <v>#REF!</v>
      </c>
      <c r="N41" t="e">
        <f>SUM(#REF!)</f>
        <v>#REF!</v>
      </c>
      <c r="O41" t="e">
        <f>SUM(#REF!)</f>
        <v>#REF!</v>
      </c>
      <c r="Q41" t="e">
        <f t="shared" si="1"/>
        <v>#REF!</v>
      </c>
    </row>
    <row r="42" spans="2:17" x14ac:dyDescent="0.25">
      <c r="M42" t="e">
        <f t="shared" si="0"/>
        <v>#REF!</v>
      </c>
      <c r="N42" t="e">
        <f>SUM(#REF!)</f>
        <v>#REF!</v>
      </c>
      <c r="O42" t="e">
        <f>SUM(#REF!)</f>
        <v>#REF!</v>
      </c>
      <c r="Q42" t="e">
        <f t="shared" si="1"/>
        <v>#REF!</v>
      </c>
    </row>
    <row r="43" spans="2:17" x14ac:dyDescent="0.25">
      <c r="M43" t="e">
        <f t="shared" si="0"/>
        <v>#REF!</v>
      </c>
      <c r="N43" t="e">
        <f>SUM(#REF!)</f>
        <v>#REF!</v>
      </c>
      <c r="O43" t="e">
        <f>SUM(#REF!)</f>
        <v>#REF!</v>
      </c>
      <c r="Q43" t="e">
        <f t="shared" si="1"/>
        <v>#REF!</v>
      </c>
    </row>
    <row r="44" spans="2:17" x14ac:dyDescent="0.25">
      <c r="M44" t="e">
        <f t="shared" si="0"/>
        <v>#REF!</v>
      </c>
      <c r="N44" t="e">
        <f>SUM(#REF!)</f>
        <v>#REF!</v>
      </c>
      <c r="O44" t="e">
        <f>SUM(#REF!)</f>
        <v>#REF!</v>
      </c>
      <c r="Q44" t="e">
        <f t="shared" si="1"/>
        <v>#REF!</v>
      </c>
    </row>
    <row r="45" spans="2:17" x14ac:dyDescent="0.25">
      <c r="M45" t="e">
        <f t="shared" si="0"/>
        <v>#REF!</v>
      </c>
      <c r="N45" t="e">
        <f>SUM(#REF!)</f>
        <v>#REF!</v>
      </c>
      <c r="O45" t="e">
        <f>SUM(#REF!)</f>
        <v>#REF!</v>
      </c>
      <c r="Q45" t="e">
        <f t="shared" si="1"/>
        <v>#REF!</v>
      </c>
    </row>
    <row r="46" spans="2:17" x14ac:dyDescent="0.25">
      <c r="M46" t="e">
        <f t="shared" si="0"/>
        <v>#REF!</v>
      </c>
      <c r="N46" t="e">
        <f>SUM(#REF!)</f>
        <v>#REF!</v>
      </c>
      <c r="O46" t="e">
        <f>SUM(#REF!)</f>
        <v>#REF!</v>
      </c>
      <c r="Q46" t="e">
        <f t="shared" si="1"/>
        <v>#REF!</v>
      </c>
    </row>
    <row r="47" spans="2:17" x14ac:dyDescent="0.25">
      <c r="M47" t="e">
        <f t="shared" si="0"/>
        <v>#REF!</v>
      </c>
      <c r="N47" t="e">
        <f>SUM(#REF!)</f>
        <v>#REF!</v>
      </c>
      <c r="O47" t="e">
        <f>SUM(#REF!)</f>
        <v>#REF!</v>
      </c>
      <c r="Q47" t="e">
        <f t="shared" si="1"/>
        <v>#REF!</v>
      </c>
    </row>
    <row r="48" spans="2:17" x14ac:dyDescent="0.25">
      <c r="M48" t="e">
        <f t="shared" si="0"/>
        <v>#REF!</v>
      </c>
      <c r="N48" t="e">
        <f>SUM(#REF!)</f>
        <v>#REF!</v>
      </c>
      <c r="O48" t="e">
        <f>SUM(#REF!)</f>
        <v>#REF!</v>
      </c>
      <c r="Q48" t="e">
        <f t="shared" si="1"/>
        <v>#REF!</v>
      </c>
    </row>
    <row r="49" spans="13:17" x14ac:dyDescent="0.25">
      <c r="M49" t="e">
        <f t="shared" si="0"/>
        <v>#REF!</v>
      </c>
      <c r="N49" t="e">
        <f>SUM(#REF!)</f>
        <v>#REF!</v>
      </c>
      <c r="O49" t="e">
        <f>SUM(#REF!)</f>
        <v>#REF!</v>
      </c>
      <c r="Q49" t="e">
        <f t="shared" si="1"/>
        <v>#REF!</v>
      </c>
    </row>
    <row r="50" spans="13:17" x14ac:dyDescent="0.25">
      <c r="M50" t="e">
        <f t="shared" si="0"/>
        <v>#REF!</v>
      </c>
      <c r="N50" t="e">
        <f>SUM(#REF!)</f>
        <v>#REF!</v>
      </c>
      <c r="O50" t="e">
        <f>SUM(#REF!)</f>
        <v>#REF!</v>
      </c>
      <c r="Q50" t="e">
        <f t="shared" si="1"/>
        <v>#REF!</v>
      </c>
    </row>
    <row r="51" spans="13:17" x14ac:dyDescent="0.25">
      <c r="M51" t="e">
        <f t="shared" si="0"/>
        <v>#REF!</v>
      </c>
      <c r="N51" t="e">
        <f>SUM(#REF!)</f>
        <v>#REF!</v>
      </c>
      <c r="O51" t="e">
        <f>SUM(#REF!)</f>
        <v>#REF!</v>
      </c>
      <c r="Q51" t="e">
        <f t="shared" si="1"/>
        <v>#REF!</v>
      </c>
    </row>
  </sheetData>
  <mergeCells count="1">
    <mergeCell ref="B1:H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68F23-71BE-4F92-9EAB-D67A7C2E6573}">
  <dimension ref="A1:K79"/>
  <sheetViews>
    <sheetView topLeftCell="A10" workbookViewId="0">
      <selection activeCell="N36" sqref="N36"/>
    </sheetView>
  </sheetViews>
  <sheetFormatPr defaultRowHeight="15" x14ac:dyDescent="0.25"/>
  <cols>
    <col min="1" max="19" width="12" customWidth="1"/>
  </cols>
  <sheetData>
    <row r="1" spans="1:11" ht="15.75" thickBot="1" x14ac:dyDescent="0.3">
      <c r="A1" s="112"/>
      <c r="B1" s="112"/>
      <c r="C1" s="112"/>
      <c r="D1" s="112"/>
      <c r="E1" s="112"/>
      <c r="F1" s="112"/>
      <c r="G1" s="112"/>
      <c r="H1" s="112"/>
      <c r="I1" s="112"/>
      <c r="J1" s="112"/>
      <c r="K1" s="112"/>
    </row>
    <row r="2" spans="1:11" x14ac:dyDescent="0.25">
      <c r="A2" s="112"/>
      <c r="B2" s="281" t="s">
        <v>99</v>
      </c>
      <c r="C2" s="282"/>
      <c r="D2" s="282"/>
      <c r="E2" s="282"/>
      <c r="F2" s="282"/>
      <c r="G2" s="282"/>
      <c r="H2" s="282"/>
      <c r="I2" s="283"/>
      <c r="J2" s="112"/>
      <c r="K2" s="112"/>
    </row>
    <row r="3" spans="1:11" x14ac:dyDescent="0.25">
      <c r="A3" s="112"/>
      <c r="B3" s="284"/>
      <c r="C3" s="285"/>
      <c r="D3" s="285"/>
      <c r="E3" s="285"/>
      <c r="F3" s="285"/>
      <c r="G3" s="285"/>
      <c r="H3" s="285"/>
      <c r="I3" s="286"/>
      <c r="J3" s="112"/>
      <c r="K3" s="112"/>
    </row>
    <row r="4" spans="1:11" x14ac:dyDescent="0.25">
      <c r="A4" s="112"/>
      <c r="B4" s="284"/>
      <c r="C4" s="285"/>
      <c r="D4" s="285"/>
      <c r="E4" s="285"/>
      <c r="F4" s="285"/>
      <c r="G4" s="285"/>
      <c r="H4" s="285"/>
      <c r="I4" s="286"/>
      <c r="J4" s="112"/>
      <c r="K4" s="112"/>
    </row>
    <row r="5" spans="1:11" ht="15.75" thickBot="1" x14ac:dyDescent="0.3">
      <c r="A5" s="112"/>
      <c r="B5" s="287"/>
      <c r="C5" s="288"/>
      <c r="D5" s="288"/>
      <c r="E5" s="288"/>
      <c r="F5" s="288"/>
      <c r="G5" s="288"/>
      <c r="H5" s="288"/>
      <c r="I5" s="289"/>
      <c r="J5" s="112"/>
      <c r="K5" s="112"/>
    </row>
    <row r="6" spans="1:11" x14ac:dyDescent="0.25">
      <c r="A6" s="112"/>
      <c r="B6" s="112"/>
      <c r="C6" s="112"/>
      <c r="D6" s="112"/>
      <c r="E6" s="112"/>
      <c r="F6" s="112"/>
      <c r="G6" s="112"/>
      <c r="H6" s="112"/>
      <c r="I6" s="112"/>
      <c r="J6" s="112"/>
      <c r="K6" s="112"/>
    </row>
    <row r="7" spans="1:11" x14ac:dyDescent="0.25">
      <c r="A7" s="112"/>
      <c r="B7" s="112"/>
      <c r="C7" s="112"/>
      <c r="D7" s="112"/>
      <c r="E7" s="112"/>
      <c r="F7" s="112"/>
      <c r="G7" s="112"/>
      <c r="H7" s="112"/>
      <c r="I7" s="112"/>
      <c r="J7" s="112"/>
      <c r="K7" s="112"/>
    </row>
    <row r="8" spans="1:11" x14ac:dyDescent="0.25">
      <c r="A8" s="112"/>
      <c r="B8" s="112"/>
      <c r="C8" s="112"/>
      <c r="D8" s="112"/>
      <c r="E8" s="112"/>
      <c r="F8" s="112"/>
      <c r="G8" s="112"/>
      <c r="H8" s="112"/>
      <c r="I8" s="112"/>
      <c r="J8" s="112"/>
      <c r="K8" s="112"/>
    </row>
    <row r="9" spans="1:11" x14ac:dyDescent="0.25">
      <c r="A9" s="112"/>
      <c r="B9" s="112"/>
      <c r="C9" s="112"/>
      <c r="D9" s="112"/>
      <c r="E9" s="112"/>
      <c r="F9" s="112"/>
      <c r="G9" s="112"/>
      <c r="H9" s="112"/>
      <c r="I9" s="112"/>
      <c r="J9" s="112"/>
      <c r="K9" s="112"/>
    </row>
    <row r="10" spans="1:11" x14ac:dyDescent="0.25">
      <c r="A10" s="112"/>
      <c r="B10" s="112"/>
      <c r="C10" s="112"/>
      <c r="D10" s="112"/>
      <c r="E10" s="112"/>
      <c r="F10" s="112"/>
      <c r="G10" s="112"/>
      <c r="H10" s="112"/>
      <c r="I10" s="112"/>
      <c r="J10" s="112"/>
      <c r="K10" s="112"/>
    </row>
    <row r="11" spans="1:11" x14ac:dyDescent="0.25">
      <c r="A11" s="112"/>
      <c r="B11" s="112"/>
      <c r="C11" s="112"/>
      <c r="D11" s="112"/>
      <c r="E11" s="112"/>
      <c r="F11" s="112"/>
      <c r="G11" s="112"/>
      <c r="H11" s="112"/>
      <c r="I11" s="112"/>
      <c r="J11" s="112"/>
      <c r="K11" s="112"/>
    </row>
    <row r="12" spans="1:11" x14ac:dyDescent="0.25">
      <c r="A12" s="112"/>
      <c r="B12" s="112"/>
      <c r="C12" s="112"/>
      <c r="D12" s="112"/>
      <c r="E12" s="112"/>
      <c r="F12" s="112"/>
      <c r="G12" s="112"/>
      <c r="H12" s="112"/>
      <c r="I12" s="112"/>
      <c r="J12" s="112"/>
      <c r="K12" s="112"/>
    </row>
    <row r="13" spans="1:11" x14ac:dyDescent="0.25">
      <c r="A13" s="112"/>
      <c r="B13" s="112"/>
      <c r="C13" s="112"/>
      <c r="D13" s="112"/>
      <c r="E13" s="112"/>
      <c r="F13" s="112"/>
      <c r="G13" s="112"/>
      <c r="H13" s="112"/>
      <c r="I13" s="112"/>
      <c r="J13" s="112"/>
      <c r="K13" s="112"/>
    </row>
    <row r="14" spans="1:11" x14ac:dyDescent="0.25">
      <c r="A14" s="112"/>
      <c r="B14" s="112"/>
      <c r="C14" s="112"/>
      <c r="D14" s="112"/>
      <c r="E14" s="112"/>
      <c r="F14" s="112"/>
      <c r="G14" s="112"/>
      <c r="H14" s="112"/>
      <c r="I14" s="112"/>
      <c r="J14" s="112"/>
      <c r="K14" s="112"/>
    </row>
    <row r="15" spans="1:11" x14ac:dyDescent="0.25">
      <c r="A15" s="112"/>
      <c r="B15" s="112"/>
      <c r="C15" s="112"/>
      <c r="D15" s="112"/>
      <c r="E15" s="112"/>
      <c r="F15" s="112"/>
      <c r="G15" s="112"/>
      <c r="H15" s="112"/>
      <c r="I15" s="112"/>
      <c r="J15" s="112"/>
      <c r="K15" s="112"/>
    </row>
    <row r="16" spans="1:11" x14ac:dyDescent="0.25">
      <c r="A16" s="112"/>
      <c r="B16" s="112"/>
      <c r="C16" s="112"/>
      <c r="D16" s="112"/>
      <c r="E16" s="112"/>
      <c r="F16" s="112"/>
      <c r="G16" s="112"/>
      <c r="H16" s="112"/>
      <c r="I16" s="112"/>
      <c r="J16" s="112"/>
      <c r="K16" s="112"/>
    </row>
    <row r="17" spans="1:11" x14ac:dyDescent="0.25">
      <c r="A17" s="112"/>
      <c r="B17" s="112"/>
      <c r="C17" s="112"/>
      <c r="D17" s="112"/>
      <c r="E17" s="112"/>
      <c r="F17" s="112"/>
      <c r="G17" s="112"/>
      <c r="H17" s="112"/>
      <c r="I17" s="112"/>
      <c r="J17" s="112"/>
      <c r="K17" s="112"/>
    </row>
    <row r="18" spans="1:11" ht="15.75" thickBot="1" x14ac:dyDescent="0.3">
      <c r="A18" s="112"/>
      <c r="B18" s="112"/>
      <c r="C18" s="112"/>
      <c r="D18" s="112"/>
      <c r="E18" s="112"/>
      <c r="F18" s="112"/>
      <c r="G18" s="112"/>
      <c r="H18" s="112"/>
      <c r="I18" s="112"/>
      <c r="J18" s="112"/>
      <c r="K18" s="112"/>
    </row>
    <row r="19" spans="1:11" ht="15.75" customHeight="1" x14ac:dyDescent="0.25">
      <c r="A19" s="112"/>
      <c r="B19" s="290" t="s">
        <v>103</v>
      </c>
      <c r="C19" s="291"/>
      <c r="D19" s="291"/>
      <c r="E19" s="291"/>
      <c r="F19" s="291"/>
      <c r="G19" s="291"/>
      <c r="H19" s="291"/>
      <c r="I19" s="292"/>
      <c r="J19" s="112"/>
      <c r="K19" s="112"/>
    </row>
    <row r="20" spans="1:11" ht="15.75" thickBot="1" x14ac:dyDescent="0.3">
      <c r="A20" s="112"/>
      <c r="B20" s="293"/>
      <c r="C20" s="294"/>
      <c r="D20" s="294"/>
      <c r="E20" s="294"/>
      <c r="F20" s="294"/>
      <c r="G20" s="294"/>
      <c r="H20" s="294"/>
      <c r="I20" s="295"/>
      <c r="J20" s="112"/>
      <c r="K20" s="112"/>
    </row>
    <row r="21" spans="1:11" ht="15.75" thickBot="1" x14ac:dyDescent="0.3">
      <c r="A21" s="112"/>
      <c r="B21" s="14"/>
      <c r="C21" s="14"/>
      <c r="D21" s="14"/>
      <c r="E21" s="14"/>
      <c r="F21" s="14"/>
      <c r="G21" s="14"/>
      <c r="H21" s="14"/>
      <c r="I21" s="14"/>
      <c r="J21" s="112"/>
      <c r="K21" s="112"/>
    </row>
    <row r="22" spans="1:11" x14ac:dyDescent="0.25">
      <c r="A22" s="112"/>
      <c r="B22" s="281" t="s">
        <v>98</v>
      </c>
      <c r="C22" s="282"/>
      <c r="D22" s="282"/>
      <c r="E22" s="282"/>
      <c r="F22" s="282"/>
      <c r="G22" s="282"/>
      <c r="H22" s="282"/>
      <c r="I22" s="283"/>
      <c r="J22" s="112"/>
      <c r="K22" s="112"/>
    </row>
    <row r="23" spans="1:11" x14ac:dyDescent="0.25">
      <c r="A23" s="112"/>
      <c r="B23" s="284"/>
      <c r="C23" s="285"/>
      <c r="D23" s="285"/>
      <c r="E23" s="285"/>
      <c r="F23" s="285"/>
      <c r="G23" s="285"/>
      <c r="H23" s="285"/>
      <c r="I23" s="286"/>
      <c r="J23" s="112"/>
      <c r="K23" s="112"/>
    </row>
    <row r="24" spans="1:11" x14ac:dyDescent="0.25">
      <c r="A24" s="112"/>
      <c r="B24" s="284"/>
      <c r="C24" s="285"/>
      <c r="D24" s="285"/>
      <c r="E24" s="285"/>
      <c r="F24" s="285"/>
      <c r="G24" s="285"/>
      <c r="H24" s="285"/>
      <c r="I24" s="286"/>
      <c r="J24" s="112"/>
      <c r="K24" s="112"/>
    </row>
    <row r="25" spans="1:11" ht="15.75" thickBot="1" x14ac:dyDescent="0.3">
      <c r="A25" s="112"/>
      <c r="B25" s="287"/>
      <c r="C25" s="288"/>
      <c r="D25" s="288"/>
      <c r="E25" s="288"/>
      <c r="F25" s="288"/>
      <c r="G25" s="288"/>
      <c r="H25" s="288"/>
      <c r="I25" s="289"/>
      <c r="J25" s="112"/>
      <c r="K25" s="112"/>
    </row>
    <row r="26" spans="1:11" x14ac:dyDescent="0.25">
      <c r="A26" s="112"/>
      <c r="B26" s="112"/>
      <c r="C26" s="112"/>
      <c r="D26" s="112"/>
      <c r="E26" s="112"/>
      <c r="F26" s="112"/>
      <c r="G26" s="112"/>
      <c r="H26" s="112"/>
      <c r="I26" s="112"/>
      <c r="J26" s="112"/>
      <c r="K26" s="112"/>
    </row>
    <row r="27" spans="1:11" x14ac:dyDescent="0.25">
      <c r="A27" s="112"/>
      <c r="B27" s="112"/>
      <c r="C27" s="112"/>
      <c r="D27" s="112"/>
      <c r="E27" s="112"/>
      <c r="F27" s="112"/>
      <c r="G27" s="112"/>
      <c r="H27" s="112"/>
      <c r="I27" s="112"/>
      <c r="J27" s="112"/>
      <c r="K27" s="112"/>
    </row>
    <row r="28" spans="1:11" x14ac:dyDescent="0.25">
      <c r="A28" s="112"/>
      <c r="B28" s="112"/>
      <c r="C28" s="112"/>
      <c r="D28" s="112"/>
      <c r="E28" s="112"/>
      <c r="F28" s="112"/>
      <c r="G28" s="112"/>
      <c r="H28" s="112"/>
      <c r="I28" s="112"/>
      <c r="J28" s="112"/>
      <c r="K28" s="112"/>
    </row>
    <row r="29" spans="1:11" x14ac:dyDescent="0.25">
      <c r="A29" s="112"/>
      <c r="B29" s="112"/>
      <c r="C29" s="112"/>
      <c r="D29" s="112"/>
      <c r="E29" s="112"/>
      <c r="F29" s="112"/>
      <c r="G29" s="112"/>
      <c r="H29" s="112"/>
      <c r="I29" s="112"/>
      <c r="J29" s="112"/>
      <c r="K29" s="112"/>
    </row>
    <row r="30" spans="1:11" x14ac:dyDescent="0.25">
      <c r="A30" s="112"/>
      <c r="B30" s="112"/>
      <c r="C30" s="112"/>
      <c r="D30" s="112"/>
      <c r="E30" s="112"/>
      <c r="F30" s="112"/>
      <c r="G30" s="112"/>
      <c r="H30" s="112"/>
      <c r="I30" s="112"/>
      <c r="J30" s="112"/>
      <c r="K30" s="112"/>
    </row>
    <row r="31" spans="1:11" x14ac:dyDescent="0.25">
      <c r="A31" s="112"/>
      <c r="B31" s="112"/>
      <c r="C31" s="112"/>
      <c r="D31" s="112"/>
      <c r="E31" s="112"/>
      <c r="F31" s="112"/>
      <c r="G31" s="112"/>
      <c r="H31" s="112"/>
      <c r="I31" s="112"/>
      <c r="J31" s="112"/>
      <c r="K31" s="112"/>
    </row>
    <row r="32" spans="1:11" x14ac:dyDescent="0.25">
      <c r="A32" s="112"/>
      <c r="B32" s="112"/>
      <c r="C32" s="112"/>
      <c r="D32" s="112"/>
      <c r="E32" s="112"/>
      <c r="F32" s="112"/>
      <c r="G32" s="112"/>
      <c r="H32" s="112"/>
      <c r="I32" s="112"/>
      <c r="J32" s="112"/>
      <c r="K32" s="112"/>
    </row>
    <row r="33" spans="1:11" x14ac:dyDescent="0.25">
      <c r="A33" s="112"/>
      <c r="B33" s="112"/>
      <c r="C33" s="112"/>
      <c r="D33" s="112"/>
      <c r="E33" s="112"/>
      <c r="F33" s="112"/>
      <c r="G33" s="112"/>
      <c r="H33" s="112"/>
      <c r="I33" s="112"/>
      <c r="J33" s="112"/>
      <c r="K33" s="112"/>
    </row>
    <row r="34" spans="1:11" x14ac:dyDescent="0.25">
      <c r="A34" s="112"/>
      <c r="B34" s="112"/>
      <c r="C34" s="112"/>
      <c r="D34" s="112"/>
      <c r="E34" s="112"/>
      <c r="F34" s="112"/>
      <c r="G34" s="112"/>
      <c r="H34" s="112"/>
      <c r="I34" s="112"/>
      <c r="J34" s="112"/>
      <c r="K34" s="112"/>
    </row>
    <row r="35" spans="1:11" x14ac:dyDescent="0.25">
      <c r="A35" s="112"/>
      <c r="B35" s="112"/>
      <c r="C35" s="112"/>
      <c r="D35" s="112"/>
      <c r="E35" s="112"/>
      <c r="F35" s="112"/>
      <c r="G35" s="112"/>
      <c r="H35" s="112"/>
      <c r="I35" s="112"/>
      <c r="J35" s="112"/>
      <c r="K35" s="112"/>
    </row>
    <row r="36" spans="1:11" x14ac:dyDescent="0.25">
      <c r="A36" s="112"/>
      <c r="B36" s="112"/>
      <c r="C36" s="112"/>
      <c r="D36" s="112"/>
      <c r="E36" s="112"/>
      <c r="F36" s="112"/>
      <c r="G36" s="112"/>
      <c r="H36" s="112"/>
      <c r="I36" s="112"/>
      <c r="J36" s="112"/>
      <c r="K36" s="112"/>
    </row>
    <row r="37" spans="1:11" x14ac:dyDescent="0.25">
      <c r="A37" s="112"/>
      <c r="B37" s="112"/>
      <c r="C37" s="112"/>
      <c r="D37" s="112"/>
      <c r="E37" s="112"/>
      <c r="F37" s="112"/>
      <c r="G37" s="112"/>
      <c r="H37" s="112"/>
      <c r="I37" s="112"/>
      <c r="J37" s="112"/>
      <c r="K37" s="112"/>
    </row>
    <row r="38" spans="1:11" x14ac:dyDescent="0.25">
      <c r="A38" s="112"/>
      <c r="B38" s="112"/>
      <c r="C38" s="112"/>
      <c r="D38" s="112"/>
      <c r="E38" s="112"/>
      <c r="F38" s="112"/>
      <c r="G38" s="112"/>
      <c r="H38" s="112"/>
      <c r="I38" s="112"/>
      <c r="J38" s="112"/>
      <c r="K38" s="112"/>
    </row>
    <row r="39" spans="1:11" x14ac:dyDescent="0.25">
      <c r="A39" s="112"/>
      <c r="B39" s="112"/>
      <c r="C39" s="112"/>
      <c r="D39" s="112"/>
      <c r="E39" s="112"/>
      <c r="F39" s="112"/>
      <c r="G39" s="112"/>
      <c r="H39" s="112"/>
      <c r="I39" s="112"/>
      <c r="J39" s="112"/>
      <c r="K39" s="112"/>
    </row>
    <row r="40" spans="1:11" x14ac:dyDescent="0.25">
      <c r="A40" s="112"/>
      <c r="B40" s="112"/>
      <c r="C40" s="112"/>
      <c r="D40" s="112"/>
      <c r="E40" s="112"/>
      <c r="F40" s="112"/>
      <c r="G40" s="112"/>
      <c r="H40" s="112"/>
      <c r="I40" s="112"/>
      <c r="J40" s="112"/>
      <c r="K40" s="112"/>
    </row>
    <row r="41" spans="1:11" x14ac:dyDescent="0.25">
      <c r="A41" s="112"/>
      <c r="B41" s="112"/>
      <c r="C41" s="112"/>
      <c r="D41" s="112"/>
      <c r="E41" s="112"/>
      <c r="F41" s="112"/>
      <c r="G41" s="112"/>
      <c r="H41" s="112"/>
      <c r="I41" s="112"/>
      <c r="J41" s="112"/>
      <c r="K41" s="112"/>
    </row>
    <row r="42" spans="1:11" x14ac:dyDescent="0.25">
      <c r="A42" s="112"/>
      <c r="B42" s="112"/>
      <c r="C42" s="112"/>
      <c r="D42" s="112"/>
      <c r="E42" s="112"/>
      <c r="F42" s="112"/>
      <c r="G42" s="112"/>
      <c r="H42" s="112"/>
      <c r="I42" s="112"/>
      <c r="J42" s="112"/>
      <c r="K42" s="112"/>
    </row>
    <row r="43" spans="1:11" ht="15.75" thickBot="1" x14ac:dyDescent="0.3">
      <c r="A43" s="112"/>
      <c r="B43" s="112"/>
      <c r="C43" s="112"/>
      <c r="D43" s="112"/>
      <c r="E43" s="112"/>
      <c r="F43" s="112"/>
      <c r="G43" s="112"/>
      <c r="H43" s="112"/>
      <c r="I43" s="112"/>
      <c r="J43" s="112"/>
      <c r="K43" s="112"/>
    </row>
    <row r="44" spans="1:11" x14ac:dyDescent="0.25">
      <c r="A44" s="112"/>
      <c r="B44" s="281" t="s">
        <v>100</v>
      </c>
      <c r="C44" s="282"/>
      <c r="D44" s="282"/>
      <c r="E44" s="282"/>
      <c r="F44" s="282"/>
      <c r="G44" s="282"/>
      <c r="H44" s="282"/>
      <c r="I44" s="283"/>
      <c r="J44" s="112"/>
      <c r="K44" s="112"/>
    </row>
    <row r="45" spans="1:11" x14ac:dyDescent="0.25">
      <c r="A45" s="112"/>
      <c r="B45" s="284"/>
      <c r="C45" s="285"/>
      <c r="D45" s="285"/>
      <c r="E45" s="285"/>
      <c r="F45" s="285"/>
      <c r="G45" s="285"/>
      <c r="H45" s="285"/>
      <c r="I45" s="286"/>
      <c r="J45" s="112"/>
      <c r="K45" s="112"/>
    </row>
    <row r="46" spans="1:11" x14ac:dyDescent="0.25">
      <c r="A46" s="112"/>
      <c r="B46" s="284"/>
      <c r="C46" s="285"/>
      <c r="D46" s="285"/>
      <c r="E46" s="285"/>
      <c r="F46" s="285"/>
      <c r="G46" s="285"/>
      <c r="H46" s="285"/>
      <c r="I46" s="286"/>
      <c r="J46" s="112"/>
      <c r="K46" s="112"/>
    </row>
    <row r="47" spans="1:11" ht="15.75" thickBot="1" x14ac:dyDescent="0.3">
      <c r="A47" s="112"/>
      <c r="B47" s="287"/>
      <c r="C47" s="288"/>
      <c r="D47" s="288"/>
      <c r="E47" s="288"/>
      <c r="F47" s="288"/>
      <c r="G47" s="288"/>
      <c r="H47" s="288"/>
      <c r="I47" s="289"/>
      <c r="J47" s="112"/>
      <c r="K47" s="112"/>
    </row>
    <row r="48" spans="1:11" x14ac:dyDescent="0.25">
      <c r="A48" s="112"/>
      <c r="B48" s="112"/>
      <c r="C48" s="112"/>
      <c r="D48" s="112"/>
      <c r="E48" s="112"/>
      <c r="F48" s="112"/>
      <c r="G48" s="112"/>
      <c r="H48" s="112"/>
      <c r="I48" s="112"/>
      <c r="J48" s="112"/>
      <c r="K48" s="112"/>
    </row>
    <row r="49" spans="1:11" x14ac:dyDescent="0.25">
      <c r="A49" s="112"/>
      <c r="B49" s="112"/>
      <c r="C49" s="112"/>
      <c r="D49" s="112"/>
      <c r="E49" s="112"/>
      <c r="F49" s="112"/>
      <c r="G49" s="112"/>
      <c r="H49" s="112"/>
      <c r="I49" s="112"/>
      <c r="J49" s="112"/>
      <c r="K49" s="112"/>
    </row>
    <row r="50" spans="1:11" x14ac:dyDescent="0.25">
      <c r="A50" s="112"/>
      <c r="B50" s="112"/>
      <c r="C50" s="112"/>
      <c r="D50" s="112"/>
      <c r="E50" s="112"/>
      <c r="F50" s="112"/>
      <c r="G50" s="112"/>
      <c r="H50" s="112"/>
      <c r="I50" s="112"/>
      <c r="J50" s="112"/>
      <c r="K50" s="112"/>
    </row>
    <row r="51" spans="1:11" x14ac:dyDescent="0.25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</row>
    <row r="52" spans="1:11" x14ac:dyDescent="0.25">
      <c r="A52" s="112"/>
      <c r="B52" s="112"/>
      <c r="C52" s="112"/>
      <c r="D52" s="112"/>
      <c r="E52" s="112"/>
      <c r="F52" s="112"/>
      <c r="G52" s="112"/>
      <c r="H52" s="112"/>
      <c r="I52" s="112"/>
      <c r="J52" s="112"/>
      <c r="K52" s="112"/>
    </row>
    <row r="53" spans="1:11" x14ac:dyDescent="0.25">
      <c r="A53" s="112"/>
      <c r="B53" s="112"/>
      <c r="C53" s="112"/>
      <c r="D53" s="112"/>
      <c r="E53" s="112"/>
      <c r="F53" s="112"/>
      <c r="G53" s="112"/>
      <c r="H53" s="112"/>
      <c r="I53" s="112"/>
      <c r="J53" s="112"/>
      <c r="K53" s="112"/>
    </row>
    <row r="54" spans="1:11" x14ac:dyDescent="0.25">
      <c r="A54" s="112"/>
      <c r="B54" s="112"/>
      <c r="C54" s="112"/>
      <c r="D54" s="112"/>
      <c r="E54" s="112"/>
      <c r="F54" s="112"/>
      <c r="G54" s="112"/>
      <c r="H54" s="112"/>
      <c r="I54" s="112"/>
      <c r="J54" s="112"/>
      <c r="K54" s="112"/>
    </row>
    <row r="55" spans="1:11" x14ac:dyDescent="0.25">
      <c r="A55" s="112"/>
      <c r="B55" s="112"/>
      <c r="C55" s="112"/>
      <c r="D55" s="112"/>
      <c r="E55" s="112"/>
      <c r="F55" s="112"/>
      <c r="G55" s="112"/>
      <c r="H55" s="112"/>
      <c r="I55" s="112"/>
      <c r="J55" s="112"/>
      <c r="K55" s="112"/>
    </row>
    <row r="56" spans="1:11" x14ac:dyDescent="0.25">
      <c r="A56" s="112"/>
      <c r="B56" s="112"/>
      <c r="C56" s="112"/>
      <c r="D56" s="112"/>
      <c r="E56" s="112"/>
      <c r="F56" s="112"/>
      <c r="G56" s="112"/>
      <c r="H56" s="112"/>
      <c r="I56" s="112"/>
      <c r="J56" s="112"/>
      <c r="K56" s="112"/>
    </row>
    <row r="57" spans="1:11" x14ac:dyDescent="0.25">
      <c r="A57" s="112"/>
      <c r="B57" s="112"/>
      <c r="C57" s="112"/>
      <c r="D57" s="112"/>
      <c r="E57" s="112"/>
      <c r="F57" s="112"/>
      <c r="G57" s="112"/>
      <c r="H57" s="112"/>
      <c r="I57" s="112"/>
      <c r="J57" s="112"/>
      <c r="K57" s="112"/>
    </row>
    <row r="58" spans="1:11" x14ac:dyDescent="0.25">
      <c r="A58" s="112"/>
      <c r="B58" s="112"/>
      <c r="C58" s="112"/>
      <c r="D58" s="112"/>
      <c r="E58" s="112"/>
      <c r="F58" s="112"/>
      <c r="G58" s="112"/>
      <c r="H58" s="112"/>
      <c r="I58" s="112"/>
      <c r="J58" s="112"/>
      <c r="K58" s="112"/>
    </row>
    <row r="59" spans="1:11" x14ac:dyDescent="0.25">
      <c r="A59" s="112"/>
      <c r="B59" s="112"/>
      <c r="C59" s="112"/>
      <c r="D59" s="112"/>
      <c r="E59" s="112"/>
      <c r="F59" s="112"/>
      <c r="G59" s="112"/>
      <c r="H59" s="112"/>
      <c r="I59" s="112"/>
      <c r="J59" s="112"/>
      <c r="K59" s="112"/>
    </row>
    <row r="60" spans="1:11" x14ac:dyDescent="0.25">
      <c r="A60" s="112"/>
      <c r="B60" s="112"/>
      <c r="C60" s="112"/>
      <c r="D60" s="112"/>
      <c r="E60" s="112"/>
      <c r="F60" s="112"/>
      <c r="G60" s="112"/>
      <c r="H60" s="112"/>
      <c r="I60" s="112"/>
      <c r="J60" s="112"/>
      <c r="K60" s="112"/>
    </row>
    <row r="61" spans="1:11" x14ac:dyDescent="0.25">
      <c r="A61" s="112"/>
      <c r="B61" s="112"/>
      <c r="C61" s="112"/>
      <c r="D61" s="112"/>
      <c r="E61" s="112"/>
      <c r="F61" s="112"/>
      <c r="G61" s="112"/>
      <c r="H61" s="112"/>
      <c r="I61" s="112"/>
      <c r="J61" s="112"/>
      <c r="K61" s="112"/>
    </row>
    <row r="62" spans="1:11" x14ac:dyDescent="0.25">
      <c r="A62" s="112"/>
      <c r="B62" s="112"/>
      <c r="C62" s="112"/>
      <c r="D62" s="112"/>
      <c r="E62" s="112"/>
      <c r="F62" s="112"/>
      <c r="G62" s="112"/>
      <c r="H62" s="112"/>
      <c r="I62" s="112"/>
      <c r="J62" s="112"/>
      <c r="K62" s="112"/>
    </row>
    <row r="63" spans="1:11" x14ac:dyDescent="0.25">
      <c r="A63" s="112"/>
      <c r="B63" s="112"/>
      <c r="C63" s="112"/>
      <c r="D63" s="112"/>
      <c r="E63" s="112"/>
      <c r="F63" s="112"/>
      <c r="G63" s="112"/>
      <c r="H63" s="112"/>
      <c r="I63" s="112"/>
      <c r="J63" s="112"/>
      <c r="K63" s="112"/>
    </row>
    <row r="64" spans="1:11" ht="15.75" thickBot="1" x14ac:dyDescent="0.3">
      <c r="A64" s="112"/>
      <c r="B64" s="112"/>
      <c r="C64" s="112"/>
      <c r="D64" s="112"/>
      <c r="E64" s="112"/>
      <c r="F64" s="112"/>
      <c r="G64" s="112"/>
      <c r="H64" s="112"/>
      <c r="I64" s="112"/>
      <c r="J64" s="112"/>
      <c r="K64" s="112"/>
    </row>
    <row r="65" spans="1:11" x14ac:dyDescent="0.25">
      <c r="A65" s="112"/>
      <c r="B65" s="281" t="s">
        <v>102</v>
      </c>
      <c r="C65" s="282"/>
      <c r="D65" s="282"/>
      <c r="E65" s="282"/>
      <c r="F65" s="282"/>
      <c r="G65" s="282"/>
      <c r="H65" s="282"/>
      <c r="I65" s="283"/>
      <c r="J65" s="112"/>
      <c r="K65" s="112"/>
    </row>
    <row r="66" spans="1:11" x14ac:dyDescent="0.25">
      <c r="A66" s="112"/>
      <c r="B66" s="284"/>
      <c r="C66" s="285"/>
      <c r="D66" s="285"/>
      <c r="E66" s="285"/>
      <c r="F66" s="285"/>
      <c r="G66" s="285"/>
      <c r="H66" s="285"/>
      <c r="I66" s="286"/>
      <c r="J66" s="112"/>
      <c r="K66" s="112"/>
    </row>
    <row r="67" spans="1:11" x14ac:dyDescent="0.25">
      <c r="A67" s="112"/>
      <c r="B67" s="284"/>
      <c r="C67" s="285"/>
      <c r="D67" s="285"/>
      <c r="E67" s="285"/>
      <c r="F67" s="285"/>
      <c r="G67" s="285"/>
      <c r="H67" s="285"/>
      <c r="I67" s="286"/>
      <c r="J67" s="112"/>
      <c r="K67" s="112"/>
    </row>
    <row r="68" spans="1:11" ht="15.75" thickBot="1" x14ac:dyDescent="0.3">
      <c r="A68" s="112"/>
      <c r="B68" s="287"/>
      <c r="C68" s="288"/>
      <c r="D68" s="288"/>
      <c r="E68" s="288"/>
      <c r="F68" s="288"/>
      <c r="G68" s="288"/>
      <c r="H68" s="288"/>
      <c r="I68" s="289"/>
      <c r="J68" s="112"/>
      <c r="K68" s="112"/>
    </row>
    <row r="69" spans="1:11" x14ac:dyDescent="0.25">
      <c r="A69" s="112"/>
      <c r="B69" s="112"/>
      <c r="C69" s="112"/>
      <c r="D69" s="112"/>
      <c r="E69" s="112"/>
      <c r="F69" s="112"/>
      <c r="G69" s="112"/>
      <c r="H69" s="112"/>
      <c r="I69" s="112"/>
      <c r="J69" s="112"/>
      <c r="K69" s="112"/>
    </row>
    <row r="70" spans="1:11" x14ac:dyDescent="0.25">
      <c r="A70" s="112"/>
      <c r="B70" s="112"/>
      <c r="C70" s="112"/>
      <c r="D70" s="112"/>
      <c r="E70" s="112"/>
      <c r="F70" s="112"/>
      <c r="G70" s="112"/>
      <c r="H70" s="112"/>
      <c r="I70" s="112"/>
      <c r="J70" s="112"/>
      <c r="K70" s="112"/>
    </row>
    <row r="71" spans="1:11" x14ac:dyDescent="0.25">
      <c r="A71" s="112"/>
      <c r="B71" s="112"/>
      <c r="C71" s="112"/>
      <c r="D71" s="112"/>
      <c r="E71" s="112"/>
      <c r="F71" s="112"/>
      <c r="G71" s="112"/>
      <c r="H71" s="112"/>
      <c r="I71" s="112"/>
      <c r="J71" s="112"/>
      <c r="K71" s="112"/>
    </row>
    <row r="72" spans="1:11" x14ac:dyDescent="0.25">
      <c r="A72" s="112"/>
      <c r="B72" s="112"/>
      <c r="C72" s="112"/>
      <c r="D72" s="112"/>
      <c r="E72" s="112"/>
      <c r="F72" s="112"/>
      <c r="G72" s="112"/>
      <c r="H72" s="112"/>
      <c r="I72" s="112"/>
      <c r="J72" s="112"/>
      <c r="K72" s="112"/>
    </row>
    <row r="73" spans="1:11" ht="15.75" thickBot="1" x14ac:dyDescent="0.3">
      <c r="A73" s="112"/>
      <c r="B73" s="112"/>
      <c r="C73" s="112"/>
      <c r="D73" s="112"/>
      <c r="E73" s="112"/>
      <c r="F73" s="112"/>
      <c r="G73" s="112"/>
      <c r="H73" s="112"/>
      <c r="I73" s="112"/>
      <c r="J73" s="112"/>
      <c r="K73" s="112"/>
    </row>
    <row r="74" spans="1:11" x14ac:dyDescent="0.25">
      <c r="A74" s="112"/>
      <c r="B74" s="281" t="s">
        <v>101</v>
      </c>
      <c r="C74" s="282"/>
      <c r="D74" s="282"/>
      <c r="E74" s="282"/>
      <c r="F74" s="282"/>
      <c r="G74" s="282"/>
      <c r="H74" s="282"/>
      <c r="I74" s="283"/>
      <c r="J74" s="112"/>
      <c r="K74" s="112"/>
    </row>
    <row r="75" spans="1:11" x14ac:dyDescent="0.25">
      <c r="A75" s="112"/>
      <c r="B75" s="284"/>
      <c r="C75" s="285"/>
      <c r="D75" s="285"/>
      <c r="E75" s="285"/>
      <c r="F75" s="285"/>
      <c r="G75" s="285"/>
      <c r="H75" s="285"/>
      <c r="I75" s="286"/>
      <c r="J75" s="112"/>
      <c r="K75" s="112"/>
    </row>
    <row r="76" spans="1:11" x14ac:dyDescent="0.25">
      <c r="A76" s="112"/>
      <c r="B76" s="284"/>
      <c r="C76" s="285"/>
      <c r="D76" s="285"/>
      <c r="E76" s="285"/>
      <c r="F76" s="285"/>
      <c r="G76" s="285"/>
      <c r="H76" s="285"/>
      <c r="I76" s="286"/>
      <c r="J76" s="112"/>
      <c r="K76" s="112"/>
    </row>
    <row r="77" spans="1:11" ht="15.75" thickBot="1" x14ac:dyDescent="0.3">
      <c r="A77" s="112"/>
      <c r="B77" s="287"/>
      <c r="C77" s="288"/>
      <c r="D77" s="288"/>
      <c r="E77" s="288"/>
      <c r="F77" s="288"/>
      <c r="G77" s="288"/>
      <c r="H77" s="288"/>
      <c r="I77" s="289"/>
      <c r="J77" s="112"/>
      <c r="K77" s="112"/>
    </row>
    <row r="78" spans="1:11" x14ac:dyDescent="0.25">
      <c r="A78" s="112"/>
      <c r="B78" s="112"/>
      <c r="C78" s="112"/>
      <c r="D78" s="112"/>
      <c r="E78" s="112"/>
      <c r="F78" s="112"/>
      <c r="G78" s="112"/>
      <c r="H78" s="112"/>
      <c r="I78" s="112"/>
      <c r="J78" s="112"/>
      <c r="K78" s="112"/>
    </row>
    <row r="79" spans="1:11" x14ac:dyDescent="0.25">
      <c r="A79" s="112"/>
      <c r="B79" s="112"/>
      <c r="C79" s="112"/>
      <c r="D79" s="112"/>
      <c r="E79" s="112"/>
      <c r="F79" s="112"/>
      <c r="G79" s="112"/>
      <c r="H79" s="112"/>
      <c r="I79" s="112"/>
      <c r="J79" s="112"/>
      <c r="K79" s="112"/>
    </row>
  </sheetData>
  <mergeCells count="6">
    <mergeCell ref="B22:I25"/>
    <mergeCell ref="B2:I5"/>
    <mergeCell ref="B44:I47"/>
    <mergeCell ref="B74:I77"/>
    <mergeCell ref="B65:I68"/>
    <mergeCell ref="B19:I20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Borrowers3</vt:lpstr>
      <vt:lpstr>Borrowers2</vt:lpstr>
      <vt:lpstr>Home</vt:lpstr>
      <vt:lpstr>Overview</vt:lpstr>
      <vt:lpstr>Savings2</vt:lpstr>
      <vt:lpstr>Savings</vt:lpstr>
      <vt:lpstr>Borrowers</vt:lpstr>
      <vt:lpstr>Revenues</vt:lpstr>
      <vt:lpstr>data</vt:lpstr>
      <vt:lpstr>Process 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balaguer</dc:creator>
  <cp:lastModifiedBy>Balaguer, Ryan</cp:lastModifiedBy>
  <dcterms:created xsi:type="dcterms:W3CDTF">2018-06-26T02:33:31Z</dcterms:created>
  <dcterms:modified xsi:type="dcterms:W3CDTF">2025-05-12T04:26:55Z</dcterms:modified>
</cp:coreProperties>
</file>