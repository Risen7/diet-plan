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13_ncr:1_{516FA90D-BB8B-4908-80D5-09BA0AF3123B}" xr6:coauthVersionLast="47" xr6:coauthVersionMax="47" xr10:uidLastSave="{00000000-0000-0000-0000-000000000000}"/>
  <bookViews>
    <workbookView xWindow="-120" yWindow="-120" windowWidth="24240" windowHeight="13020" tabRatio="593" xr2:uid="{00000000-000D-0000-FFFF-FFFF00000000}"/>
  </bookViews>
  <sheets>
    <sheet name="Borrowers3" sheetId="12" r:id="rId1"/>
    <sheet name="Borrowers2" sheetId="9" r:id="rId2"/>
    <sheet name="Home" sheetId="1" r:id="rId3"/>
    <sheet name="Overview" sheetId="8" r:id="rId4"/>
    <sheet name="Savings2" sheetId="10" r:id="rId5"/>
    <sheet name="Savings" sheetId="2" r:id="rId6"/>
    <sheet name="Borrowers" sheetId="4" r:id="rId7"/>
    <sheet name="Revenues" sheetId="5" r:id="rId8"/>
    <sheet name="data" sheetId="7" r:id="rId9"/>
    <sheet name="Process Flow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9" i="12" l="1"/>
  <c r="C103" i="12" s="1"/>
  <c r="H3" i="12"/>
  <c r="M14" i="12"/>
  <c r="M12" i="12"/>
  <c r="M10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D12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3" i="12"/>
  <c r="D14" i="12" s="1"/>
  <c r="D15" i="12" s="1"/>
  <c r="D16" i="12" s="1"/>
  <c r="D17" i="12" s="1"/>
  <c r="D18" i="12" s="1"/>
  <c r="J11" i="12"/>
  <c r="J12" i="12" s="1"/>
  <c r="J13" i="12" s="1"/>
  <c r="D11" i="12"/>
  <c r="B3" i="12"/>
  <c r="H6" i="12"/>
  <c r="I3" i="12"/>
  <c r="G3" i="12"/>
  <c r="B6" i="12"/>
  <c r="C101" i="12"/>
  <c r="C3" i="12"/>
  <c r="F148" i="12"/>
  <c r="H148" i="12" s="1"/>
  <c r="D148" i="12" s="1"/>
  <c r="E148" i="12"/>
  <c r="C148" i="12"/>
  <c r="F147" i="12"/>
  <c r="H147" i="12" s="1"/>
  <c r="D147" i="12" s="1"/>
  <c r="E147" i="12"/>
  <c r="C147" i="12"/>
  <c r="F146" i="12"/>
  <c r="H146" i="12" s="1"/>
  <c r="D146" i="12" s="1"/>
  <c r="E146" i="12"/>
  <c r="C146" i="12"/>
  <c r="H145" i="12"/>
  <c r="F145" i="12"/>
  <c r="E145" i="12"/>
  <c r="D145" i="12"/>
  <c r="C145" i="12"/>
  <c r="H144" i="12"/>
  <c r="D144" i="12" s="1"/>
  <c r="F144" i="12"/>
  <c r="E144" i="12"/>
  <c r="C144" i="12"/>
  <c r="H143" i="12"/>
  <c r="F143" i="12"/>
  <c r="E143" i="12"/>
  <c r="D143" i="12" s="1"/>
  <c r="C143" i="12"/>
  <c r="H142" i="12"/>
  <c r="F142" i="12"/>
  <c r="E142" i="12"/>
  <c r="D142" i="12" s="1"/>
  <c r="C142" i="12"/>
  <c r="H141" i="12"/>
  <c r="F141" i="12"/>
  <c r="E141" i="12"/>
  <c r="D141" i="12" s="1"/>
  <c r="C141" i="12"/>
  <c r="H140" i="12"/>
  <c r="F140" i="12"/>
  <c r="E140" i="12"/>
  <c r="D140" i="12" s="1"/>
  <c r="C140" i="12"/>
  <c r="H139" i="12"/>
  <c r="F139" i="12"/>
  <c r="E139" i="12"/>
  <c r="D139" i="12" s="1"/>
  <c r="C139" i="12"/>
  <c r="F138" i="12"/>
  <c r="H138" i="12" s="1"/>
  <c r="E138" i="12"/>
  <c r="D138" i="12" s="1"/>
  <c r="C138" i="12"/>
  <c r="F137" i="12"/>
  <c r="H137" i="12" s="1"/>
  <c r="E137" i="12"/>
  <c r="D137" i="12" s="1"/>
  <c r="C137" i="12"/>
  <c r="F136" i="12"/>
  <c r="H136" i="12" s="1"/>
  <c r="D136" i="12" s="1"/>
  <c r="E136" i="12"/>
  <c r="C136" i="12"/>
  <c r="F135" i="12"/>
  <c r="H135" i="12" s="1"/>
  <c r="D135" i="12" s="1"/>
  <c r="E135" i="12"/>
  <c r="C135" i="12"/>
  <c r="F134" i="12"/>
  <c r="H134" i="12" s="1"/>
  <c r="D134" i="12" s="1"/>
  <c r="E134" i="12"/>
  <c r="C134" i="12"/>
  <c r="F133" i="12"/>
  <c r="H133" i="12" s="1"/>
  <c r="D133" i="12" s="1"/>
  <c r="E133" i="12"/>
  <c r="C133" i="12"/>
  <c r="H132" i="12"/>
  <c r="D132" i="12" s="1"/>
  <c r="F132" i="12"/>
  <c r="E132" i="12"/>
  <c r="C132" i="12"/>
  <c r="H131" i="12"/>
  <c r="F131" i="12"/>
  <c r="E131" i="12"/>
  <c r="D131" i="12"/>
  <c r="C131" i="12"/>
  <c r="H130" i="12"/>
  <c r="F130" i="12"/>
  <c r="E130" i="12"/>
  <c r="D130" i="12" s="1"/>
  <c r="C130" i="12"/>
  <c r="H129" i="12"/>
  <c r="F129" i="12"/>
  <c r="E129" i="12"/>
  <c r="D129" i="12" s="1"/>
  <c r="C129" i="12"/>
  <c r="H128" i="12"/>
  <c r="F128" i="12"/>
  <c r="E128" i="12"/>
  <c r="D128" i="12" s="1"/>
  <c r="C128" i="12"/>
  <c r="H127" i="12"/>
  <c r="F127" i="12"/>
  <c r="E127" i="12"/>
  <c r="D127" i="12" s="1"/>
  <c r="C127" i="12"/>
  <c r="F126" i="12"/>
  <c r="H126" i="12" s="1"/>
  <c r="E126" i="12"/>
  <c r="D126" i="12" s="1"/>
  <c r="C126" i="12"/>
  <c r="F125" i="12"/>
  <c r="H125" i="12" s="1"/>
  <c r="E125" i="12"/>
  <c r="D125" i="12" s="1"/>
  <c r="C125" i="12"/>
  <c r="F124" i="12"/>
  <c r="H124" i="12" s="1"/>
  <c r="E124" i="12"/>
  <c r="C124" i="12"/>
  <c r="F123" i="12"/>
  <c r="H123" i="12" s="1"/>
  <c r="D123" i="12" s="1"/>
  <c r="E123" i="12"/>
  <c r="C123" i="12"/>
  <c r="F122" i="12"/>
  <c r="H122" i="12" s="1"/>
  <c r="E122" i="12"/>
  <c r="D122" i="12" s="1"/>
  <c r="C122" i="12"/>
  <c r="F121" i="12"/>
  <c r="H121" i="12" s="1"/>
  <c r="D121" i="12" s="1"/>
  <c r="E121" i="12"/>
  <c r="C121" i="12"/>
  <c r="H120" i="12"/>
  <c r="D120" i="12" s="1"/>
  <c r="F120" i="12"/>
  <c r="E120" i="12"/>
  <c r="C120" i="12"/>
  <c r="F119" i="12"/>
  <c r="H119" i="12" s="1"/>
  <c r="D119" i="12" s="1"/>
  <c r="E119" i="12"/>
  <c r="C119" i="12"/>
  <c r="H118" i="12"/>
  <c r="F118" i="12"/>
  <c r="E118" i="12"/>
  <c r="D118" i="12" s="1"/>
  <c r="C118" i="12"/>
  <c r="H117" i="12"/>
  <c r="F117" i="12"/>
  <c r="E117" i="12"/>
  <c r="D117" i="12" s="1"/>
  <c r="C117" i="12"/>
  <c r="F116" i="12"/>
  <c r="H116" i="12" s="1"/>
  <c r="E116" i="12"/>
  <c r="D116" i="12" s="1"/>
  <c r="C116" i="12"/>
  <c r="H115" i="12"/>
  <c r="F115" i="12"/>
  <c r="E115" i="12"/>
  <c r="D115" i="12" s="1"/>
  <c r="C115" i="12"/>
  <c r="F114" i="12"/>
  <c r="H114" i="12" s="1"/>
  <c r="D114" i="12" s="1"/>
  <c r="E114" i="12"/>
  <c r="C114" i="12"/>
  <c r="F113" i="12"/>
  <c r="H113" i="12" s="1"/>
  <c r="E113" i="12"/>
  <c r="D113" i="12" s="1"/>
  <c r="C113" i="12"/>
  <c r="F112" i="12"/>
  <c r="H112" i="12" s="1"/>
  <c r="D112" i="12" s="1"/>
  <c r="E112" i="12"/>
  <c r="C112" i="12"/>
  <c r="F111" i="12"/>
  <c r="H111" i="12" s="1"/>
  <c r="D111" i="12" s="1"/>
  <c r="E111" i="12"/>
  <c r="C111" i="12"/>
  <c r="F110" i="12"/>
  <c r="H110" i="12" s="1"/>
  <c r="D110" i="12" s="1"/>
  <c r="E110" i="12"/>
  <c r="C110" i="12"/>
  <c r="F109" i="12"/>
  <c r="H109" i="12" s="1"/>
  <c r="D109" i="12" s="1"/>
  <c r="E109" i="12"/>
  <c r="C109" i="12"/>
  <c r="H108" i="12"/>
  <c r="D108" i="12" s="1"/>
  <c r="F108" i="12"/>
  <c r="E108" i="12"/>
  <c r="C108" i="12"/>
  <c r="F107" i="12"/>
  <c r="H107" i="12" s="1"/>
  <c r="E107" i="12"/>
  <c r="C107" i="12"/>
  <c r="H106" i="12"/>
  <c r="F106" i="12"/>
  <c r="E106" i="12"/>
  <c r="D106" i="12" s="1"/>
  <c r="C106" i="12"/>
  <c r="H105" i="12"/>
  <c r="F105" i="12"/>
  <c r="E105" i="12"/>
  <c r="D105" i="12" s="1"/>
  <c r="C105" i="12"/>
  <c r="F104" i="12"/>
  <c r="H104" i="12" s="1"/>
  <c r="E104" i="12"/>
  <c r="D104" i="12" s="1"/>
  <c r="C104" i="12"/>
  <c r="F103" i="12"/>
  <c r="H103" i="12" s="1"/>
  <c r="E103" i="12"/>
  <c r="F102" i="12"/>
  <c r="H102" i="12" s="1"/>
  <c r="F101" i="12"/>
  <c r="H101" i="12" s="1"/>
  <c r="E101" i="12"/>
  <c r="F100" i="12"/>
  <c r="H100" i="12" s="1"/>
  <c r="E100" i="12"/>
  <c r="B100" i="12"/>
  <c r="A3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2" i="2"/>
  <c r="B71" i="2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G6" i="12" l="1"/>
  <c r="I6" i="12" s="1"/>
  <c r="J3" i="12"/>
  <c r="D3" i="12"/>
  <c r="D101" i="12"/>
  <c r="D100" i="12"/>
  <c r="D103" i="12"/>
  <c r="D124" i="12"/>
  <c r="D107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J6" i="12" l="1"/>
  <c r="E102" i="12" s="1"/>
  <c r="D102" i="12" s="1"/>
  <c r="A6" i="12"/>
  <c r="C6" i="12" s="1"/>
  <c r="D6" i="12" s="1"/>
  <c r="C102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C100" i="12" l="1"/>
  <c r="D146" i="9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O52" i="10" l="1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C53" i="2" l="1"/>
  <c r="B54" i="2"/>
  <c r="V17" i="2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C6" i="8" s="1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D103" i="4"/>
  <c r="H14" i="8" l="1"/>
  <c r="C4" i="8"/>
  <c r="B17" i="2"/>
  <c r="C99" i="5"/>
  <c r="H16" i="8" l="1"/>
  <c r="E4" i="8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<sst xmlns="http://schemas.openxmlformats.org/spreadsheetml/2006/main" count="428" uniqueCount="108">
  <si>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</si>
  <si>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</si>
  <si>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</si>
  <si>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</si>
  <si>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</si>
  <si>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</si>
  <si>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</si>
  <si>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</si>
  <si>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</si>
  <si>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</si>
  <si>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</si>
  <si>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</si>
  <si>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</si>
  <si>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</si>
  <si>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</si>
  <si>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</si>
  <si>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</si>
  <si>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</si>
  <si>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</si>
  <si>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</si>
  <si>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</si>
  <si>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</si>
  <si>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</si>
  <si>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</si>
  <si>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</si>
  <si>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</si>
  <si>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</si>
  <si>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</si>
  <si>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</si>
  <si>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</si>
  <si>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</si>
  <si>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</si>
  <si>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</si>
  <si>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</si>
  <si>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</si>
  <si>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</si>
  <si>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</si>
  <si>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</si>
  <si>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</si>
  <si>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</si>
  <si>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</si>
  <si>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</si>
  <si>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</si>
  <si>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</si>
  <si>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</si>
  <si>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</si>
  <si>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</si>
  <si>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</si>
  <si>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</si>
  <si>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</si>
  <si>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</si>
  <si>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</si>
  <si>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</si>
  <si>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</si>
  <si>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</si>
  <si>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</si>
  <si>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</si>
  <si>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</si>
  <si>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</si>
  <si>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</si>
  <si>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</si>
  <si>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</si>
  <si>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</si>
  <si>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</si>
  <si>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</si>
  <si>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</si>
  <si>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</si>
  <si>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</si>
  <si>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</si>
  <si>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</si>
  <si>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</si>
  <si>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</si>
  <si>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</si>
  <si>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</si>
  <si>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</si>
  <si>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</si>
  <si>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</si>
  <si>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</si>
  <si>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</si>
  <si>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</si>
  <si>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</si>
  <si>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</si>
  <si>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</si>
  <si>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</si>
  <si>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</si>
  <si>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</si>
  <si>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</si>
  <si>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</si>
  <si>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</si>
  <si>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</si>
  <si>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</si>
  <si>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</si>
  <si>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</si>
  <si>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</si>
  <si>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</si>
  <si>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</si>
  <si>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</si>
  <si>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</si>
  <si>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</si>
  <si>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</si>
  <si>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</si>
  <si>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</si>
  <si>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</si>
  <si>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</si>
  <si>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</si>
  <si>
    <t>Juan uno</t>
  </si>
  <si>
    <t>Juan dos</t>
  </si>
  <si>
    <t>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</si>
</sst>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6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16" fontId="0" fillId="0" borderId="0" xfId="0" applyNumberFormat="1" applyFill="1" applyBorder="1" applyAlignment="1">
      <alignment horizontal="center" vertical="center"/>
    </xf>
    <xf numFmtId="16" fontId="2" fillId="0" borderId="0" xfId="0" applyNumberFormat="1" applyFont="1" applyFill="1" applyBorder="1"/>
    <xf numFmtId="0" fontId="20" fillId="0" borderId="0" xfId="0" applyFont="1" applyFill="1" applyBorder="1"/>
    <xf numFmtId="4" fontId="20" fillId="0" borderId="0" xfId="0" applyNumberFormat="1" applyFont="1" applyFill="1" applyBorder="1"/>
    <xf numFmtId="10" fontId="19" fillId="0" borderId="0" xfId="0" applyNumberFormat="1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0" fillId="24" borderId="18" xfId="0" applyFill="1" applyBorder="1"/>
    <xf numFmtId="0" fontId="26" fillId="5" borderId="3" xfId="0" applyFont="1" applyFill="1" applyBorder="1" applyAlignment="1">
      <alignment horizontal="center" vertical="center"/>
    </xf>
    <xf numFmtId="0" fontId="0" fillId="40" borderId="7" xfId="0" applyFont="1" applyFill="1" applyBorder="1" applyAlignment="1">
      <alignment horizontal="center" vertical="center"/>
    </xf>
    <xf numFmtId="0" fontId="0" fillId="40" borderId="1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13" fillId="0" borderId="43" xfId="0" applyFont="1" applyFill="1" applyBorder="1" applyAlignment="1">
      <alignment horizontal="center" vertical="center"/>
    </xf>
    <xf numFmtId="0" fontId="13" fillId="0" borderId="41" xfId="0" applyFont="1" applyFill="1" applyBorder="1" applyAlignment="1">
      <alignment horizontal="center" vertical="center"/>
    </xf>
    <xf numFmtId="0" fontId="13" fillId="0" borderId="42" xfId="0" applyFont="1" applyFill="1" applyBorder="1" applyAlignment="1">
      <alignment horizontal="center" vertical="center"/>
    </xf>
    <xf numFmtId="0" fontId="13" fillId="0" borderId="22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41" borderId="7" xfId="0" applyFont="1" applyFill="1" applyBorder="1" applyAlignment="1">
      <alignment horizontal="center" vertical="center"/>
    </xf>
    <xf numFmtId="0" fontId="25" fillId="41" borderId="1" xfId="0" applyFont="1" applyFill="1" applyBorder="1" applyAlignment="1">
      <alignment horizontal="center" vertical="center"/>
    </xf>
    <xf numFmtId="0" fontId="25" fillId="41" borderId="22" xfId="0" applyFont="1" applyFill="1" applyBorder="1" applyAlignment="1">
      <alignment horizontal="center" vertical="center"/>
    </xf>
    <xf numFmtId="0" fontId="9" fillId="12" borderId="6" xfId="0" applyFont="1" applyFill="1" applyBorder="1" applyAlignment="1">
      <alignment horizontal="center" vertical="center" wrapText="1"/>
    </xf>
    <xf numFmtId="0" fontId="9" fillId="12" borderId="7" xfId="0" applyFont="1" applyFill="1" applyBorder="1" applyAlignment="1">
      <alignment horizontal="center" vertical="center" wrapText="1"/>
    </xf>
    <xf numFmtId="0" fontId="9" fillId="23" borderId="7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left" vertical="center"/>
    </xf>
    <xf numFmtId="0" fontId="13" fillId="24" borderId="1" xfId="0" applyFont="1" applyFill="1" applyBorder="1" applyAlignment="1">
      <alignment horizontal="left" vertical="center"/>
    </xf>
    <xf numFmtId="0" fontId="0" fillId="0" borderId="24" xfId="0" applyFill="1" applyBorder="1" applyAlignment="1">
      <alignment horizontal="center" vertical="center"/>
    </xf>
    <xf numFmtId="0" fontId="9" fillId="26" borderId="7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FF"/>
      <color rgb="FFFF3B3B"/>
      <color rgb="FF00FF00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/>
  <dimension ref="A1:HF148"/>
  <sheetViews>
    <sheetView tabSelected="1" zoomScale="115" zoomScaleNormal="115" workbookViewId="0">
      <selection activeCell="L1" sqref="L1"/>
    </sheetView>
  </sheetViews>
  <sheetFormatPr defaultRowHeight="15" x14ac:dyDescent="0.25"/>
  <cols>
    <col min="1" max="5" width="14.7109375" style="41" customWidth="1"/>
    <col min="6" max="6" width="2.140625" style="103" customWidth="1"/>
    <col min="7" max="11" width="14.7109375" customWidth="1"/>
    <col min="12" max="12" width="2.140625" style="103" customWidth="1"/>
    <col min="13" max="149" width="14.7109375" customWidth="1"/>
  </cols>
  <sheetData>
    <row r="1" spans="1:214" s="160" customFormat="1" ht="30.75" customHeight="1" thickBot="1" x14ac:dyDescent="0.3">
      <c r="A1" s="180" t="s">
        <v>105</v>
      </c>
      <c r="B1" s="184"/>
      <c r="C1" s="185"/>
      <c r="D1" s="185"/>
      <c r="E1" s="186"/>
      <c r="F1" s="211"/>
      <c r="G1" s="180" t="s">
        <v>106</v>
      </c>
      <c r="H1" s="184"/>
      <c r="I1" s="185"/>
      <c r="J1" s="185"/>
      <c r="K1" s="186"/>
      <c r="L1" s="212"/>
      <c r="M1" s="156"/>
      <c r="N1" s="156"/>
      <c r="O1" s="156"/>
      <c r="P1" s="157"/>
      <c r="Q1" s="158"/>
      <c r="R1" s="158"/>
      <c r="S1" s="158"/>
      <c r="T1" s="158"/>
      <c r="U1" s="158"/>
      <c r="V1" s="158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59"/>
      <c r="CX1" s="159"/>
      <c r="CY1" s="159"/>
      <c r="CZ1" s="159"/>
      <c r="DA1" s="159"/>
      <c r="DB1" s="159"/>
      <c r="DC1" s="159"/>
      <c r="DD1" s="159"/>
      <c r="DE1" s="159"/>
      <c r="DF1" s="159"/>
      <c r="DG1" s="159"/>
      <c r="DH1" s="159"/>
      <c r="DI1" s="159"/>
      <c r="DJ1" s="159"/>
      <c r="DK1" s="159"/>
      <c r="DL1" s="159"/>
      <c r="DM1" s="159"/>
      <c r="DN1" s="159"/>
      <c r="DO1" s="159"/>
      <c r="DP1" s="159"/>
      <c r="DQ1" s="159"/>
      <c r="DR1" s="159"/>
      <c r="DS1" s="159"/>
      <c r="DT1" s="159"/>
      <c r="DU1" s="159"/>
      <c r="DV1" s="159"/>
      <c r="DW1" s="159"/>
      <c r="DX1" s="159"/>
      <c r="DY1" s="159"/>
      <c r="DZ1" s="159"/>
      <c r="EA1" s="159"/>
      <c r="EB1" s="159"/>
      <c r="EC1" s="159"/>
      <c r="ED1" s="159"/>
      <c r="EE1" s="159"/>
      <c r="EF1" s="159"/>
      <c r="EG1" s="159"/>
      <c r="EH1" s="159"/>
      <c r="EI1" s="159"/>
      <c r="EJ1" s="159"/>
      <c r="EK1" s="159"/>
      <c r="EL1" s="159"/>
      <c r="EM1" s="159"/>
      <c r="EN1" s="159"/>
      <c r="EO1" s="159"/>
      <c r="EP1" s="159"/>
      <c r="EQ1" s="159"/>
      <c r="ER1" s="159"/>
      <c r="ES1" s="159"/>
      <c r="ET1" s="159"/>
      <c r="EU1" s="159"/>
      <c r="EV1" s="159"/>
      <c r="EW1" s="159"/>
      <c r="EX1" s="159"/>
      <c r="EY1" s="159"/>
      <c r="EZ1" s="159"/>
      <c r="FA1" s="159"/>
      <c r="FB1" s="159"/>
      <c r="FC1" s="159"/>
      <c r="FD1" s="159"/>
      <c r="FE1" s="159"/>
      <c r="FF1" s="159"/>
      <c r="FG1" s="159"/>
      <c r="FH1" s="159"/>
      <c r="FI1" s="159"/>
      <c r="FJ1" s="159"/>
      <c r="FK1" s="159"/>
      <c r="FL1" s="159"/>
      <c r="FM1" s="159"/>
      <c r="FN1" s="159"/>
      <c r="FO1" s="159"/>
      <c r="FP1" s="159"/>
    </row>
    <row r="2" spans="1:214" s="160" customFormat="1" ht="30.75" customHeight="1" x14ac:dyDescent="0.25">
      <c r="A2" s="208" t="s">
        <v>91</v>
      </c>
      <c r="B2" s="209" t="s">
        <v>90</v>
      </c>
      <c r="C2" s="209" t="s">
        <v>96</v>
      </c>
      <c r="D2" s="209" t="s">
        <v>93</v>
      </c>
      <c r="E2" s="187"/>
      <c r="F2" s="211"/>
      <c r="G2" s="208" t="s">
        <v>91</v>
      </c>
      <c r="H2" s="209" t="s">
        <v>90</v>
      </c>
      <c r="I2" s="209" t="s">
        <v>96</v>
      </c>
      <c r="J2" s="209" t="s">
        <v>93</v>
      </c>
      <c r="K2" s="187"/>
      <c r="L2" s="212"/>
      <c r="M2" s="156"/>
      <c r="N2" s="156"/>
      <c r="O2" s="156"/>
      <c r="P2" s="157"/>
      <c r="Q2" s="158"/>
      <c r="R2" s="158"/>
      <c r="S2" s="158"/>
      <c r="T2" s="158"/>
      <c r="U2" s="158"/>
      <c r="V2" s="158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  <c r="CE2" s="159"/>
      <c r="CF2" s="159"/>
      <c r="CG2" s="159"/>
      <c r="CH2" s="159"/>
      <c r="CI2" s="159"/>
      <c r="CJ2" s="159"/>
      <c r="CK2" s="159"/>
      <c r="CL2" s="159"/>
      <c r="CM2" s="159"/>
      <c r="CN2" s="159"/>
      <c r="CO2" s="159"/>
      <c r="CP2" s="159"/>
      <c r="CQ2" s="159"/>
      <c r="CR2" s="159"/>
      <c r="CS2" s="159"/>
      <c r="CT2" s="159"/>
      <c r="CU2" s="159"/>
      <c r="CV2" s="159"/>
      <c r="CW2" s="159"/>
      <c r="CX2" s="159"/>
      <c r="CY2" s="159"/>
      <c r="CZ2" s="159"/>
      <c r="DA2" s="159"/>
      <c r="DB2" s="159"/>
      <c r="DC2" s="159"/>
      <c r="DD2" s="159"/>
      <c r="DE2" s="159"/>
      <c r="DF2" s="159"/>
      <c r="DG2" s="159"/>
      <c r="DH2" s="159"/>
      <c r="DI2" s="159"/>
      <c r="DJ2" s="159"/>
      <c r="DK2" s="159"/>
      <c r="DL2" s="159"/>
      <c r="DM2" s="159"/>
      <c r="DN2" s="159"/>
      <c r="DO2" s="159"/>
      <c r="DP2" s="159"/>
      <c r="DQ2" s="159"/>
      <c r="DR2" s="159"/>
      <c r="DS2" s="159"/>
      <c r="DT2" s="159"/>
      <c r="DU2" s="159"/>
      <c r="DV2" s="159"/>
      <c r="DW2" s="159"/>
      <c r="DX2" s="159"/>
      <c r="DY2" s="159"/>
      <c r="DZ2" s="159"/>
      <c r="EA2" s="159"/>
      <c r="EB2" s="159"/>
      <c r="EC2" s="159"/>
      <c r="ED2" s="159"/>
      <c r="EE2" s="159"/>
      <c r="EF2" s="159"/>
      <c r="EG2" s="159"/>
      <c r="EH2" s="159"/>
      <c r="EI2" s="159"/>
      <c r="EJ2" s="159"/>
      <c r="EK2" s="159"/>
      <c r="EL2" s="159"/>
      <c r="EM2" s="159"/>
      <c r="EN2" s="159"/>
      <c r="EO2" s="159"/>
      <c r="EP2" s="159"/>
      <c r="EQ2" s="159"/>
      <c r="ER2" s="159"/>
      <c r="ES2" s="159"/>
      <c r="ET2" s="159"/>
      <c r="EU2" s="159"/>
      <c r="EV2" s="159"/>
      <c r="EW2" s="159"/>
      <c r="EX2" s="159"/>
      <c r="EY2" s="159"/>
      <c r="EZ2" s="159"/>
      <c r="FA2" s="159"/>
      <c r="FB2" s="159"/>
      <c r="FC2" s="159"/>
      <c r="FD2" s="159"/>
      <c r="FE2" s="159"/>
      <c r="FF2" s="159"/>
      <c r="FG2" s="159"/>
      <c r="FH2" s="159"/>
      <c r="FI2" s="159"/>
      <c r="FJ2" s="159"/>
      <c r="FK2" s="159"/>
      <c r="FL2" s="159"/>
      <c r="FM2" s="159"/>
      <c r="FN2" s="159"/>
      <c r="FO2" s="159"/>
      <c r="FP2" s="159"/>
    </row>
    <row r="3" spans="1:214" s="160" customFormat="1" ht="30.75" customHeight="1" x14ac:dyDescent="0.25">
      <c r="A3" s="181">
        <f>B10</f>
        <v>10000</v>
      </c>
      <c r="B3" s="182">
        <f>SUM(B11:B49)</f>
        <v>7000</v>
      </c>
      <c r="C3" s="182">
        <f>SUM(C10:C48)</f>
        <v>17000</v>
      </c>
      <c r="D3" s="183">
        <f>SUM(A3,B3) - C3</f>
        <v>0</v>
      </c>
      <c r="E3" s="188"/>
      <c r="F3" s="211"/>
      <c r="G3" s="181">
        <f>H10</f>
        <v>22000</v>
      </c>
      <c r="H3" s="182">
        <f>SUM(H11:H49)</f>
        <v>4000</v>
      </c>
      <c r="I3" s="182">
        <f>SUM(I10:I48)</f>
        <v>26000</v>
      </c>
      <c r="J3" s="183">
        <f>SUM(G3,H3) - I3</f>
        <v>0</v>
      </c>
      <c r="K3" s="188"/>
      <c r="L3" s="211"/>
      <c r="Q3" s="158"/>
      <c r="R3" s="158"/>
      <c r="S3" s="158"/>
      <c r="T3" s="158"/>
      <c r="U3" s="158"/>
      <c r="V3" s="158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  <c r="FJ3" s="159"/>
      <c r="FK3" s="159"/>
      <c r="FL3" s="159"/>
      <c r="FM3" s="159"/>
      <c r="FN3" s="159"/>
      <c r="FO3" s="159"/>
      <c r="FP3" s="159"/>
    </row>
    <row r="4" spans="1:214" s="160" customFormat="1" ht="30.75" customHeight="1" x14ac:dyDescent="0.25">
      <c r="A4" s="189"/>
      <c r="B4" s="190"/>
      <c r="C4" s="191"/>
      <c r="D4" s="191"/>
      <c r="E4" s="187"/>
      <c r="F4" s="211"/>
      <c r="G4" s="189"/>
      <c r="H4" s="190"/>
      <c r="I4" s="191"/>
      <c r="J4" s="191"/>
      <c r="K4" s="187"/>
      <c r="L4" s="212"/>
      <c r="M4" s="156"/>
      <c r="N4" s="156"/>
      <c r="O4" s="156"/>
      <c r="P4" s="157"/>
      <c r="Q4" s="158"/>
      <c r="R4" s="158"/>
      <c r="S4" s="158"/>
      <c r="T4" s="158"/>
      <c r="U4" s="158"/>
      <c r="V4" s="158"/>
      <c r="W4" s="158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9"/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59"/>
      <c r="BX4" s="159"/>
      <c r="BY4" s="159"/>
      <c r="BZ4" s="159"/>
      <c r="CA4" s="159"/>
      <c r="CB4" s="159"/>
      <c r="CC4" s="159"/>
      <c r="CD4" s="159"/>
      <c r="CE4" s="159"/>
      <c r="CF4" s="159"/>
      <c r="CG4" s="159"/>
      <c r="CH4" s="159"/>
      <c r="CI4" s="159"/>
      <c r="CJ4" s="159"/>
      <c r="CK4" s="159"/>
      <c r="CL4" s="159"/>
      <c r="CM4" s="159"/>
      <c r="CN4" s="159"/>
      <c r="CO4" s="159"/>
      <c r="CP4" s="159"/>
      <c r="CQ4" s="159"/>
      <c r="CR4" s="159"/>
      <c r="CS4" s="159"/>
      <c r="CT4" s="159"/>
      <c r="CU4" s="159"/>
      <c r="CV4" s="159"/>
      <c r="CW4" s="159"/>
      <c r="CX4" s="159"/>
      <c r="CY4" s="159"/>
      <c r="CZ4" s="159"/>
      <c r="DA4" s="159"/>
      <c r="DB4" s="159"/>
      <c r="DC4" s="159"/>
      <c r="DD4" s="159"/>
      <c r="DE4" s="159"/>
      <c r="DF4" s="159"/>
      <c r="DG4" s="159"/>
      <c r="DH4" s="159"/>
      <c r="DI4" s="159"/>
      <c r="DJ4" s="159"/>
      <c r="DK4" s="159"/>
      <c r="DL4" s="159"/>
      <c r="DM4" s="159"/>
      <c r="DN4" s="159"/>
      <c r="DO4" s="159"/>
      <c r="DP4" s="159"/>
      <c r="DQ4" s="159"/>
      <c r="DR4" s="159"/>
      <c r="DS4" s="159"/>
      <c r="DT4" s="159"/>
      <c r="DU4" s="159"/>
      <c r="DV4" s="159"/>
      <c r="DW4" s="159"/>
      <c r="DX4" s="159"/>
      <c r="DY4" s="159"/>
      <c r="DZ4" s="159"/>
      <c r="EA4" s="159"/>
      <c r="EB4" s="159"/>
      <c r="EC4" s="159"/>
      <c r="ED4" s="159"/>
      <c r="EE4" s="159"/>
      <c r="EF4" s="159"/>
      <c r="EG4" s="159"/>
      <c r="EH4" s="159"/>
      <c r="EI4" s="159"/>
      <c r="EJ4" s="159"/>
      <c r="EK4" s="159"/>
      <c r="EL4" s="159"/>
      <c r="EM4" s="159"/>
      <c r="EN4" s="159"/>
      <c r="EO4" s="159"/>
      <c r="EP4" s="159"/>
      <c r="EQ4" s="159"/>
      <c r="ER4" s="159"/>
      <c r="ES4" s="159"/>
      <c r="ET4" s="159"/>
      <c r="EU4" s="159"/>
      <c r="EV4" s="159"/>
      <c r="EW4" s="159"/>
      <c r="EX4" s="159"/>
      <c r="EY4" s="159"/>
      <c r="EZ4" s="159"/>
      <c r="FA4" s="159"/>
      <c r="FB4" s="159"/>
      <c r="FC4" s="159"/>
      <c r="FD4" s="159"/>
      <c r="FE4" s="159"/>
      <c r="FF4" s="159"/>
      <c r="FG4" s="159"/>
      <c r="FH4" s="159"/>
      <c r="FI4" s="159"/>
      <c r="FJ4" s="159"/>
      <c r="FK4" s="159"/>
      <c r="FL4" s="159"/>
      <c r="FM4" s="159"/>
      <c r="FN4" s="159"/>
      <c r="FO4" s="159"/>
      <c r="FP4" s="159"/>
    </row>
    <row r="5" spans="1:214" s="160" customFormat="1" ht="30.75" customHeight="1" x14ac:dyDescent="0.25">
      <c r="A5" s="210" t="s">
        <v>15</v>
      </c>
      <c r="B5" s="210" t="s">
        <v>86</v>
      </c>
      <c r="C5" s="210" t="s">
        <v>16</v>
      </c>
      <c r="D5" s="214" t="s">
        <v>85</v>
      </c>
      <c r="E5" s="187"/>
      <c r="F5" s="211"/>
      <c r="G5" s="210" t="s">
        <v>15</v>
      </c>
      <c r="H5" s="210" t="s">
        <v>86</v>
      </c>
      <c r="I5" s="210" t="s">
        <v>16</v>
      </c>
      <c r="J5" s="214" t="s">
        <v>85</v>
      </c>
      <c r="K5" s="187"/>
      <c r="L5" s="212"/>
      <c r="M5" s="156"/>
      <c r="N5" s="156"/>
      <c r="O5" s="156"/>
      <c r="P5" s="157"/>
      <c r="Q5" s="158"/>
      <c r="R5" s="158"/>
      <c r="S5" s="158"/>
      <c r="T5" s="158"/>
      <c r="U5" s="158"/>
      <c r="V5" s="158"/>
      <c r="W5" s="158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  <c r="BL5" s="159"/>
      <c r="BM5" s="159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59"/>
      <c r="BZ5" s="159"/>
      <c r="CA5" s="159"/>
      <c r="CB5" s="159"/>
      <c r="CC5" s="159"/>
      <c r="CD5" s="159"/>
      <c r="CE5" s="159"/>
      <c r="CF5" s="159"/>
      <c r="CG5" s="159"/>
      <c r="CH5" s="159"/>
      <c r="CI5" s="159"/>
      <c r="CJ5" s="159"/>
      <c r="CK5" s="159"/>
      <c r="CL5" s="159"/>
      <c r="CM5" s="159"/>
      <c r="CN5" s="159"/>
      <c r="CO5" s="159"/>
      <c r="CP5" s="159"/>
      <c r="CQ5" s="159"/>
      <c r="CR5" s="159"/>
      <c r="CS5" s="159"/>
      <c r="CT5" s="159"/>
      <c r="CU5" s="159"/>
      <c r="CV5" s="159"/>
      <c r="CW5" s="159"/>
      <c r="CX5" s="159"/>
      <c r="CY5" s="159"/>
      <c r="CZ5" s="159"/>
      <c r="DA5" s="159"/>
      <c r="DB5" s="159"/>
      <c r="DC5" s="159"/>
      <c r="DD5" s="159"/>
      <c r="DE5" s="159"/>
      <c r="DF5" s="159"/>
      <c r="DG5" s="159"/>
      <c r="DH5" s="159"/>
      <c r="DI5" s="159"/>
      <c r="DJ5" s="159"/>
      <c r="DK5" s="159"/>
      <c r="DL5" s="159"/>
      <c r="DM5" s="159"/>
      <c r="DN5" s="159"/>
      <c r="DO5" s="159"/>
      <c r="DP5" s="159"/>
      <c r="DQ5" s="159"/>
      <c r="DR5" s="159"/>
      <c r="DS5" s="159"/>
      <c r="DT5" s="159"/>
      <c r="DU5" s="159"/>
      <c r="DV5" s="159"/>
      <c r="DW5" s="159"/>
      <c r="DX5" s="159"/>
      <c r="DY5" s="159"/>
      <c r="DZ5" s="159"/>
      <c r="EA5" s="159"/>
      <c r="EB5" s="159"/>
      <c r="EC5" s="159"/>
      <c r="ED5" s="159"/>
      <c r="EE5" s="159"/>
      <c r="EF5" s="159"/>
      <c r="EG5" s="159"/>
      <c r="EH5" s="159"/>
      <c r="EI5" s="159"/>
      <c r="EJ5" s="159"/>
      <c r="EK5" s="159"/>
      <c r="EL5" s="159"/>
      <c r="EM5" s="159"/>
      <c r="EN5" s="159"/>
      <c r="EO5" s="159"/>
      <c r="EP5" s="159"/>
      <c r="EQ5" s="159"/>
      <c r="ER5" s="159"/>
      <c r="ES5" s="159"/>
      <c r="ET5" s="159"/>
      <c r="EU5" s="159"/>
      <c r="EV5" s="159"/>
      <c r="EW5" s="159"/>
      <c r="EX5" s="159"/>
      <c r="EY5" s="159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59"/>
      <c r="FM5" s="159"/>
      <c r="FN5" s="159"/>
      <c r="FO5" s="159"/>
      <c r="FP5" s="159"/>
    </row>
    <row r="6" spans="1:214" s="160" customFormat="1" ht="30.75" customHeight="1" x14ac:dyDescent="0.25">
      <c r="A6" s="181">
        <f>SUM(D10:D43)</f>
        <v>3615</v>
      </c>
      <c r="B6" s="182">
        <f>SUM(E10:E43)</f>
        <v>3615</v>
      </c>
      <c r="C6" s="183">
        <f>A6-B6</f>
        <v>0</v>
      </c>
      <c r="D6" s="215">
        <f>D3 + C6</f>
        <v>0</v>
      </c>
      <c r="E6" s="187"/>
      <c r="F6" s="211"/>
      <c r="G6" s="181">
        <f>SUM(J10:J43)</f>
        <v>3240</v>
      </c>
      <c r="H6" s="182">
        <f>SUM(K10:K43)</f>
        <v>3240</v>
      </c>
      <c r="I6" s="183">
        <f>G6-H6</f>
        <v>0</v>
      </c>
      <c r="J6" s="215">
        <f>J3 + I6</f>
        <v>0</v>
      </c>
      <c r="K6" s="187"/>
      <c r="L6" s="212"/>
      <c r="M6" s="156"/>
      <c r="N6" s="156"/>
      <c r="O6" s="156"/>
      <c r="P6" s="157"/>
      <c r="Q6" s="158"/>
      <c r="R6" s="158"/>
      <c r="S6" s="158"/>
      <c r="T6" s="158"/>
      <c r="U6" s="158"/>
      <c r="V6" s="158"/>
      <c r="W6" s="158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9"/>
      <c r="BH6" s="159"/>
      <c r="BI6" s="159"/>
      <c r="BJ6" s="159"/>
      <c r="BK6" s="159"/>
      <c r="BL6" s="159"/>
      <c r="BM6" s="159"/>
      <c r="BN6" s="159"/>
      <c r="BO6" s="159"/>
      <c r="BP6" s="159"/>
      <c r="BQ6" s="159"/>
      <c r="BR6" s="159"/>
      <c r="BS6" s="159"/>
      <c r="BT6" s="159"/>
      <c r="BU6" s="159"/>
      <c r="BV6" s="159"/>
      <c r="BW6" s="159"/>
      <c r="BX6" s="159"/>
      <c r="BY6" s="159"/>
      <c r="BZ6" s="159"/>
      <c r="CA6" s="159"/>
      <c r="CB6" s="159"/>
      <c r="CC6" s="159"/>
      <c r="CD6" s="159"/>
      <c r="CE6" s="159"/>
      <c r="CF6" s="159"/>
      <c r="CG6" s="159"/>
      <c r="CH6" s="159"/>
      <c r="CI6" s="159"/>
      <c r="CJ6" s="159"/>
      <c r="CK6" s="159"/>
      <c r="CL6" s="159"/>
      <c r="CM6" s="159"/>
      <c r="CN6" s="159"/>
      <c r="CO6" s="159"/>
      <c r="CP6" s="159"/>
      <c r="CQ6" s="159"/>
      <c r="CR6" s="159"/>
      <c r="CS6" s="159"/>
      <c r="CT6" s="159"/>
      <c r="CU6" s="159"/>
      <c r="CV6" s="159"/>
      <c r="CW6" s="159"/>
      <c r="CX6" s="159"/>
      <c r="CY6" s="159"/>
      <c r="CZ6" s="159"/>
      <c r="DA6" s="159"/>
      <c r="DB6" s="159"/>
      <c r="DC6" s="159"/>
      <c r="DD6" s="159"/>
      <c r="DE6" s="159"/>
      <c r="DF6" s="159"/>
      <c r="DG6" s="159"/>
      <c r="DH6" s="159"/>
      <c r="DI6" s="159"/>
      <c r="DJ6" s="159"/>
      <c r="DK6" s="159"/>
      <c r="DL6" s="159"/>
      <c r="DM6" s="159"/>
      <c r="DN6" s="159"/>
      <c r="DO6" s="159"/>
      <c r="DP6" s="159"/>
      <c r="DQ6" s="159"/>
      <c r="DR6" s="159"/>
      <c r="DS6" s="159"/>
      <c r="DT6" s="159"/>
      <c r="DU6" s="159"/>
      <c r="DV6" s="159"/>
      <c r="DW6" s="159"/>
      <c r="DX6" s="159"/>
      <c r="DY6" s="159"/>
      <c r="DZ6" s="159"/>
      <c r="EA6" s="159"/>
      <c r="EB6" s="159"/>
      <c r="EC6" s="159"/>
      <c r="ED6" s="159"/>
      <c r="EE6" s="159"/>
      <c r="EF6" s="159"/>
      <c r="EG6" s="159"/>
      <c r="EH6" s="159"/>
      <c r="EI6" s="159"/>
      <c r="EJ6" s="159"/>
      <c r="EK6" s="159"/>
      <c r="EL6" s="159"/>
      <c r="EM6" s="159"/>
      <c r="EN6" s="159"/>
      <c r="EO6" s="159"/>
      <c r="EP6" s="159"/>
      <c r="EQ6" s="159"/>
      <c r="ER6" s="159"/>
      <c r="ES6" s="159"/>
      <c r="ET6" s="159"/>
      <c r="EU6" s="159"/>
      <c r="EV6" s="159"/>
      <c r="EW6" s="159"/>
      <c r="EX6" s="159"/>
      <c r="EY6" s="159"/>
      <c r="EZ6" s="159"/>
      <c r="FA6" s="159"/>
      <c r="FB6" s="159"/>
      <c r="FC6" s="159"/>
      <c r="FD6" s="159"/>
      <c r="FE6" s="159"/>
      <c r="FF6" s="159"/>
      <c r="FG6" s="159"/>
      <c r="FH6" s="159"/>
      <c r="FI6" s="159"/>
      <c r="FJ6" s="159"/>
      <c r="FK6" s="159"/>
      <c r="FL6" s="159"/>
      <c r="FM6" s="159"/>
      <c r="FN6" s="159"/>
      <c r="FO6" s="159"/>
      <c r="FP6" s="159"/>
    </row>
    <row r="7" spans="1:214" s="160" customFormat="1" ht="30.75" customHeight="1" x14ac:dyDescent="0.25">
      <c r="A7" s="192"/>
      <c r="B7" s="193"/>
      <c r="C7" s="193"/>
      <c r="D7" s="193"/>
      <c r="E7" s="187"/>
      <c r="F7" s="211"/>
      <c r="G7" s="192"/>
      <c r="H7" s="193"/>
      <c r="I7" s="193"/>
      <c r="J7" s="193"/>
      <c r="K7" s="187"/>
      <c r="L7" s="212"/>
      <c r="M7" s="156"/>
      <c r="N7" s="156"/>
      <c r="O7" s="156"/>
      <c r="P7" s="157"/>
      <c r="Q7" s="158"/>
      <c r="R7" s="158"/>
      <c r="S7" s="158"/>
      <c r="T7" s="158"/>
      <c r="U7" s="158"/>
      <c r="V7" s="158"/>
      <c r="W7" s="158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  <c r="BO7" s="159"/>
      <c r="BP7" s="159"/>
      <c r="BQ7" s="159"/>
      <c r="BR7" s="159"/>
      <c r="BS7" s="159"/>
      <c r="BT7" s="159"/>
      <c r="BU7" s="159"/>
      <c r="BV7" s="159"/>
      <c r="BW7" s="159"/>
      <c r="BX7" s="159"/>
      <c r="BY7" s="159"/>
      <c r="BZ7" s="159"/>
      <c r="CA7" s="159"/>
      <c r="CB7" s="159"/>
      <c r="CC7" s="159"/>
      <c r="CD7" s="159"/>
      <c r="CE7" s="159"/>
      <c r="CF7" s="159"/>
      <c r="CG7" s="159"/>
      <c r="CH7" s="159"/>
      <c r="CI7" s="159"/>
      <c r="CJ7" s="159"/>
      <c r="CK7" s="159"/>
      <c r="CL7" s="159"/>
      <c r="CM7" s="159"/>
      <c r="CN7" s="159"/>
      <c r="CO7" s="159"/>
      <c r="CP7" s="159"/>
      <c r="CQ7" s="159"/>
      <c r="CR7" s="159"/>
      <c r="CS7" s="159"/>
      <c r="CT7" s="159"/>
      <c r="CU7" s="159"/>
      <c r="CV7" s="159"/>
      <c r="CW7" s="159"/>
      <c r="CX7" s="159"/>
      <c r="CY7" s="159"/>
      <c r="CZ7" s="159"/>
      <c r="DA7" s="159"/>
      <c r="DB7" s="159"/>
      <c r="DC7" s="159"/>
      <c r="DD7" s="159"/>
      <c r="DE7" s="159"/>
      <c r="DF7" s="159"/>
      <c r="DG7" s="159"/>
      <c r="DH7" s="159"/>
      <c r="DI7" s="159"/>
      <c r="DJ7" s="159"/>
      <c r="DK7" s="159"/>
      <c r="DL7" s="159"/>
      <c r="DM7" s="159"/>
      <c r="DN7" s="159"/>
      <c r="DO7" s="159"/>
      <c r="DP7" s="159"/>
      <c r="DQ7" s="159"/>
      <c r="DR7" s="159"/>
      <c r="DS7" s="159"/>
      <c r="DT7" s="159"/>
      <c r="DU7" s="159"/>
      <c r="DV7" s="159"/>
      <c r="DW7" s="159"/>
      <c r="DX7" s="159"/>
      <c r="DY7" s="159"/>
      <c r="DZ7" s="159"/>
      <c r="EA7" s="159"/>
      <c r="EB7" s="159"/>
      <c r="EC7" s="159"/>
      <c r="ED7" s="159"/>
      <c r="EE7" s="159"/>
      <c r="EF7" s="159"/>
      <c r="EG7" s="159"/>
      <c r="EH7" s="159"/>
      <c r="EI7" s="159"/>
      <c r="EJ7" s="159"/>
      <c r="EK7" s="159"/>
      <c r="EL7" s="159"/>
      <c r="EM7" s="159"/>
      <c r="EN7" s="159"/>
      <c r="EO7" s="159"/>
      <c r="EP7" s="159"/>
      <c r="EQ7" s="159"/>
      <c r="ER7" s="159"/>
      <c r="ES7" s="159"/>
      <c r="ET7" s="159"/>
      <c r="EU7" s="159"/>
      <c r="EV7" s="159"/>
      <c r="EW7" s="159"/>
      <c r="EX7" s="159"/>
      <c r="EY7" s="159"/>
      <c r="EZ7" s="159"/>
      <c r="FA7" s="159"/>
      <c r="FB7" s="159"/>
      <c r="FC7" s="159"/>
      <c r="FD7" s="159"/>
      <c r="FE7" s="159"/>
      <c r="FF7" s="159"/>
      <c r="FG7" s="159"/>
      <c r="FH7" s="159"/>
      <c r="FI7" s="159"/>
      <c r="FJ7" s="159"/>
      <c r="FK7" s="159"/>
      <c r="FL7" s="159"/>
      <c r="FM7" s="159"/>
      <c r="FN7" s="159"/>
      <c r="FO7" s="159"/>
      <c r="FP7" s="159"/>
    </row>
    <row r="8" spans="1:214" s="160" customFormat="1" ht="30.75" customHeight="1" x14ac:dyDescent="0.25">
      <c r="A8" s="194"/>
      <c r="B8" s="85"/>
      <c r="C8" s="85"/>
      <c r="D8" s="85"/>
      <c r="E8" s="195"/>
      <c r="F8" s="211"/>
      <c r="G8" s="194"/>
      <c r="H8" s="85"/>
      <c r="I8" s="85"/>
      <c r="J8" s="85"/>
      <c r="K8" s="195"/>
      <c r="L8" s="212"/>
      <c r="M8" s="156"/>
      <c r="N8" s="156"/>
      <c r="O8" s="156"/>
      <c r="P8" s="157"/>
      <c r="Q8" s="158"/>
      <c r="R8" s="158"/>
      <c r="S8" s="158"/>
      <c r="T8" s="158"/>
      <c r="U8" s="158"/>
      <c r="V8" s="158"/>
      <c r="W8" s="158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9"/>
      <c r="BH8" s="159"/>
      <c r="BI8" s="159"/>
      <c r="BJ8" s="159"/>
      <c r="BK8" s="159"/>
      <c r="BL8" s="159"/>
      <c r="BM8" s="159"/>
      <c r="BN8" s="159"/>
      <c r="BO8" s="159"/>
      <c r="BP8" s="159"/>
      <c r="BQ8" s="159"/>
      <c r="BR8" s="159"/>
      <c r="BS8" s="159"/>
      <c r="BT8" s="159"/>
      <c r="BU8" s="159"/>
      <c r="BV8" s="159"/>
      <c r="BW8" s="159"/>
      <c r="BX8" s="159"/>
      <c r="BY8" s="159"/>
      <c r="BZ8" s="159"/>
      <c r="CA8" s="159"/>
      <c r="CB8" s="159"/>
      <c r="CC8" s="159"/>
      <c r="CD8" s="159"/>
      <c r="CE8" s="159"/>
      <c r="CF8" s="159"/>
      <c r="CG8" s="159"/>
      <c r="CH8" s="159"/>
      <c r="CI8" s="159"/>
      <c r="CJ8" s="159"/>
      <c r="CK8" s="159"/>
      <c r="CL8" s="159"/>
      <c r="CM8" s="159"/>
      <c r="CN8" s="159"/>
      <c r="CO8" s="159"/>
      <c r="CP8" s="159"/>
      <c r="CQ8" s="159"/>
      <c r="CR8" s="159"/>
      <c r="CS8" s="159"/>
      <c r="CT8" s="159"/>
      <c r="CU8" s="159"/>
      <c r="CV8" s="159"/>
      <c r="CW8" s="159"/>
      <c r="CX8" s="159"/>
      <c r="CY8" s="159"/>
      <c r="CZ8" s="159"/>
      <c r="DA8" s="159"/>
      <c r="DB8" s="159"/>
      <c r="DC8" s="159"/>
      <c r="DD8" s="159"/>
      <c r="DE8" s="159"/>
      <c r="DF8" s="159"/>
      <c r="DG8" s="159"/>
      <c r="DH8" s="159"/>
      <c r="DI8" s="159"/>
      <c r="DJ8" s="159"/>
      <c r="DK8" s="159"/>
      <c r="DL8" s="159"/>
      <c r="DM8" s="159"/>
      <c r="DN8" s="159"/>
      <c r="DO8" s="159"/>
      <c r="DP8" s="159"/>
      <c r="DQ8" s="159"/>
      <c r="DR8" s="159"/>
      <c r="DS8" s="159"/>
      <c r="DT8" s="159"/>
      <c r="DU8" s="159"/>
      <c r="DV8" s="159"/>
      <c r="DW8" s="159"/>
      <c r="DX8" s="159"/>
      <c r="DY8" s="159"/>
      <c r="DZ8" s="159"/>
      <c r="EA8" s="159"/>
      <c r="EB8" s="159"/>
      <c r="EC8" s="159"/>
      <c r="ED8" s="159"/>
      <c r="EE8" s="159"/>
      <c r="EF8" s="159"/>
      <c r="EG8" s="159"/>
      <c r="EH8" s="159"/>
      <c r="EI8" s="159"/>
      <c r="EJ8" s="159"/>
      <c r="EK8" s="159"/>
      <c r="EL8" s="159"/>
      <c r="EM8" s="159"/>
      <c r="EN8" s="159"/>
      <c r="EO8" s="159"/>
      <c r="EP8" s="159"/>
      <c r="EQ8" s="159"/>
      <c r="ER8" s="159"/>
      <c r="ES8" s="159"/>
      <c r="ET8" s="159"/>
      <c r="EU8" s="159"/>
      <c r="EV8" s="159"/>
      <c r="EW8" s="159"/>
      <c r="EX8" s="159"/>
      <c r="EY8" s="159"/>
      <c r="EZ8" s="159"/>
      <c r="FA8" s="159"/>
      <c r="FB8" s="159"/>
      <c r="FC8" s="159"/>
      <c r="FD8" s="159"/>
      <c r="FE8" s="159"/>
      <c r="FF8" s="159"/>
      <c r="FG8" s="159"/>
      <c r="FH8" s="159"/>
      <c r="FI8" s="159"/>
      <c r="FJ8" s="159"/>
      <c r="FK8" s="159"/>
      <c r="FL8" s="159"/>
      <c r="FM8" s="159"/>
      <c r="FN8" s="159"/>
      <c r="FO8" s="159"/>
      <c r="FP8" s="159"/>
    </row>
    <row r="9" spans="1:214" s="160" customFormat="1" ht="30.75" customHeight="1" x14ac:dyDescent="0.25">
      <c r="A9" s="205" t="s">
        <v>104</v>
      </c>
      <c r="B9" s="206" t="s">
        <v>90</v>
      </c>
      <c r="C9" s="206" t="s">
        <v>89</v>
      </c>
      <c r="D9" s="206" t="s">
        <v>15</v>
      </c>
      <c r="E9" s="207" t="s">
        <v>92</v>
      </c>
      <c r="F9" s="211"/>
      <c r="G9" s="205" t="s">
        <v>104</v>
      </c>
      <c r="H9" s="206" t="s">
        <v>90</v>
      </c>
      <c r="I9" s="206" t="s">
        <v>89</v>
      </c>
      <c r="J9" s="206" t="s">
        <v>15</v>
      </c>
      <c r="K9" s="207" t="s">
        <v>92</v>
      </c>
      <c r="L9" s="212"/>
      <c r="M9" s="156"/>
      <c r="N9" s="156"/>
      <c r="O9" s="156"/>
      <c r="P9" s="157"/>
      <c r="Q9" s="158"/>
      <c r="R9" s="158"/>
      <c r="S9" s="158"/>
      <c r="T9" s="158"/>
      <c r="U9" s="158"/>
      <c r="V9" s="158"/>
      <c r="W9" s="158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9"/>
      <c r="BH9" s="159"/>
      <c r="BI9" s="159"/>
      <c r="BJ9" s="159"/>
      <c r="BK9" s="159"/>
      <c r="BL9" s="159"/>
      <c r="BM9" s="159"/>
      <c r="BN9" s="159"/>
      <c r="BO9" s="159"/>
      <c r="BP9" s="159"/>
      <c r="BQ9" s="159"/>
      <c r="BR9" s="159"/>
      <c r="BS9" s="159"/>
      <c r="BT9" s="159"/>
      <c r="BU9" s="159"/>
      <c r="BV9" s="159"/>
      <c r="BW9" s="159"/>
      <c r="BX9" s="159"/>
      <c r="BY9" s="159"/>
      <c r="BZ9" s="159"/>
      <c r="CA9" s="159"/>
      <c r="CB9" s="159"/>
      <c r="CC9" s="159"/>
      <c r="CD9" s="159"/>
      <c r="CE9" s="159"/>
      <c r="CF9" s="159"/>
      <c r="CG9" s="159"/>
      <c r="CH9" s="159"/>
      <c r="CI9" s="159"/>
      <c r="CJ9" s="159"/>
      <c r="CK9" s="159"/>
      <c r="CL9" s="159"/>
      <c r="CM9" s="159"/>
      <c r="CN9" s="159"/>
      <c r="CO9" s="159"/>
      <c r="CP9" s="159"/>
      <c r="CQ9" s="159"/>
      <c r="CR9" s="159"/>
      <c r="CS9" s="159"/>
      <c r="CT9" s="159"/>
      <c r="CU9" s="159"/>
      <c r="CV9" s="159"/>
      <c r="CW9" s="159"/>
      <c r="CX9" s="159"/>
      <c r="CY9" s="159"/>
      <c r="CZ9" s="159"/>
      <c r="DA9" s="159"/>
      <c r="DB9" s="159"/>
      <c r="DC9" s="159"/>
      <c r="DD9" s="159"/>
      <c r="DE9" s="159"/>
      <c r="DF9" s="159"/>
      <c r="DG9" s="159"/>
      <c r="DH9" s="159"/>
      <c r="DI9" s="159"/>
      <c r="DJ9" s="159"/>
      <c r="DK9" s="159"/>
      <c r="DL9" s="159"/>
      <c r="DM9" s="159"/>
      <c r="DN9" s="159"/>
      <c r="DO9" s="159"/>
      <c r="DP9" s="159"/>
      <c r="DQ9" s="159"/>
      <c r="DR9" s="159"/>
      <c r="DS9" s="159"/>
      <c r="DT9" s="159"/>
      <c r="DU9" s="159"/>
      <c r="DV9" s="159"/>
      <c r="DW9" s="159"/>
      <c r="DX9" s="159"/>
      <c r="DY9" s="159"/>
      <c r="DZ9" s="159"/>
      <c r="EA9" s="159"/>
      <c r="EB9" s="159"/>
      <c r="EC9" s="159"/>
      <c r="ED9" s="159"/>
      <c r="EE9" s="159"/>
      <c r="EF9" s="159"/>
      <c r="EG9" s="159"/>
      <c r="EH9" s="159"/>
      <c r="EI9" s="159"/>
      <c r="EJ9" s="159"/>
      <c r="EK9" s="159"/>
      <c r="EL9" s="159"/>
      <c r="EM9" s="159"/>
      <c r="EN9" s="159"/>
      <c r="EO9" s="159"/>
      <c r="EP9" s="159"/>
      <c r="EQ9" s="159"/>
      <c r="ER9" s="159"/>
      <c r="ES9" s="159"/>
      <c r="ET9" s="159"/>
      <c r="EU9" s="159"/>
      <c r="EV9" s="159"/>
      <c r="EW9" s="159"/>
      <c r="EX9" s="159"/>
      <c r="EY9" s="159"/>
      <c r="EZ9" s="159"/>
      <c r="FA9" s="159"/>
      <c r="FB9" s="159"/>
      <c r="FC9" s="159"/>
      <c r="FD9" s="159"/>
      <c r="FE9" s="159"/>
      <c r="FF9" s="159"/>
      <c r="FG9" s="159"/>
      <c r="FH9" s="159"/>
      <c r="FI9" s="159"/>
      <c r="FJ9" s="159"/>
      <c r="FK9" s="159"/>
      <c r="FL9" s="159"/>
      <c r="FM9" s="159"/>
      <c r="FN9" s="159"/>
      <c r="FO9" s="159"/>
      <c r="FP9" s="159"/>
    </row>
    <row r="10" spans="1:214" s="96" customFormat="1" ht="18.75" x14ac:dyDescent="0.25">
      <c r="A10" s="151">
        <v>43585.259375000001</v>
      </c>
      <c r="B10" s="85">
        <v>10000</v>
      </c>
      <c r="C10" s="85"/>
      <c r="D10" s="85"/>
      <c r="E10" s="195"/>
      <c r="F10" s="103"/>
      <c r="G10" s="151">
        <v>43585.259375000001</v>
      </c>
      <c r="H10" s="85">
        <v>22000</v>
      </c>
      <c r="I10" s="85"/>
      <c r="J10" s="85"/>
      <c r="K10" s="195"/>
      <c r="L10" s="212"/>
      <c r="M10" s="156">
        <f>H10*0.03</f>
        <v>660</v>
      </c>
      <c r="N10" s="156"/>
      <c r="O10" s="156"/>
      <c r="P10" s="157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1"/>
      <c r="CW10" s="111"/>
      <c r="CX10" s="111"/>
      <c r="CY10" s="111"/>
      <c r="CZ10" s="111"/>
      <c r="DA10" s="111"/>
      <c r="DB10" s="111"/>
      <c r="DC10" s="111"/>
      <c r="DD10" s="111"/>
      <c r="DE10" s="111"/>
      <c r="DF10" s="111"/>
      <c r="DG10" s="111"/>
      <c r="DH10" s="111"/>
      <c r="DI10" s="111"/>
      <c r="DJ10" s="111"/>
      <c r="DK10" s="111"/>
      <c r="DL10" s="111"/>
      <c r="DM10" s="111"/>
      <c r="DN10" s="111"/>
      <c r="DO10" s="111"/>
      <c r="DP10" s="111"/>
      <c r="DQ10" s="111"/>
      <c r="DR10" s="111"/>
      <c r="DS10" s="111"/>
      <c r="DT10" s="111"/>
      <c r="DU10" s="111"/>
      <c r="DV10" s="111"/>
      <c r="DW10" s="111"/>
      <c r="DX10" s="111"/>
      <c r="DY10" s="111"/>
      <c r="DZ10" s="111"/>
      <c r="EA10" s="111"/>
      <c r="EB10" s="111"/>
      <c r="EC10" s="111"/>
      <c r="ED10" s="111"/>
      <c r="EE10" s="111"/>
      <c r="EF10" s="111"/>
      <c r="EG10" s="111"/>
      <c r="EH10" s="111"/>
      <c r="EI10" s="111"/>
      <c r="EJ10" s="111"/>
      <c r="EK10" s="111"/>
      <c r="EL10" s="111"/>
      <c r="EM10" s="111"/>
      <c r="EN10" s="111"/>
      <c r="EO10" s="111"/>
      <c r="EP10" s="111"/>
      <c r="EQ10" s="111"/>
      <c r="ER10" s="111"/>
      <c r="ES10" s="111"/>
      <c r="ET10" s="111"/>
      <c r="EU10" s="111"/>
      <c r="EV10" s="111"/>
      <c r="EW10" s="111"/>
      <c r="EX10" s="111"/>
      <c r="EY10" s="111"/>
      <c r="EZ10" s="111"/>
      <c r="FA10" s="111"/>
      <c r="FB10" s="111"/>
      <c r="FC10" s="111"/>
      <c r="FD10" s="111"/>
      <c r="FE10" s="111"/>
      <c r="FF10" s="111"/>
      <c r="FG10" s="111"/>
      <c r="FH10" s="111"/>
      <c r="FI10" s="111"/>
      <c r="FJ10" s="111"/>
      <c r="FK10" s="111"/>
      <c r="FL10" s="111"/>
      <c r="FM10" s="111"/>
      <c r="FN10" s="111"/>
      <c r="FO10" s="111"/>
      <c r="FP10" s="111"/>
    </row>
    <row r="11" spans="1:214" x14ac:dyDescent="0.25">
      <c r="A11" s="151">
        <v>43585.259375000001</v>
      </c>
      <c r="B11" s="44">
        <v>0</v>
      </c>
      <c r="C11" s="44"/>
      <c r="D11" s="85">
        <f>IF(A11&gt;1,(B10*0.03),"")</f>
        <v>300</v>
      </c>
      <c r="E11" s="195">
        <v>300</v>
      </c>
      <c r="G11" s="151">
        <v>43585.259375000001</v>
      </c>
      <c r="H11" s="44">
        <v>0</v>
      </c>
      <c r="I11" s="44"/>
      <c r="J11" s="85">
        <f>IF(G11&gt;1,(H10*0.03),"")</f>
        <v>660</v>
      </c>
      <c r="K11" s="195">
        <v>0</v>
      </c>
      <c r="L11" s="114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ht="18.75" x14ac:dyDescent="0.25">
      <c r="A12" s="151">
        <v>43585.259375000001</v>
      </c>
      <c r="B12" s="44">
        <v>1000</v>
      </c>
      <c r="C12" s="44"/>
      <c r="D12" s="85">
        <f t="shared" ref="D12:D43" si="0">IF(A12&gt;1,D11-(C11*0.03)+(B11*0.03),"")</f>
        <v>300</v>
      </c>
      <c r="E12" s="195">
        <v>300</v>
      </c>
      <c r="F12" s="103"/>
      <c r="G12" s="151">
        <v>43585.259375000001</v>
      </c>
      <c r="H12" s="44">
        <v>1000</v>
      </c>
      <c r="I12" s="44"/>
      <c r="J12" s="85">
        <f t="shared" ref="J12:J43" si="1">IF(G12&gt;1,J11-(I11*0.03)+(H11*0.03),"")</f>
        <v>660</v>
      </c>
      <c r="K12" s="195">
        <v>0</v>
      </c>
      <c r="L12" s="114"/>
      <c r="M12" s="156">
        <f>(H10+H12)*0.03</f>
        <v>690</v>
      </c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>
        <v>43585.259375000001</v>
      </c>
      <c r="B13" s="44">
        <v>0</v>
      </c>
      <c r="C13" s="44">
        <v>1000</v>
      </c>
      <c r="D13" s="85">
        <f t="shared" si="0"/>
        <v>330</v>
      </c>
      <c r="E13" s="195">
        <v>330</v>
      </c>
      <c r="G13" s="151">
        <v>43585.259375000001</v>
      </c>
      <c r="H13" s="44">
        <v>0</v>
      </c>
      <c r="I13" s="44">
        <v>15000</v>
      </c>
      <c r="J13" s="85">
        <f t="shared" si="1"/>
        <v>690</v>
      </c>
      <c r="K13" s="195">
        <v>0</v>
      </c>
      <c r="L13" s="114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>
        <v>43585.259375000001</v>
      </c>
      <c r="B14" s="44">
        <v>0</v>
      </c>
      <c r="C14" s="44"/>
      <c r="D14" s="85">
        <f t="shared" si="0"/>
        <v>300</v>
      </c>
      <c r="E14" s="195">
        <v>300</v>
      </c>
      <c r="G14" s="151">
        <v>43585.259375000001</v>
      </c>
      <c r="H14" s="44">
        <v>0</v>
      </c>
      <c r="I14" s="44"/>
      <c r="J14" s="85">
        <f t="shared" si="1"/>
        <v>240</v>
      </c>
      <c r="K14" s="195">
        <v>2000</v>
      </c>
      <c r="L14" s="114"/>
      <c r="M14" s="97">
        <f>(H10+H12-I13) * 0.03</f>
        <v>240</v>
      </c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>
        <v>43585.259375000001</v>
      </c>
      <c r="B15" s="44">
        <v>3000</v>
      </c>
      <c r="C15" s="44"/>
      <c r="D15" s="85">
        <f t="shared" si="0"/>
        <v>300</v>
      </c>
      <c r="E15" s="195">
        <v>300</v>
      </c>
      <c r="G15" s="151">
        <v>43585.259375000001</v>
      </c>
      <c r="H15" s="44">
        <v>0</v>
      </c>
      <c r="I15" s="44"/>
      <c r="J15" s="85">
        <f t="shared" si="1"/>
        <v>240</v>
      </c>
      <c r="K15" s="195">
        <v>400</v>
      </c>
      <c r="L15" s="114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>
        <v>43585.259375000001</v>
      </c>
      <c r="B16" s="196">
        <v>0</v>
      </c>
      <c r="C16" s="44"/>
      <c r="D16" s="85">
        <f t="shared" si="0"/>
        <v>390</v>
      </c>
      <c r="E16" s="195">
        <v>390</v>
      </c>
      <c r="G16" s="151">
        <v>43585.259375000001</v>
      </c>
      <c r="H16" s="196">
        <v>0</v>
      </c>
      <c r="I16" s="44">
        <v>5000</v>
      </c>
      <c r="J16" s="85">
        <f t="shared" si="1"/>
        <v>240</v>
      </c>
      <c r="K16" s="195">
        <v>0</v>
      </c>
      <c r="L16" s="114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>
        <v>43585.259375000001</v>
      </c>
      <c r="B17" s="196">
        <v>3000</v>
      </c>
      <c r="C17" s="44"/>
      <c r="D17" s="85">
        <f t="shared" si="0"/>
        <v>390</v>
      </c>
      <c r="E17" s="195">
        <v>390</v>
      </c>
      <c r="G17" s="151">
        <v>43585.259375000001</v>
      </c>
      <c r="H17" s="196">
        <v>3000</v>
      </c>
      <c r="I17" s="44"/>
      <c r="J17" s="85">
        <f t="shared" si="1"/>
        <v>90</v>
      </c>
      <c r="K17" s="195">
        <v>0</v>
      </c>
      <c r="L17" s="114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>
        <v>43585.259375000001</v>
      </c>
      <c r="B18" s="196">
        <v>0</v>
      </c>
      <c r="C18" s="44"/>
      <c r="D18" s="85">
        <f t="shared" si="0"/>
        <v>480</v>
      </c>
      <c r="E18" s="195">
        <v>480</v>
      </c>
      <c r="G18" s="151">
        <v>43585.259375000001</v>
      </c>
      <c r="H18" s="196">
        <v>0</v>
      </c>
      <c r="I18" s="44">
        <v>2000</v>
      </c>
      <c r="J18" s="85">
        <f t="shared" si="1"/>
        <v>180</v>
      </c>
      <c r="K18" s="195">
        <v>600</v>
      </c>
      <c r="L18" s="114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>
        <v>43585.259375000001</v>
      </c>
      <c r="B19" s="196">
        <v>0</v>
      </c>
      <c r="C19" s="44">
        <v>12000</v>
      </c>
      <c r="D19" s="85">
        <f t="shared" si="0"/>
        <v>480</v>
      </c>
      <c r="E19" s="195">
        <v>480</v>
      </c>
      <c r="G19" s="151">
        <v>43585.259375000001</v>
      </c>
      <c r="H19" s="196">
        <v>0</v>
      </c>
      <c r="I19" s="44"/>
      <c r="J19" s="85">
        <f t="shared" si="1"/>
        <v>120</v>
      </c>
      <c r="K19" s="195"/>
      <c r="L19" s="114"/>
      <c r="M19" s="97">
        <f>(26000-22000) * 0.03</f>
        <v>120</v>
      </c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>
        <v>43585.259375000001</v>
      </c>
      <c r="B20" s="44">
        <v>0</v>
      </c>
      <c r="C20" s="44">
        <v>2500</v>
      </c>
      <c r="D20" s="85">
        <f t="shared" si="0"/>
        <v>120</v>
      </c>
      <c r="E20" s="195">
        <v>120</v>
      </c>
      <c r="G20" s="151">
        <v>43585.259375000001</v>
      </c>
      <c r="H20" s="44">
        <v>0</v>
      </c>
      <c r="I20" s="44">
        <v>4000</v>
      </c>
      <c r="J20" s="85">
        <f t="shared" si="1"/>
        <v>120</v>
      </c>
      <c r="K20" s="195"/>
      <c r="L20" s="114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>
        <v>43585.259375000001</v>
      </c>
      <c r="B21" s="44">
        <v>0</v>
      </c>
      <c r="C21" s="44"/>
      <c r="D21" s="85">
        <f t="shared" si="0"/>
        <v>45</v>
      </c>
      <c r="E21" s="195">
        <v>0</v>
      </c>
      <c r="G21" s="151">
        <v>43585.259375000001</v>
      </c>
      <c r="H21" s="44">
        <v>0</v>
      </c>
      <c r="I21" s="44"/>
      <c r="J21" s="85">
        <f t="shared" si="1"/>
        <v>0</v>
      </c>
      <c r="K21" s="195">
        <v>240</v>
      </c>
      <c r="L21" s="114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>
        <v>43585.259375000001</v>
      </c>
      <c r="B22" s="44">
        <v>0</v>
      </c>
      <c r="C22" s="44"/>
      <c r="D22" s="85">
        <f t="shared" si="0"/>
        <v>45</v>
      </c>
      <c r="E22" s="195">
        <v>0</v>
      </c>
      <c r="G22" s="151">
        <v>43585.259375000001</v>
      </c>
      <c r="H22" s="44">
        <v>0</v>
      </c>
      <c r="I22" s="44"/>
      <c r="J22" s="85">
        <f t="shared" si="1"/>
        <v>0</v>
      </c>
      <c r="K22" s="195"/>
      <c r="L22" s="114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>
        <v>43585.259375000001</v>
      </c>
      <c r="B23" s="44">
        <v>0</v>
      </c>
      <c r="C23" s="44"/>
      <c r="D23" s="85">
        <f t="shared" si="0"/>
        <v>45</v>
      </c>
      <c r="E23" s="195">
        <v>0</v>
      </c>
      <c r="G23" s="151"/>
      <c r="H23" s="44">
        <v>0</v>
      </c>
      <c r="I23" s="44"/>
      <c r="J23" s="85" t="str">
        <f t="shared" si="1"/>
        <v/>
      </c>
      <c r="K23" s="195"/>
      <c r="L23" s="114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>
        <v>43585.259375000001</v>
      </c>
      <c r="B24" s="44">
        <v>0</v>
      </c>
      <c r="C24" s="44"/>
      <c r="D24" s="85">
        <f t="shared" si="0"/>
        <v>45</v>
      </c>
      <c r="E24" s="195">
        <v>0</v>
      </c>
      <c r="G24" s="151"/>
      <c r="H24" s="44">
        <v>0</v>
      </c>
      <c r="I24" s="44"/>
      <c r="J24" s="85" t="str">
        <f t="shared" si="1"/>
        <v/>
      </c>
      <c r="K24" s="195"/>
      <c r="L24" s="114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>
        <v>43585.259375000001</v>
      </c>
      <c r="B25" s="44">
        <v>0</v>
      </c>
      <c r="C25" s="44">
        <v>1500</v>
      </c>
      <c r="D25" s="85">
        <f t="shared" si="0"/>
        <v>45</v>
      </c>
      <c r="E25" s="195">
        <v>225</v>
      </c>
      <c r="G25" s="151"/>
      <c r="H25" s="44">
        <v>0</v>
      </c>
      <c r="I25" s="44"/>
      <c r="J25" s="85" t="str">
        <f t="shared" si="1"/>
        <v/>
      </c>
      <c r="K25" s="195"/>
      <c r="L25" s="114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>
        <v>43585.259375000001</v>
      </c>
      <c r="B26" s="196">
        <v>0</v>
      </c>
      <c r="C26" s="44"/>
      <c r="D26" s="85">
        <f t="shared" si="0"/>
        <v>0</v>
      </c>
      <c r="E26" s="195"/>
      <c r="G26" s="151"/>
      <c r="H26" s="196">
        <v>0</v>
      </c>
      <c r="I26" s="44"/>
      <c r="J26" s="85" t="str">
        <f t="shared" si="1"/>
        <v/>
      </c>
      <c r="K26" s="195"/>
      <c r="L26" s="114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313"/>
      <c r="B27" s="84">
        <v>0</v>
      </c>
      <c r="C27" s="84"/>
      <c r="D27" s="84" t="str">
        <f t="shared" si="0"/>
        <v/>
      </c>
      <c r="E27" s="314" t="s">
        <v>107</v>
      </c>
      <c r="G27" s="151"/>
      <c r="H27" s="196">
        <v>0</v>
      </c>
      <c r="I27" s="44"/>
      <c r="J27" s="85" t="str">
        <f t="shared" si="1"/>
        <v/>
      </c>
      <c r="K27" s="195"/>
      <c r="L27" s="114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313"/>
      <c r="B28" s="84">
        <v>0</v>
      </c>
      <c r="C28" s="84"/>
      <c r="D28" s="84" t="str">
        <f t="shared" si="0"/>
        <v/>
      </c>
      <c r="E28" s="315"/>
      <c r="G28" s="151"/>
      <c r="H28" s="196">
        <v>0</v>
      </c>
      <c r="I28" s="44"/>
      <c r="J28" s="85" t="str">
        <f t="shared" si="1"/>
        <v/>
      </c>
      <c r="K28" s="195"/>
      <c r="L28" s="114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196">
        <v>0</v>
      </c>
      <c r="C29" s="44"/>
      <c r="D29" s="85" t="str">
        <f t="shared" si="0"/>
        <v/>
      </c>
      <c r="E29" s="195"/>
      <c r="G29" s="151"/>
      <c r="H29" s="196">
        <v>0</v>
      </c>
      <c r="I29" s="44"/>
      <c r="J29" s="85" t="str">
        <f t="shared" si="1"/>
        <v/>
      </c>
      <c r="K29" s="195"/>
      <c r="L29" s="114"/>
      <c r="M29" s="97"/>
      <c r="N29" s="97"/>
      <c r="O29" s="97"/>
      <c r="P29" s="108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196">
        <v>0</v>
      </c>
      <c r="C30" s="44"/>
      <c r="D30" s="85" t="str">
        <f t="shared" si="0"/>
        <v/>
      </c>
      <c r="E30" s="195"/>
      <c r="G30" s="151"/>
      <c r="H30" s="196">
        <v>0</v>
      </c>
      <c r="I30" s="44"/>
      <c r="J30" s="85" t="str">
        <f t="shared" si="1"/>
        <v/>
      </c>
      <c r="K30" s="195"/>
      <c r="L30" s="11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196">
        <v>0</v>
      </c>
      <c r="C31" s="44"/>
      <c r="D31" s="85" t="str">
        <f t="shared" si="0"/>
        <v/>
      </c>
      <c r="E31" s="195"/>
      <c r="G31" s="151"/>
      <c r="H31" s="196">
        <v>0</v>
      </c>
      <c r="I31" s="44"/>
      <c r="J31" s="85" t="str">
        <f t="shared" si="1"/>
        <v/>
      </c>
      <c r="K31" s="195"/>
      <c r="L31" s="11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196">
        <v>0</v>
      </c>
      <c r="C32" s="44"/>
      <c r="D32" s="85" t="str">
        <f t="shared" si="0"/>
        <v/>
      </c>
      <c r="E32" s="195"/>
      <c r="G32" s="151"/>
      <c r="H32" s="196">
        <v>0</v>
      </c>
      <c r="I32" s="44"/>
      <c r="J32" s="85" t="str">
        <f t="shared" si="1"/>
        <v/>
      </c>
      <c r="K32" s="195"/>
      <c r="L32" s="11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196">
        <v>0</v>
      </c>
      <c r="C33" s="44"/>
      <c r="D33" s="85" t="str">
        <f t="shared" si="0"/>
        <v/>
      </c>
      <c r="E33" s="195"/>
      <c r="G33" s="151"/>
      <c r="H33" s="196">
        <v>0</v>
      </c>
      <c r="I33" s="44"/>
      <c r="J33" s="85" t="str">
        <f t="shared" si="1"/>
        <v/>
      </c>
      <c r="K33" s="195"/>
      <c r="L33" s="11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196">
        <v>0</v>
      </c>
      <c r="C34" s="44"/>
      <c r="D34" s="85" t="str">
        <f t="shared" si="0"/>
        <v/>
      </c>
      <c r="E34" s="195"/>
      <c r="G34" s="151"/>
      <c r="H34" s="196">
        <v>0</v>
      </c>
      <c r="I34" s="44"/>
      <c r="J34" s="85" t="str">
        <f t="shared" si="1"/>
        <v/>
      </c>
      <c r="K34" s="195"/>
      <c r="L34" s="11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196">
        <v>0</v>
      </c>
      <c r="C35" s="44"/>
      <c r="D35" s="85" t="str">
        <f t="shared" si="0"/>
        <v/>
      </c>
      <c r="E35" s="195"/>
      <c r="G35" s="151"/>
      <c r="H35" s="196">
        <v>0</v>
      </c>
      <c r="I35" s="44"/>
      <c r="J35" s="85" t="str">
        <f t="shared" si="1"/>
        <v/>
      </c>
      <c r="K35" s="195"/>
      <c r="L35" s="11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196">
        <v>0</v>
      </c>
      <c r="C36" s="44"/>
      <c r="D36" s="85" t="str">
        <f t="shared" si="0"/>
        <v/>
      </c>
      <c r="E36" s="195"/>
      <c r="G36" s="151"/>
      <c r="H36" s="196">
        <v>0</v>
      </c>
      <c r="I36" s="44"/>
      <c r="J36" s="85" t="str">
        <f t="shared" si="1"/>
        <v/>
      </c>
      <c r="K36" s="195"/>
      <c r="L36" s="11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196">
        <v>0</v>
      </c>
      <c r="C37" s="44"/>
      <c r="D37" s="85" t="str">
        <f t="shared" si="0"/>
        <v/>
      </c>
      <c r="E37" s="195"/>
      <c r="G37" s="151"/>
      <c r="H37" s="196">
        <v>0</v>
      </c>
      <c r="I37" s="44"/>
      <c r="J37" s="85" t="str">
        <f t="shared" si="1"/>
        <v/>
      </c>
      <c r="K37" s="195"/>
      <c r="L37" s="11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196">
        <v>0</v>
      </c>
      <c r="C38" s="44"/>
      <c r="D38" s="85" t="str">
        <f t="shared" si="0"/>
        <v/>
      </c>
      <c r="E38" s="195"/>
      <c r="G38" s="151"/>
      <c r="H38" s="196">
        <v>0</v>
      </c>
      <c r="I38" s="44"/>
      <c r="J38" s="85" t="str">
        <f t="shared" si="1"/>
        <v/>
      </c>
      <c r="K38" s="195"/>
      <c r="L38" s="11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196">
        <v>0</v>
      </c>
      <c r="C39" s="44"/>
      <c r="D39" s="85" t="str">
        <f t="shared" si="0"/>
        <v/>
      </c>
      <c r="E39" s="195"/>
      <c r="G39" s="151"/>
      <c r="H39" s="196">
        <v>0</v>
      </c>
      <c r="I39" s="44"/>
      <c r="J39" s="85" t="str">
        <f t="shared" si="1"/>
        <v/>
      </c>
      <c r="K39" s="195"/>
      <c r="L39" s="11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196">
        <v>0</v>
      </c>
      <c r="C40" s="44"/>
      <c r="D40" s="85" t="str">
        <f t="shared" si="0"/>
        <v/>
      </c>
      <c r="E40" s="195"/>
      <c r="G40" s="151"/>
      <c r="H40" s="196">
        <v>0</v>
      </c>
      <c r="I40" s="44"/>
      <c r="J40" s="85" t="str">
        <f t="shared" si="1"/>
        <v/>
      </c>
      <c r="K40" s="195"/>
      <c r="L40" s="11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196">
        <v>0</v>
      </c>
      <c r="C41" s="44"/>
      <c r="D41" s="85" t="str">
        <f t="shared" si="0"/>
        <v/>
      </c>
      <c r="E41" s="195"/>
      <c r="G41" s="151"/>
      <c r="H41" s="196">
        <v>0</v>
      </c>
      <c r="I41" s="44"/>
      <c r="J41" s="85" t="str">
        <f t="shared" si="1"/>
        <v/>
      </c>
      <c r="K41" s="195"/>
      <c r="L41" s="11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196">
        <v>0</v>
      </c>
      <c r="C42" s="44"/>
      <c r="D42" s="85" t="str">
        <f t="shared" si="0"/>
        <v/>
      </c>
      <c r="E42" s="195"/>
      <c r="G42" s="151"/>
      <c r="H42" s="196">
        <v>0</v>
      </c>
      <c r="I42" s="44"/>
      <c r="J42" s="85" t="str">
        <f t="shared" si="1"/>
        <v/>
      </c>
      <c r="K42" s="195"/>
      <c r="L42" s="11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152"/>
      <c r="B43" s="197">
        <v>0</v>
      </c>
      <c r="C43" s="198"/>
      <c r="D43" s="85" t="str">
        <f t="shared" si="0"/>
        <v/>
      </c>
      <c r="E43" s="213"/>
      <c r="G43" s="152"/>
      <c r="H43" s="197">
        <v>0</v>
      </c>
      <c r="I43" s="198"/>
      <c r="J43" s="85" t="str">
        <f t="shared" si="1"/>
        <v/>
      </c>
      <c r="K43" s="213"/>
      <c r="L43" s="11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11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11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11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4"/>
      <c r="B47" s="44"/>
      <c r="C47" s="44"/>
      <c r="D47" s="44"/>
      <c r="E47" s="44"/>
      <c r="J47" s="4"/>
      <c r="K47" s="4"/>
      <c r="L47" s="11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4"/>
      <c r="B48" s="44"/>
      <c r="C48" s="44"/>
      <c r="D48" s="44"/>
      <c r="E48" s="44"/>
      <c r="I48" s="4"/>
      <c r="J48" s="4"/>
      <c r="K48" s="4"/>
      <c r="L48" s="11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4"/>
      <c r="B49" s="44"/>
      <c r="C49" s="44"/>
      <c r="D49" s="44"/>
      <c r="E49" s="44"/>
      <c r="I49" s="4"/>
      <c r="J49" s="4"/>
      <c r="K49" s="4"/>
      <c r="L49" s="11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4"/>
      <c r="B50" s="44"/>
      <c r="C50" s="44"/>
      <c r="D50" s="44"/>
      <c r="E50" s="44"/>
      <c r="I50" s="4"/>
      <c r="J50" s="4"/>
      <c r="K50" s="4"/>
      <c r="L50" s="11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4"/>
      <c r="B51" s="44"/>
      <c r="C51" s="44"/>
      <c r="D51" s="44"/>
      <c r="E51" s="44"/>
      <c r="I51" s="4"/>
      <c r="J51" s="4"/>
      <c r="K51" s="4"/>
      <c r="L51" s="11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84">
        <v>1</v>
      </c>
      <c r="B52" s="196"/>
      <c r="C52" s="196">
        <v>3</v>
      </c>
      <c r="D52" s="196">
        <v>4</v>
      </c>
      <c r="E52" s="84">
        <v>5</v>
      </c>
      <c r="F52" s="179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114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199"/>
      <c r="B53" s="196"/>
      <c r="C53" s="196"/>
      <c r="D53" s="196"/>
      <c r="E53" s="200"/>
      <c r="F53" s="179"/>
      <c r="G53" s="4"/>
      <c r="H53" s="4"/>
      <c r="I53" s="4"/>
      <c r="J53" s="4"/>
      <c r="K53" s="4"/>
      <c r="L53" s="11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199"/>
      <c r="B54" s="196"/>
      <c r="C54" s="196"/>
      <c r="D54" s="196"/>
      <c r="E54" s="200"/>
      <c r="F54" s="179"/>
      <c r="G54" s="4"/>
      <c r="H54" s="4"/>
      <c r="I54" s="4"/>
      <c r="J54" s="4"/>
      <c r="K54" s="4"/>
      <c r="L54" s="11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199"/>
      <c r="B55" s="196"/>
      <c r="C55" s="196"/>
      <c r="D55" s="196"/>
      <c r="E55" s="200"/>
      <c r="F55" s="179"/>
      <c r="G55" s="4"/>
      <c r="H55" s="4"/>
      <c r="I55" s="4"/>
      <c r="J55" s="4"/>
      <c r="K55" s="4"/>
      <c r="L55" s="11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199"/>
      <c r="B56" s="196"/>
      <c r="C56" s="196"/>
      <c r="D56" s="196"/>
      <c r="E56" s="200"/>
      <c r="F56" s="179"/>
      <c r="G56" s="4"/>
      <c r="H56" s="4"/>
      <c r="I56" s="4"/>
      <c r="J56" s="4"/>
      <c r="K56" s="4"/>
      <c r="L56" s="11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199"/>
      <c r="B57" s="196"/>
      <c r="C57" s="196"/>
      <c r="D57" s="196"/>
      <c r="E57" s="200"/>
      <c r="F57" s="179"/>
      <c r="G57" s="4"/>
      <c r="H57" s="4"/>
      <c r="I57" s="4"/>
      <c r="J57" s="4"/>
      <c r="K57" s="4"/>
      <c r="L57" s="11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199"/>
      <c r="B58" s="196"/>
      <c r="C58" s="196"/>
      <c r="D58" s="196"/>
      <c r="E58" s="200"/>
      <c r="F58" s="179"/>
      <c r="G58" s="4"/>
      <c r="H58" s="4"/>
      <c r="I58" s="4"/>
      <c r="J58" s="4"/>
      <c r="K58" s="4"/>
      <c r="L58" s="11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199"/>
      <c r="B59" s="196"/>
      <c r="C59" s="196"/>
      <c r="D59" s="196"/>
      <c r="E59" s="200"/>
      <c r="F59" s="179"/>
      <c r="G59" s="4"/>
      <c r="H59" s="4"/>
      <c r="I59" s="4"/>
      <c r="J59" s="4"/>
      <c r="K59" s="4"/>
      <c r="L59" s="11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199"/>
      <c r="B60" s="196"/>
      <c r="C60" s="196"/>
      <c r="D60" s="196"/>
      <c r="E60" s="200"/>
      <c r="F60" s="179"/>
      <c r="G60" s="4"/>
      <c r="H60" s="4"/>
      <c r="I60" s="4"/>
      <c r="J60" s="4"/>
      <c r="K60" s="4"/>
      <c r="L60" s="11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199"/>
      <c r="B61" s="196"/>
      <c r="C61" s="196"/>
      <c r="D61" s="196"/>
      <c r="E61" s="200"/>
      <c r="F61" s="179"/>
      <c r="G61" s="4"/>
      <c r="H61" s="4"/>
      <c r="I61" s="4"/>
      <c r="J61" s="4"/>
      <c r="K61" s="4"/>
      <c r="L61" s="11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199"/>
      <c r="B62" s="196"/>
      <c r="C62" s="196"/>
      <c r="D62" s="196"/>
      <c r="E62" s="200"/>
      <c r="F62" s="179"/>
      <c r="G62" s="4"/>
      <c r="H62" s="4"/>
      <c r="I62" s="4"/>
      <c r="J62" s="4"/>
      <c r="K62" s="4"/>
      <c r="L62" s="11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199"/>
      <c r="B63" s="196"/>
      <c r="C63" s="196"/>
      <c r="D63" s="196"/>
      <c r="E63" s="200"/>
      <c r="F63" s="179"/>
      <c r="G63" s="4"/>
      <c r="H63" s="4"/>
      <c r="I63" s="4"/>
      <c r="J63" s="4"/>
      <c r="K63" s="4"/>
      <c r="L63" s="11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201"/>
      <c r="B64" s="196"/>
      <c r="C64" s="196"/>
      <c r="D64" s="196"/>
      <c r="E64" s="200"/>
      <c r="F64" s="179"/>
      <c r="G64" s="4"/>
      <c r="H64" s="4"/>
      <c r="I64" s="4"/>
      <c r="J64" s="4"/>
      <c r="K64" s="4"/>
      <c r="L64" s="11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4"/>
      <c r="B65" s="196"/>
      <c r="C65" s="44"/>
      <c r="D65" s="196"/>
      <c r="E65" s="200"/>
      <c r="F65" s="179"/>
      <c r="G65" s="4"/>
      <c r="H65" s="4"/>
      <c r="I65" s="4"/>
      <c r="J65" s="4"/>
      <c r="K65" s="4"/>
      <c r="L65" s="11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4"/>
      <c r="B66" s="44"/>
      <c r="C66" s="44"/>
      <c r="D66" s="44"/>
      <c r="E66" s="200"/>
      <c r="F66" s="179"/>
      <c r="G66" s="4"/>
      <c r="H66" s="4"/>
      <c r="I66" s="4"/>
      <c r="J66" s="4"/>
      <c r="K66" s="4"/>
      <c r="L66" s="11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4"/>
      <c r="B67" s="44"/>
      <c r="C67" s="44"/>
      <c r="D67" s="44"/>
      <c r="E67" s="200"/>
      <c r="F67" s="179"/>
      <c r="G67" s="4"/>
      <c r="H67" s="4"/>
      <c r="I67" s="4"/>
      <c r="J67" s="4"/>
      <c r="K67" s="4"/>
      <c r="L67" s="11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4"/>
      <c r="B68" s="44"/>
      <c r="C68" s="44"/>
      <c r="D68" s="44"/>
      <c r="E68" s="200"/>
      <c r="F68" s="179"/>
      <c r="G68" s="4"/>
      <c r="H68" s="4"/>
      <c r="I68" s="4"/>
      <c r="J68" s="4"/>
      <c r="K68" s="4"/>
      <c r="L68" s="11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4"/>
      <c r="B69" s="44"/>
      <c r="C69" s="44"/>
      <c r="D69" s="44"/>
      <c r="E69" s="200"/>
      <c r="F69" s="179"/>
      <c r="G69" s="4"/>
      <c r="H69" s="4"/>
      <c r="I69" s="4"/>
      <c r="J69" s="4"/>
      <c r="K69" s="4"/>
      <c r="L69" s="11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4"/>
      <c r="B70" s="44"/>
      <c r="C70" s="44"/>
      <c r="D70" s="44"/>
      <c r="E70" s="200"/>
      <c r="F70" s="179"/>
      <c r="G70" s="4"/>
      <c r="H70" s="4"/>
      <c r="I70" s="4"/>
      <c r="J70" s="4"/>
      <c r="K70" s="4"/>
      <c r="L70" s="11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202"/>
      <c r="F71" s="114"/>
      <c r="G71" s="4"/>
      <c r="H71" s="4"/>
      <c r="I71" s="4"/>
      <c r="J71" s="4"/>
      <c r="K71" s="4"/>
      <c r="L71" s="11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200"/>
      <c r="F72" s="114"/>
      <c r="G72" s="4"/>
      <c r="H72" s="4"/>
      <c r="I72" s="4"/>
      <c r="J72" s="4"/>
      <c r="K72" s="4"/>
      <c r="L72" s="11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200"/>
      <c r="F73" s="114"/>
      <c r="G73" s="4"/>
      <c r="H73" s="4"/>
      <c r="I73" s="4"/>
      <c r="J73" s="4"/>
      <c r="K73" s="4"/>
      <c r="L73" s="11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200"/>
      <c r="F74" s="114"/>
      <c r="G74" s="4"/>
      <c r="H74" s="4"/>
      <c r="I74" s="4"/>
      <c r="J74" s="4"/>
      <c r="K74" s="4"/>
      <c r="L74" s="11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200"/>
      <c r="F75" s="114"/>
      <c r="G75" s="4"/>
      <c r="H75" s="4"/>
      <c r="I75" s="4"/>
      <c r="J75" s="4"/>
      <c r="K75" s="4"/>
      <c r="L75" s="11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200"/>
      <c r="F76" s="114"/>
      <c r="G76" s="4"/>
      <c r="H76" s="4"/>
      <c r="I76" s="4"/>
      <c r="J76" s="4"/>
      <c r="K76" s="4"/>
      <c r="L76" s="11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200"/>
      <c r="F77" s="114"/>
      <c r="G77" s="4"/>
      <c r="H77" s="4"/>
      <c r="I77" s="4"/>
      <c r="J77" s="4"/>
      <c r="K77" s="4"/>
      <c r="L77" s="11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200"/>
      <c r="F78" s="114"/>
      <c r="G78" s="4"/>
      <c r="H78" s="4"/>
      <c r="I78" s="4"/>
      <c r="J78" s="4"/>
      <c r="K78" s="4"/>
      <c r="L78" s="11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200"/>
      <c r="F79" s="114"/>
      <c r="G79" s="4"/>
      <c r="H79" s="4"/>
      <c r="I79" s="4"/>
      <c r="J79" s="4"/>
      <c r="K79" s="4"/>
      <c r="L79" s="11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200"/>
      <c r="F80" s="114"/>
      <c r="G80" s="4"/>
      <c r="H80" s="4"/>
      <c r="I80" s="4"/>
      <c r="J80" s="4"/>
      <c r="K80" s="4"/>
      <c r="L80" s="11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200"/>
      <c r="F81" s="114"/>
      <c r="G81" s="4"/>
      <c r="H81" s="4"/>
      <c r="I81" s="4"/>
      <c r="J81" s="4"/>
      <c r="K81" s="4"/>
      <c r="L81" s="11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200"/>
      <c r="F82" s="114"/>
      <c r="G82" s="4"/>
      <c r="H82" s="4"/>
      <c r="I82" s="4"/>
      <c r="J82" s="4"/>
      <c r="K82" s="4"/>
      <c r="L82" s="11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200"/>
      <c r="F83" s="114"/>
      <c r="G83" s="4"/>
      <c r="H83" s="4"/>
      <c r="I83" s="4"/>
      <c r="J83" s="4"/>
      <c r="K83" s="4"/>
      <c r="L83" s="11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200"/>
      <c r="F84" s="114"/>
      <c r="G84" s="4"/>
      <c r="H84" s="4"/>
      <c r="I84" s="4"/>
      <c r="J84" s="4"/>
      <c r="K84" s="4"/>
      <c r="L84" s="11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200"/>
      <c r="F85" s="114"/>
      <c r="G85" s="4"/>
      <c r="H85" s="4"/>
      <c r="I85" s="4"/>
      <c r="J85" s="4"/>
      <c r="K85" s="4"/>
      <c r="L85" s="11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200"/>
      <c r="F86" s="114"/>
      <c r="G86" s="4"/>
      <c r="H86" s="4"/>
      <c r="I86" s="4"/>
      <c r="J86" s="4"/>
      <c r="K86" s="4"/>
      <c r="L86" s="11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200"/>
      <c r="F87" s="114"/>
      <c r="G87" s="4"/>
      <c r="H87" s="4"/>
      <c r="I87" s="4"/>
      <c r="J87" s="4"/>
      <c r="K87" s="4"/>
      <c r="L87" s="11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200"/>
      <c r="F88" s="114"/>
      <c r="G88" s="4"/>
      <c r="H88" s="4"/>
      <c r="I88" s="4"/>
      <c r="J88" s="4"/>
      <c r="K88" s="4"/>
      <c r="L88" s="11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200"/>
      <c r="F89" s="114"/>
      <c r="G89" s="4"/>
      <c r="H89" s="4"/>
      <c r="I89" s="4"/>
      <c r="J89" s="4"/>
      <c r="K89" s="4"/>
      <c r="L89" s="11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200"/>
      <c r="F90" s="114"/>
      <c r="G90" s="4"/>
      <c r="H90" s="4"/>
      <c r="I90" s="4"/>
      <c r="J90" s="4"/>
      <c r="K90" s="4"/>
      <c r="L90" s="11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200"/>
      <c r="F91" s="114"/>
      <c r="G91" s="4"/>
      <c r="H91" s="4"/>
      <c r="I91" s="4"/>
      <c r="J91" s="4"/>
      <c r="K91" s="4"/>
      <c r="L91" s="11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200"/>
      <c r="F92" s="114"/>
      <c r="G92" s="4"/>
      <c r="H92" s="4"/>
      <c r="I92" s="4"/>
      <c r="J92" s="4"/>
      <c r="K92" s="4"/>
      <c r="L92" s="11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200"/>
      <c r="F93" s="114"/>
      <c r="G93" s="4"/>
      <c r="H93" s="4"/>
      <c r="I93" s="4"/>
      <c r="J93" s="4"/>
      <c r="K93" s="4"/>
      <c r="L93" s="11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200"/>
      <c r="F94" s="114"/>
      <c r="G94" s="4"/>
      <c r="H94" s="4"/>
      <c r="I94" s="4"/>
      <c r="J94" s="4"/>
      <c r="K94" s="4"/>
      <c r="L94" s="11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200"/>
      <c r="F95" s="114"/>
      <c r="G95" s="4"/>
      <c r="H95" s="4"/>
      <c r="I95" s="4"/>
      <c r="J95" s="4"/>
      <c r="K95" s="4"/>
      <c r="L95" s="11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20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20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204" t="s">
        <v>10</v>
      </c>
      <c r="B99" s="204" t="s">
        <v>8</v>
      </c>
      <c r="C99" s="204" t="s">
        <v>9</v>
      </c>
      <c r="D99" s="204" t="s">
        <v>7</v>
      </c>
      <c r="E99" s="204" t="s">
        <v>11</v>
      </c>
      <c r="F99" s="103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s="41" t="s">
        <v>41</v>
      </c>
      <c r="B100" s="41">
        <f>COUNTA(A1:HA1)</f>
        <v>2</v>
      </c>
      <c r="C100" s="41">
        <f>COUNTA(A1:A95)</f>
        <v>24</v>
      </c>
      <c r="D100" s="41">
        <f>SUM(E100,H100)</f>
        <v>28633</v>
      </c>
      <c r="E100" s="41">
        <f>SUM(B10:B95)</f>
        <v>17000</v>
      </c>
      <c r="F100" s="103">
        <f>SUM(C10:C95)</f>
        <v>17003</v>
      </c>
      <c r="G100">
        <v>5370</v>
      </c>
      <c r="H100">
        <f>F100-G100</f>
        <v>11633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s="41" t="s">
        <v>42</v>
      </c>
      <c r="C101" s="41">
        <f>COUNTA(E1:E95)</f>
        <v>18</v>
      </c>
      <c r="D101" s="41">
        <f>SUM(E101,H101)</f>
        <v>562811.37187500007</v>
      </c>
      <c r="E101" s="41">
        <f>SUM(F10:F95)</f>
        <v>6</v>
      </c>
      <c r="F101" s="103">
        <f>SUM(G10:G95)</f>
        <v>566615.37187500007</v>
      </c>
      <c r="G101">
        <v>3810</v>
      </c>
      <c r="H101">
        <f>F101-G101</f>
        <v>562805.37187500007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s="41" t="s">
        <v>82</v>
      </c>
      <c r="C102" s="41">
        <f>COUNTA(I1:I95)</f>
        <v>10</v>
      </c>
      <c r="D102" s="41">
        <f>SUM(E102,H102)</f>
        <v>3261</v>
      </c>
      <c r="E102" s="41">
        <f>SUM(J4:J95)</f>
        <v>3250</v>
      </c>
      <c r="F102" s="103">
        <f>SUM(K44:K95)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s="41" t="s">
        <v>83</v>
      </c>
      <c r="C103" s="41">
        <f>COUNTA(M1:M95)</f>
        <v>5</v>
      </c>
      <c r="D103" s="41">
        <f>SUM(E103,H103)</f>
        <v>29</v>
      </c>
      <c r="E103" s="41">
        <f>SUM(N4:N95)</f>
        <v>14</v>
      </c>
      <c r="F103" s="103">
        <f>SUM(O4:O95)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s="41" t="s">
        <v>84</v>
      </c>
      <c r="C104" s="41">
        <f>COUNTA(Q1:Q95)</f>
        <v>1</v>
      </c>
      <c r="D104" s="41">
        <f t="shared" ref="D104:D148" si="2">SUM(E104,H104)</f>
        <v>37</v>
      </c>
      <c r="E104" s="41">
        <f>SUM(R3:R95)</f>
        <v>18</v>
      </c>
      <c r="F104" s="103">
        <f>SUM(S3:S95)</f>
        <v>19</v>
      </c>
      <c r="H104">
        <f t="shared" ref="H104:H130" si="3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 s="41">
        <f>COUNTA(U1:U95)</f>
        <v>1</v>
      </c>
      <c r="D105" s="41">
        <f>SUM(E105,H105)</f>
        <v>45</v>
      </c>
      <c r="E105" s="41">
        <f>SUM(V3:V95)</f>
        <v>22</v>
      </c>
      <c r="F105" s="103">
        <f>SUM(W3:W95)</f>
        <v>23</v>
      </c>
      <c r="H105">
        <f t="shared" si="3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 s="41">
        <f>COUNTA(Y1:Y95)</f>
        <v>1</v>
      </c>
      <c r="D106" s="41">
        <f t="shared" si="2"/>
        <v>53</v>
      </c>
      <c r="E106" s="41">
        <f>SUM(Z3:Z95)</f>
        <v>26</v>
      </c>
      <c r="F106" s="103">
        <f>SUM(AA3:AA95)</f>
        <v>27</v>
      </c>
      <c r="H106">
        <f t="shared" si="3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 s="41">
        <f>COUNTA(AC1:AC95)</f>
        <v>1</v>
      </c>
      <c r="D107" s="41">
        <f t="shared" si="2"/>
        <v>61</v>
      </c>
      <c r="E107" s="41">
        <f>SUM(AD3:AD95)</f>
        <v>30</v>
      </c>
      <c r="F107" s="103">
        <f>SUM(AE3:AE95)</f>
        <v>31</v>
      </c>
      <c r="H107">
        <f t="shared" si="3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 s="41">
        <f>COUNTA(AG1:AG95)</f>
        <v>1</v>
      </c>
      <c r="D108" s="41">
        <f t="shared" si="2"/>
        <v>69</v>
      </c>
      <c r="E108" s="41">
        <f>SUM(AH3:AH95)</f>
        <v>34</v>
      </c>
      <c r="F108" s="103">
        <f>SUM(AI3:AI95)</f>
        <v>35</v>
      </c>
      <c r="H108">
        <f t="shared" si="3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 s="41">
        <f>COUNTA(AK1:AK95)</f>
        <v>1</v>
      </c>
      <c r="D109" s="41">
        <f t="shared" si="2"/>
        <v>77</v>
      </c>
      <c r="E109" s="41">
        <f>SUM(AL3:AL95)</f>
        <v>38</v>
      </c>
      <c r="F109" s="103">
        <f>SUM(AM3:AM95)</f>
        <v>39</v>
      </c>
      <c r="H109">
        <f t="shared" si="3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 s="41">
        <f>COUNTA(AO1:AO95)</f>
        <v>1</v>
      </c>
      <c r="D110" s="41">
        <f t="shared" si="2"/>
        <v>85</v>
      </c>
      <c r="E110" s="41">
        <f>SUM(AP3:AP95)</f>
        <v>42</v>
      </c>
      <c r="F110" s="103">
        <f>SUM(AQ3:AQ95)</f>
        <v>43</v>
      </c>
      <c r="H110">
        <f t="shared" si="3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 s="41">
        <f>COUNTA(AS1:AS95)</f>
        <v>1</v>
      </c>
      <c r="D111" s="41">
        <f t="shared" si="2"/>
        <v>93</v>
      </c>
      <c r="E111" s="41">
        <f>SUM(AT3:AT95)</f>
        <v>46</v>
      </c>
      <c r="F111" s="103">
        <f>SUM(AU3:AU95)</f>
        <v>47</v>
      </c>
      <c r="H111">
        <f t="shared" si="3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 s="41">
        <f>COUNTA(AW1:AW95)</f>
        <v>1</v>
      </c>
      <c r="D112" s="41">
        <f t="shared" si="2"/>
        <v>101</v>
      </c>
      <c r="E112" s="41">
        <f>SUM(AX3:AX95)</f>
        <v>50</v>
      </c>
      <c r="F112" s="103">
        <f>SUM(AY3:AY95)</f>
        <v>51</v>
      </c>
      <c r="H112">
        <f t="shared" si="3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 s="41">
        <f>COUNTA(BA1:BA95)</f>
        <v>1</v>
      </c>
      <c r="D113" s="41">
        <f t="shared" si="2"/>
        <v>109</v>
      </c>
      <c r="E113" s="41">
        <f>SUM(BB3:BB95)</f>
        <v>54</v>
      </c>
      <c r="F113" s="103">
        <f>SUM(BC3:BC95)</f>
        <v>55</v>
      </c>
      <c r="H113">
        <f t="shared" si="3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 s="41">
        <f>COUNTA(BE1:BE95)</f>
        <v>1</v>
      </c>
      <c r="D114" s="41">
        <f t="shared" si="2"/>
        <v>117</v>
      </c>
      <c r="E114" s="41">
        <f>SUM(BF3:BF95)</f>
        <v>58</v>
      </c>
      <c r="F114" s="103">
        <f>SUM(BG3:BG95)</f>
        <v>59</v>
      </c>
      <c r="H114">
        <f t="shared" si="3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 s="41">
        <f>COUNTA(BI1:BI95)</f>
        <v>1</v>
      </c>
      <c r="D115" s="41">
        <f t="shared" si="2"/>
        <v>125</v>
      </c>
      <c r="E115" s="41">
        <f>SUM(BJ3:BJ95)</f>
        <v>62</v>
      </c>
      <c r="F115" s="103">
        <f>SUM(BK3:BK95)</f>
        <v>63</v>
      </c>
      <c r="H115">
        <f t="shared" si="3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 s="41">
        <f>COUNTA(BM1:BM95)</f>
        <v>1</v>
      </c>
      <c r="D116" s="41">
        <f t="shared" si="2"/>
        <v>133</v>
      </c>
      <c r="E116" s="41">
        <f>SUM(BN3:BN95)</f>
        <v>66</v>
      </c>
      <c r="F116" s="103">
        <f>SUM(BO3:BO95)</f>
        <v>67</v>
      </c>
      <c r="H116">
        <f t="shared" si="3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 s="41">
        <f>COUNTA(BQ1:BQ95)</f>
        <v>1</v>
      </c>
      <c r="D117" s="41">
        <f t="shared" si="2"/>
        <v>141</v>
      </c>
      <c r="E117" s="41">
        <f>SUM(BR3:BR95)</f>
        <v>70</v>
      </c>
      <c r="F117" s="103">
        <f>SUM(BS3:BS95)</f>
        <v>71</v>
      </c>
      <c r="H117">
        <f t="shared" si="3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 s="41">
        <f>COUNTA(BU1:BU95)</f>
        <v>1</v>
      </c>
      <c r="D118" s="41">
        <f t="shared" si="2"/>
        <v>149</v>
      </c>
      <c r="E118" s="41">
        <f>SUM(BV3:BV95)</f>
        <v>74</v>
      </c>
      <c r="F118" s="103">
        <f>SUM(BW3:BW95)</f>
        <v>75</v>
      </c>
      <c r="H118">
        <f t="shared" si="3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 s="41">
        <f>COUNTA(BY1:BY95)</f>
        <v>1</v>
      </c>
      <c r="D119" s="41">
        <f t="shared" si="2"/>
        <v>157</v>
      </c>
      <c r="E119" s="41">
        <f>SUM(BZ3:BZ95)</f>
        <v>78</v>
      </c>
      <c r="F119" s="103">
        <f>SUM(CA3:CA95)</f>
        <v>79</v>
      </c>
      <c r="H119">
        <f t="shared" si="3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 s="41">
        <f>COUNTA(CC1:CC95)</f>
        <v>1</v>
      </c>
      <c r="D120" s="41">
        <f t="shared" si="2"/>
        <v>165</v>
      </c>
      <c r="E120" s="41">
        <f>SUM(CD3:CD95)</f>
        <v>82</v>
      </c>
      <c r="F120" s="103">
        <f>SUM(CE3:CE95)</f>
        <v>83</v>
      </c>
      <c r="H120">
        <f t="shared" si="3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 s="41">
        <f>COUNTA(CG1:CG95)</f>
        <v>1</v>
      </c>
      <c r="D121" s="41">
        <f t="shared" si="2"/>
        <v>173</v>
      </c>
      <c r="E121" s="41">
        <f>SUM(CH3:CH95)</f>
        <v>86</v>
      </c>
      <c r="F121" s="103">
        <f>SUM(CI3:CI95)</f>
        <v>87</v>
      </c>
      <c r="H121">
        <f t="shared" si="3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 s="41">
        <f>COUNTA(CK1:CK95)</f>
        <v>1</v>
      </c>
      <c r="D122" s="41">
        <f t="shared" si="2"/>
        <v>181</v>
      </c>
      <c r="E122" s="41">
        <f>SUM(CL3:CL95)</f>
        <v>90</v>
      </c>
      <c r="F122" s="103">
        <f>SUM(CM3:CM95)</f>
        <v>91</v>
      </c>
      <c r="H122">
        <f t="shared" si="3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 s="41">
        <f>COUNTA(CO1:CO95)</f>
        <v>1</v>
      </c>
      <c r="D123" s="41">
        <f t="shared" si="2"/>
        <v>189</v>
      </c>
      <c r="E123" s="41">
        <f>SUM(CP3:CP95)</f>
        <v>94</v>
      </c>
      <c r="F123" s="103">
        <f>SUM(CQ3:CQ95)</f>
        <v>95</v>
      </c>
      <c r="H123">
        <f t="shared" si="3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 s="41">
        <f>COUNTA(CS1:CS95)</f>
        <v>1</v>
      </c>
      <c r="D124" s="41">
        <f t="shared" si="2"/>
        <v>197</v>
      </c>
      <c r="E124" s="41">
        <f>SUM(CT3:CT95)</f>
        <v>98</v>
      </c>
      <c r="F124" s="103">
        <f>SUM(CU3:CU95)</f>
        <v>99</v>
      </c>
      <c r="H124">
        <f t="shared" si="3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 s="41">
        <f>COUNTA(CW1:CW95)</f>
        <v>1</v>
      </c>
      <c r="D125" s="41">
        <f t="shared" si="2"/>
        <v>205</v>
      </c>
      <c r="E125" s="41">
        <f>SUM(CX3:CX95)</f>
        <v>102</v>
      </c>
      <c r="F125" s="103">
        <f>SUM(CY3:CY95)</f>
        <v>103</v>
      </c>
      <c r="H125">
        <f t="shared" si="3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 s="41">
        <f>COUNTA(DA1:DA95)</f>
        <v>1</v>
      </c>
      <c r="D126" s="41">
        <f t="shared" si="2"/>
        <v>213</v>
      </c>
      <c r="E126" s="41">
        <f>SUM(DB3:DB95)</f>
        <v>106</v>
      </c>
      <c r="F126" s="103">
        <f>SUM(DC3:DC95)</f>
        <v>107</v>
      </c>
      <c r="H126">
        <f t="shared" si="3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 s="41">
        <f>COUNTA(DE1:DE95)</f>
        <v>1</v>
      </c>
      <c r="D127" s="41">
        <f t="shared" si="2"/>
        <v>221</v>
      </c>
      <c r="E127" s="41">
        <f>SUM(DF3:DF95)</f>
        <v>110</v>
      </c>
      <c r="F127" s="103">
        <f>SUM(DG3:DG95)</f>
        <v>111</v>
      </c>
      <c r="H127">
        <f t="shared" si="3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 s="41">
        <f>COUNTA(DI1:DI95)</f>
        <v>1</v>
      </c>
      <c r="D128" s="41">
        <f t="shared" si="2"/>
        <v>229</v>
      </c>
      <c r="E128" s="41">
        <f>SUM(DJ3:DJ95)</f>
        <v>114</v>
      </c>
      <c r="F128" s="103">
        <f>SUM(DK3:DK95)</f>
        <v>115</v>
      </c>
      <c r="H128">
        <f t="shared" si="3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 s="41">
        <f>COUNTA(DM1:DM95)</f>
        <v>1</v>
      </c>
      <c r="D129" s="41">
        <f t="shared" si="2"/>
        <v>237</v>
      </c>
      <c r="E129" s="41">
        <f>SUM(DN3:DN95)</f>
        <v>118</v>
      </c>
      <c r="F129" s="103">
        <f>SUM(DO3:DO95)</f>
        <v>119</v>
      </c>
      <c r="H129">
        <f t="shared" si="3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 s="41">
        <f>COUNTA(DQ1:DQ95)</f>
        <v>1</v>
      </c>
      <c r="D130" s="41">
        <f t="shared" si="2"/>
        <v>245</v>
      </c>
      <c r="E130" s="41">
        <f>SUM(DR3:DR95)</f>
        <v>122</v>
      </c>
      <c r="F130" s="103">
        <f>SUM(DS3:DS95)</f>
        <v>123</v>
      </c>
      <c r="H130">
        <f t="shared" si="3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 s="41">
        <f>COUNTA(DU1:DU95)</f>
        <v>1</v>
      </c>
      <c r="D131" s="41">
        <f t="shared" si="2"/>
        <v>253</v>
      </c>
      <c r="E131" s="41">
        <f>SUM(DV3:DV95)</f>
        <v>126</v>
      </c>
      <c r="F131" s="103">
        <f>SUM(DW3:DW95)</f>
        <v>127</v>
      </c>
      <c r="H131">
        <f t="shared" ref="H131:H148" si="4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 s="41">
        <f>COUNTA(DY1:DY95)</f>
        <v>1</v>
      </c>
      <c r="D132" s="41">
        <f t="shared" si="2"/>
        <v>257</v>
      </c>
      <c r="E132" s="41">
        <f>SUM(DX3:DX95)</f>
        <v>128</v>
      </c>
      <c r="F132" s="103">
        <f>SUM(DY3:DY95)</f>
        <v>129</v>
      </c>
      <c r="H132">
        <f t="shared" si="4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 s="41">
        <f>COUNTA(EC1:EC95)</f>
        <v>1</v>
      </c>
      <c r="D133" s="41">
        <f t="shared" si="2"/>
        <v>269</v>
      </c>
      <c r="E133" s="41">
        <f>SUM(ED3:ED95)</f>
        <v>134</v>
      </c>
      <c r="F133" s="103">
        <f>SUM(EE3:EE95)</f>
        <v>135</v>
      </c>
      <c r="H133">
        <f t="shared" si="4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 s="41">
        <f>COUNTA(EG1:EG96)</f>
        <v>1</v>
      </c>
      <c r="D134" s="41">
        <f t="shared" si="2"/>
        <v>277</v>
      </c>
      <c r="E134" s="41">
        <f>SUM(EH3:EH95)</f>
        <v>138</v>
      </c>
      <c r="F134" s="103">
        <f>SUM(EI3:EI95)</f>
        <v>139</v>
      </c>
      <c r="H134">
        <f t="shared" si="4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 s="41">
        <f>COUNTA(EK1:EK95)</f>
        <v>1</v>
      </c>
      <c r="D135" s="41">
        <f t="shared" si="2"/>
        <v>285</v>
      </c>
      <c r="E135" s="41">
        <f>SUM(EL3:EL95)</f>
        <v>142</v>
      </c>
      <c r="F135" s="103">
        <f>SUM(EM3:EM95)</f>
        <v>143</v>
      </c>
      <c r="H135">
        <f t="shared" si="4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 s="41">
        <f>COUNTA(EO1:EO95)</f>
        <v>1</v>
      </c>
      <c r="D136" s="41">
        <f t="shared" si="2"/>
        <v>293</v>
      </c>
      <c r="E136" s="41">
        <f>SUM(EP3:EP95)</f>
        <v>146</v>
      </c>
      <c r="F136" s="103">
        <f>SUM(EQ3:EQ95)</f>
        <v>147</v>
      </c>
      <c r="H136">
        <f t="shared" si="4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 s="41">
        <f>COUNTA(ES1:ES95)</f>
        <v>1</v>
      </c>
      <c r="D137" s="41">
        <f t="shared" si="2"/>
        <v>301</v>
      </c>
      <c r="E137" s="41">
        <f>SUM(ET3:ET95)</f>
        <v>150</v>
      </c>
      <c r="F137" s="103">
        <f>SUM(EU3:EU95)</f>
        <v>151</v>
      </c>
      <c r="H137">
        <f t="shared" si="4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 s="41">
        <f>COUNTA(EW1:EW95)</f>
        <v>1</v>
      </c>
      <c r="D138" s="41">
        <f t="shared" si="2"/>
        <v>309</v>
      </c>
      <c r="E138" s="41">
        <f>SUM(EX3:EX95)</f>
        <v>154</v>
      </c>
      <c r="F138" s="103">
        <f>SUM(EY3:EY95)</f>
        <v>155</v>
      </c>
      <c r="H138">
        <f t="shared" si="4"/>
        <v>155</v>
      </c>
    </row>
    <row r="139" spans="3:214" x14ac:dyDescent="0.25">
      <c r="C139" s="41">
        <f>COUNTA(FA1:FA95)</f>
        <v>1</v>
      </c>
      <c r="D139" s="41">
        <f t="shared" si="2"/>
        <v>317</v>
      </c>
      <c r="E139" s="41">
        <f>SUM(FB3:FB95)</f>
        <v>158</v>
      </c>
      <c r="F139" s="103">
        <f>SUM(FC3:FC95)</f>
        <v>159</v>
      </c>
      <c r="H139">
        <f t="shared" si="4"/>
        <v>159</v>
      </c>
    </row>
    <row r="140" spans="3:214" x14ac:dyDescent="0.25">
      <c r="C140" s="41">
        <f>COUNTA(FE1:FE95)</f>
        <v>1</v>
      </c>
      <c r="D140" s="41">
        <f t="shared" si="2"/>
        <v>325</v>
      </c>
      <c r="E140" s="41">
        <f>SUM(FF3:FF95)</f>
        <v>162</v>
      </c>
      <c r="F140" s="103">
        <f>SUM(FG3:FG95)</f>
        <v>163</v>
      </c>
      <c r="H140">
        <f t="shared" si="4"/>
        <v>163</v>
      </c>
    </row>
    <row r="141" spans="3:214" x14ac:dyDescent="0.25">
      <c r="C141" s="41">
        <f>COUNTA(FI1:FI95)</f>
        <v>1</v>
      </c>
      <c r="D141" s="41">
        <f t="shared" si="2"/>
        <v>333</v>
      </c>
      <c r="E141" s="41">
        <f>SUM(FJ3:FJ95)</f>
        <v>166</v>
      </c>
      <c r="F141" s="103">
        <f>SUM(FK3:FK95)</f>
        <v>167</v>
      </c>
      <c r="H141">
        <f t="shared" si="4"/>
        <v>167</v>
      </c>
    </row>
    <row r="142" spans="3:214" x14ac:dyDescent="0.25">
      <c r="C142" s="41">
        <f>COUNTA(FM1:FM95)</f>
        <v>1</v>
      </c>
      <c r="D142" s="41">
        <f t="shared" si="2"/>
        <v>341</v>
      </c>
      <c r="E142" s="41">
        <f>SUM(FN3:FN95)</f>
        <v>170</v>
      </c>
      <c r="F142" s="103">
        <f>SUM(FO3:FO95)</f>
        <v>171</v>
      </c>
      <c r="H142">
        <f t="shared" si="4"/>
        <v>171</v>
      </c>
    </row>
    <row r="143" spans="3:214" x14ac:dyDescent="0.25">
      <c r="C143" s="41">
        <f>COUNTA(FQ1:FQ95)</f>
        <v>1</v>
      </c>
      <c r="D143" s="41">
        <f t="shared" si="2"/>
        <v>349</v>
      </c>
      <c r="E143" s="41">
        <f>SUM(FR3:FR95)</f>
        <v>174</v>
      </c>
      <c r="F143" s="103">
        <f>SUM(FS3:FS95)</f>
        <v>175</v>
      </c>
      <c r="H143">
        <f t="shared" si="4"/>
        <v>175</v>
      </c>
    </row>
    <row r="144" spans="3:214" x14ac:dyDescent="0.25">
      <c r="C144" s="41">
        <f>COUNTA(FU1:FU95)</f>
        <v>1</v>
      </c>
      <c r="D144" s="41">
        <f t="shared" si="2"/>
        <v>357</v>
      </c>
      <c r="E144" s="41">
        <f>SUM(FV3:FV95)</f>
        <v>178</v>
      </c>
      <c r="F144" s="103">
        <f>SUM(FW3:FW95)</f>
        <v>179</v>
      </c>
      <c r="H144">
        <f t="shared" si="4"/>
        <v>179</v>
      </c>
    </row>
    <row r="145" spans="3:8" x14ac:dyDescent="0.25">
      <c r="C145" s="41">
        <f>COUNTA(FY1:FY95)</f>
        <v>1</v>
      </c>
      <c r="D145" s="41">
        <f t="shared" si="2"/>
        <v>365</v>
      </c>
      <c r="E145" s="41">
        <f>SUM(FZ3:FZ95)</f>
        <v>182</v>
      </c>
      <c r="F145" s="103">
        <f>SUM(GA3:GA95)</f>
        <v>183</v>
      </c>
      <c r="H145">
        <f t="shared" si="4"/>
        <v>183</v>
      </c>
    </row>
    <row r="146" spans="3:8" x14ac:dyDescent="0.25">
      <c r="C146" s="41">
        <f>COUNTA(GC1:GC95)</f>
        <v>1</v>
      </c>
      <c r="D146" s="41">
        <f t="shared" si="2"/>
        <v>373</v>
      </c>
      <c r="E146" s="41">
        <f>SUM(GD3:GD95)</f>
        <v>186</v>
      </c>
      <c r="F146" s="103">
        <f>SUM(GE3:GE95)</f>
        <v>187</v>
      </c>
      <c r="H146">
        <f t="shared" si="4"/>
        <v>187</v>
      </c>
    </row>
    <row r="147" spans="3:8" x14ac:dyDescent="0.25">
      <c r="C147" s="41">
        <f>COUNTA(GG1:GG95)</f>
        <v>1</v>
      </c>
      <c r="D147" s="41">
        <f t="shared" si="2"/>
        <v>381</v>
      </c>
      <c r="E147" s="41">
        <f>SUM(GH3:GH95)</f>
        <v>190</v>
      </c>
      <c r="F147" s="103">
        <f>SUM(GI3:GI95)</f>
        <v>191</v>
      </c>
      <c r="H147">
        <f t="shared" si="4"/>
        <v>191</v>
      </c>
    </row>
    <row r="148" spans="3:8" x14ac:dyDescent="0.25">
      <c r="C148" s="41">
        <f>COUNTA(GK1:GK95)</f>
        <v>1</v>
      </c>
      <c r="D148" s="41">
        <f t="shared" si="2"/>
        <v>389</v>
      </c>
      <c r="E148" s="41">
        <f>SUM(GL3:GL95)</f>
        <v>194</v>
      </c>
      <c r="F148" s="103">
        <f>SUM(GM3:GM95)</f>
        <v>195</v>
      </c>
      <c r="H148">
        <f t="shared" si="4"/>
        <v>195</v>
      </c>
    </row>
  </sheetData>
  <mergeCells count="1">
    <mergeCell ref="E27:E2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D5" sqref="D5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60" customFormat="1" ht="30.75" customHeight="1" thickBot="1" x14ac:dyDescent="0.3">
      <c r="A1" s="178" t="s">
        <v>87</v>
      </c>
      <c r="B1" s="175"/>
      <c r="C1" s="153"/>
      <c r="D1" s="153"/>
      <c r="E1" s="154"/>
      <c r="F1" s="178" t="s">
        <v>88</v>
      </c>
      <c r="G1" s="176"/>
      <c r="H1" s="155"/>
      <c r="I1" s="156"/>
      <c r="J1" s="156"/>
      <c r="K1" s="156"/>
      <c r="L1" s="156"/>
      <c r="M1" s="156"/>
      <c r="N1" s="156"/>
      <c r="O1" s="156"/>
      <c r="P1" s="157"/>
      <c r="Q1" s="158"/>
      <c r="R1" s="158"/>
      <c r="S1" s="158"/>
      <c r="T1" s="158"/>
      <c r="U1" s="158"/>
      <c r="V1" s="158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59"/>
      <c r="CX1" s="159"/>
      <c r="CY1" s="159"/>
      <c r="CZ1" s="159"/>
      <c r="DA1" s="159"/>
      <c r="DB1" s="159"/>
      <c r="DC1" s="159"/>
      <c r="DD1" s="159"/>
      <c r="DE1" s="159"/>
      <c r="DF1" s="159"/>
      <c r="DG1" s="159"/>
      <c r="DH1" s="159"/>
      <c r="DI1" s="159"/>
      <c r="DJ1" s="159"/>
      <c r="DK1" s="159"/>
      <c r="DL1" s="159"/>
      <c r="DM1" s="159"/>
      <c r="DN1" s="159"/>
      <c r="DO1" s="159"/>
      <c r="DP1" s="159"/>
      <c r="DQ1" s="159"/>
      <c r="DR1" s="159"/>
      <c r="DS1" s="159"/>
      <c r="DT1" s="159"/>
      <c r="DU1" s="159"/>
      <c r="DV1" s="159"/>
      <c r="DW1" s="159"/>
      <c r="DX1" s="159"/>
      <c r="DY1" s="159"/>
      <c r="DZ1" s="159"/>
      <c r="EA1" s="159"/>
      <c r="EB1" s="159"/>
      <c r="EC1" s="159"/>
      <c r="ED1" s="159"/>
      <c r="EE1" s="159"/>
      <c r="EF1" s="159"/>
      <c r="EG1" s="159"/>
      <c r="EH1" s="159"/>
      <c r="EI1" s="159"/>
      <c r="EJ1" s="159"/>
      <c r="EK1" s="159"/>
      <c r="EL1" s="159"/>
      <c r="EM1" s="159"/>
      <c r="EN1" s="159"/>
      <c r="EO1" s="159"/>
      <c r="EP1" s="159"/>
      <c r="EQ1" s="159"/>
      <c r="ER1" s="159"/>
      <c r="ES1" s="159"/>
      <c r="ET1" s="159"/>
      <c r="EU1" s="159"/>
      <c r="EV1" s="159"/>
      <c r="EW1" s="159"/>
      <c r="EX1" s="159"/>
      <c r="EY1" s="159"/>
      <c r="EZ1" s="159"/>
      <c r="FA1" s="159"/>
      <c r="FB1" s="159"/>
      <c r="FC1" s="159"/>
      <c r="FD1" s="159"/>
      <c r="FE1" s="159"/>
      <c r="FF1" s="159"/>
      <c r="FG1" s="159"/>
      <c r="FH1" s="159"/>
      <c r="FI1" s="159"/>
      <c r="FJ1" s="159"/>
      <c r="FK1" s="159"/>
      <c r="FL1" s="159"/>
      <c r="FM1" s="159"/>
      <c r="FN1" s="159"/>
      <c r="FO1" s="159"/>
      <c r="FP1" s="159"/>
    </row>
    <row r="2" spans="1:214" s="160" customFormat="1" ht="30.75" customHeight="1" x14ac:dyDescent="0.25">
      <c r="A2" s="177" t="s">
        <v>91</v>
      </c>
      <c r="B2" s="161">
        <f>B12</f>
        <v>20000</v>
      </c>
      <c r="C2" s="155"/>
      <c r="D2" s="155"/>
      <c r="E2" s="162"/>
      <c r="F2" s="177" t="s">
        <v>91</v>
      </c>
      <c r="G2" s="161">
        <f>G12</f>
        <v>20000</v>
      </c>
      <c r="H2" s="155"/>
      <c r="I2" s="156"/>
      <c r="J2" s="156"/>
      <c r="K2" s="156"/>
      <c r="L2" s="156"/>
      <c r="M2" s="156"/>
      <c r="N2" s="156"/>
      <c r="O2" s="156"/>
      <c r="P2" s="157"/>
      <c r="Q2" s="158"/>
      <c r="R2" s="158"/>
      <c r="S2" s="158"/>
      <c r="T2" s="158"/>
      <c r="U2" s="158"/>
      <c r="V2" s="158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  <c r="CE2" s="159"/>
      <c r="CF2" s="159"/>
      <c r="CG2" s="159"/>
      <c r="CH2" s="159"/>
      <c r="CI2" s="159"/>
      <c r="CJ2" s="159"/>
      <c r="CK2" s="159"/>
      <c r="CL2" s="159"/>
      <c r="CM2" s="159"/>
      <c r="CN2" s="159"/>
      <c r="CO2" s="159"/>
      <c r="CP2" s="159"/>
      <c r="CQ2" s="159"/>
      <c r="CR2" s="159"/>
      <c r="CS2" s="159"/>
      <c r="CT2" s="159"/>
      <c r="CU2" s="159"/>
      <c r="CV2" s="159"/>
      <c r="CW2" s="159"/>
      <c r="CX2" s="159"/>
      <c r="CY2" s="159"/>
      <c r="CZ2" s="159"/>
      <c r="DA2" s="159"/>
      <c r="DB2" s="159"/>
      <c r="DC2" s="159"/>
      <c r="DD2" s="159"/>
      <c r="DE2" s="159"/>
      <c r="DF2" s="159"/>
      <c r="DG2" s="159"/>
      <c r="DH2" s="159"/>
      <c r="DI2" s="159"/>
      <c r="DJ2" s="159"/>
      <c r="DK2" s="159"/>
      <c r="DL2" s="159"/>
      <c r="DM2" s="159"/>
      <c r="DN2" s="159"/>
      <c r="DO2" s="159"/>
      <c r="DP2" s="159"/>
      <c r="DQ2" s="159"/>
      <c r="DR2" s="159"/>
      <c r="DS2" s="159"/>
      <c r="DT2" s="159"/>
      <c r="DU2" s="159"/>
      <c r="DV2" s="159"/>
      <c r="DW2" s="159"/>
      <c r="DX2" s="159"/>
      <c r="DY2" s="159"/>
      <c r="DZ2" s="159"/>
      <c r="EA2" s="159"/>
      <c r="EB2" s="159"/>
      <c r="EC2" s="159"/>
      <c r="ED2" s="159"/>
      <c r="EE2" s="159"/>
      <c r="EF2" s="159"/>
      <c r="EG2" s="159"/>
      <c r="EH2" s="159"/>
      <c r="EI2" s="159"/>
      <c r="EJ2" s="159"/>
      <c r="EK2" s="159"/>
      <c r="EL2" s="159"/>
      <c r="EM2" s="159"/>
      <c r="EN2" s="159"/>
      <c r="EO2" s="159"/>
      <c r="EP2" s="159"/>
      <c r="EQ2" s="159"/>
      <c r="ER2" s="159"/>
      <c r="ES2" s="159"/>
      <c r="ET2" s="159"/>
      <c r="EU2" s="159"/>
      <c r="EV2" s="159"/>
      <c r="EW2" s="159"/>
      <c r="EX2" s="159"/>
      <c r="EY2" s="159"/>
      <c r="EZ2" s="159"/>
      <c r="FA2" s="159"/>
      <c r="FB2" s="159"/>
      <c r="FC2" s="159"/>
      <c r="FD2" s="159"/>
      <c r="FE2" s="159"/>
      <c r="FF2" s="159"/>
      <c r="FG2" s="159"/>
      <c r="FH2" s="159"/>
      <c r="FI2" s="159"/>
      <c r="FJ2" s="159"/>
      <c r="FK2" s="159"/>
      <c r="FL2" s="159"/>
      <c r="FM2" s="159"/>
      <c r="FN2" s="159"/>
      <c r="FO2" s="159"/>
      <c r="FP2" s="159"/>
    </row>
    <row r="3" spans="1:214" s="160" customFormat="1" ht="30.75" customHeight="1" x14ac:dyDescent="0.25">
      <c r="A3" s="163" t="s">
        <v>90</v>
      </c>
      <c r="B3" s="164">
        <f>SUM(B12:B62)</f>
        <v>20000</v>
      </c>
      <c r="C3" s="155"/>
      <c r="D3" s="155"/>
      <c r="E3" s="162"/>
      <c r="F3" s="163" t="s">
        <v>90</v>
      </c>
      <c r="G3" s="164">
        <f>SUM(G12:G62)</f>
        <v>22007</v>
      </c>
      <c r="H3" s="155"/>
      <c r="I3" s="156"/>
      <c r="J3" s="156"/>
      <c r="K3" s="156"/>
      <c r="L3" s="156"/>
      <c r="M3" s="156"/>
      <c r="N3" s="156"/>
      <c r="O3" s="156"/>
      <c r="P3" s="157"/>
      <c r="Q3" s="158"/>
      <c r="R3" s="158"/>
      <c r="S3" s="158"/>
      <c r="T3" s="158"/>
      <c r="U3" s="158"/>
      <c r="V3" s="158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  <c r="FJ3" s="159"/>
      <c r="FK3" s="159"/>
      <c r="FL3" s="159"/>
      <c r="FM3" s="159"/>
      <c r="FN3" s="159"/>
      <c r="FO3" s="159"/>
      <c r="FP3" s="159"/>
    </row>
    <row r="4" spans="1:214" s="160" customFormat="1" ht="30.75" customHeight="1" x14ac:dyDescent="0.25">
      <c r="A4" s="165" t="s">
        <v>96</v>
      </c>
      <c r="B4" s="166">
        <f>SUM(C12:C48)</f>
        <v>9500</v>
      </c>
      <c r="C4" s="155"/>
      <c r="D4" s="155"/>
      <c r="E4" s="162"/>
      <c r="F4" s="165" t="s">
        <v>96</v>
      </c>
      <c r="G4" s="166">
        <f>SUM(H12:H48)</f>
        <v>7000</v>
      </c>
      <c r="H4" s="155"/>
      <c r="I4" s="156"/>
      <c r="J4" s="156"/>
      <c r="K4" s="156"/>
      <c r="L4" s="156"/>
      <c r="M4" s="156"/>
      <c r="N4" s="156"/>
      <c r="O4" s="156"/>
      <c r="P4" s="157"/>
      <c r="Q4" s="158"/>
      <c r="R4" s="158"/>
      <c r="S4" s="158"/>
      <c r="T4" s="158"/>
      <c r="U4" s="158"/>
      <c r="V4" s="158"/>
      <c r="W4" s="158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9"/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59"/>
      <c r="BX4" s="159"/>
      <c r="BY4" s="159"/>
      <c r="BZ4" s="159"/>
      <c r="CA4" s="159"/>
      <c r="CB4" s="159"/>
      <c r="CC4" s="159"/>
      <c r="CD4" s="159"/>
      <c r="CE4" s="159"/>
      <c r="CF4" s="159"/>
      <c r="CG4" s="159"/>
      <c r="CH4" s="159"/>
      <c r="CI4" s="159"/>
      <c r="CJ4" s="159"/>
      <c r="CK4" s="159"/>
      <c r="CL4" s="159"/>
      <c r="CM4" s="159"/>
      <c r="CN4" s="159"/>
      <c r="CO4" s="159"/>
      <c r="CP4" s="159"/>
      <c r="CQ4" s="159"/>
      <c r="CR4" s="159"/>
      <c r="CS4" s="159"/>
      <c r="CT4" s="159"/>
      <c r="CU4" s="159"/>
      <c r="CV4" s="159"/>
      <c r="CW4" s="159"/>
      <c r="CX4" s="159"/>
      <c r="CY4" s="159"/>
      <c r="CZ4" s="159"/>
      <c r="DA4" s="159"/>
      <c r="DB4" s="159"/>
      <c r="DC4" s="159"/>
      <c r="DD4" s="159"/>
      <c r="DE4" s="159"/>
      <c r="DF4" s="159"/>
      <c r="DG4" s="159"/>
      <c r="DH4" s="159"/>
      <c r="DI4" s="159"/>
      <c r="DJ4" s="159"/>
      <c r="DK4" s="159"/>
      <c r="DL4" s="159"/>
      <c r="DM4" s="159"/>
      <c r="DN4" s="159"/>
      <c r="DO4" s="159"/>
      <c r="DP4" s="159"/>
      <c r="DQ4" s="159"/>
      <c r="DR4" s="159"/>
      <c r="DS4" s="159"/>
      <c r="DT4" s="159"/>
      <c r="DU4" s="159"/>
      <c r="DV4" s="159"/>
      <c r="DW4" s="159"/>
      <c r="DX4" s="159"/>
      <c r="DY4" s="159"/>
      <c r="DZ4" s="159"/>
      <c r="EA4" s="159"/>
      <c r="EB4" s="159"/>
      <c r="EC4" s="159"/>
      <c r="ED4" s="159"/>
      <c r="EE4" s="159"/>
      <c r="EF4" s="159"/>
      <c r="EG4" s="159"/>
      <c r="EH4" s="159"/>
      <c r="EI4" s="159"/>
      <c r="EJ4" s="159"/>
      <c r="EK4" s="159"/>
      <c r="EL4" s="159"/>
      <c r="EM4" s="159"/>
      <c r="EN4" s="159"/>
      <c r="EO4" s="159"/>
      <c r="EP4" s="159"/>
      <c r="EQ4" s="159"/>
      <c r="ER4" s="159"/>
      <c r="ES4" s="159"/>
      <c r="ET4" s="159"/>
      <c r="EU4" s="159"/>
      <c r="EV4" s="159"/>
      <c r="EW4" s="159"/>
      <c r="EX4" s="159"/>
      <c r="EY4" s="159"/>
      <c r="EZ4" s="159"/>
      <c r="FA4" s="159"/>
      <c r="FB4" s="159"/>
      <c r="FC4" s="159"/>
      <c r="FD4" s="159"/>
      <c r="FE4" s="159"/>
      <c r="FF4" s="159"/>
      <c r="FG4" s="159"/>
      <c r="FH4" s="159"/>
      <c r="FI4" s="159"/>
      <c r="FJ4" s="159"/>
      <c r="FK4" s="159"/>
      <c r="FL4" s="159"/>
      <c r="FM4" s="159"/>
      <c r="FN4" s="159"/>
      <c r="FO4" s="159"/>
      <c r="FP4" s="159"/>
    </row>
    <row r="5" spans="1:214" s="160" customFormat="1" ht="30.75" customHeight="1" x14ac:dyDescent="0.25">
      <c r="A5" s="167" t="s">
        <v>93</v>
      </c>
      <c r="B5" s="168">
        <f>SUM(B2:B3) - B4</f>
        <v>30500</v>
      </c>
      <c r="C5" s="155"/>
      <c r="D5" s="155"/>
      <c r="E5" s="162"/>
      <c r="F5" s="167" t="s">
        <v>93</v>
      </c>
      <c r="G5" s="168">
        <f>SUM(G2:G3) - G4</f>
        <v>35007</v>
      </c>
      <c r="H5" s="155"/>
      <c r="I5" s="156"/>
      <c r="J5" s="156"/>
      <c r="K5" s="156"/>
      <c r="L5" s="156"/>
      <c r="M5" s="156"/>
      <c r="N5" s="156"/>
      <c r="O5" s="156"/>
      <c r="P5" s="157"/>
      <c r="Q5" s="158"/>
      <c r="R5" s="158"/>
      <c r="S5" s="158"/>
      <c r="T5" s="158"/>
      <c r="U5" s="158"/>
      <c r="V5" s="158"/>
      <c r="W5" s="158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  <c r="BL5" s="159"/>
      <c r="BM5" s="159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59"/>
      <c r="BZ5" s="159"/>
      <c r="CA5" s="159"/>
      <c r="CB5" s="159"/>
      <c r="CC5" s="159"/>
      <c r="CD5" s="159"/>
      <c r="CE5" s="159"/>
      <c r="CF5" s="159"/>
      <c r="CG5" s="159"/>
      <c r="CH5" s="159"/>
      <c r="CI5" s="159"/>
      <c r="CJ5" s="159"/>
      <c r="CK5" s="159"/>
      <c r="CL5" s="159"/>
      <c r="CM5" s="159"/>
      <c r="CN5" s="159"/>
      <c r="CO5" s="159"/>
      <c r="CP5" s="159"/>
      <c r="CQ5" s="159"/>
      <c r="CR5" s="159"/>
      <c r="CS5" s="159"/>
      <c r="CT5" s="159"/>
      <c r="CU5" s="159"/>
      <c r="CV5" s="159"/>
      <c r="CW5" s="159"/>
      <c r="CX5" s="159"/>
      <c r="CY5" s="159"/>
      <c r="CZ5" s="159"/>
      <c r="DA5" s="159"/>
      <c r="DB5" s="159"/>
      <c r="DC5" s="159"/>
      <c r="DD5" s="159"/>
      <c r="DE5" s="159"/>
      <c r="DF5" s="159"/>
      <c r="DG5" s="159"/>
      <c r="DH5" s="159"/>
      <c r="DI5" s="159"/>
      <c r="DJ5" s="159"/>
      <c r="DK5" s="159"/>
      <c r="DL5" s="159"/>
      <c r="DM5" s="159"/>
      <c r="DN5" s="159"/>
      <c r="DO5" s="159"/>
      <c r="DP5" s="159"/>
      <c r="DQ5" s="159"/>
      <c r="DR5" s="159"/>
      <c r="DS5" s="159"/>
      <c r="DT5" s="159"/>
      <c r="DU5" s="159"/>
      <c r="DV5" s="159"/>
      <c r="DW5" s="159"/>
      <c r="DX5" s="159"/>
      <c r="DY5" s="159"/>
      <c r="DZ5" s="159"/>
      <c r="EA5" s="159"/>
      <c r="EB5" s="159"/>
      <c r="EC5" s="159"/>
      <c r="ED5" s="159"/>
      <c r="EE5" s="159"/>
      <c r="EF5" s="159"/>
      <c r="EG5" s="159"/>
      <c r="EH5" s="159"/>
      <c r="EI5" s="159"/>
      <c r="EJ5" s="159"/>
      <c r="EK5" s="159"/>
      <c r="EL5" s="159"/>
      <c r="EM5" s="159"/>
      <c r="EN5" s="159"/>
      <c r="EO5" s="159"/>
      <c r="EP5" s="159"/>
      <c r="EQ5" s="159"/>
      <c r="ER5" s="159"/>
      <c r="ES5" s="159"/>
      <c r="ET5" s="159"/>
      <c r="EU5" s="159"/>
      <c r="EV5" s="159"/>
      <c r="EW5" s="159"/>
      <c r="EX5" s="159"/>
      <c r="EY5" s="159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59"/>
      <c r="FM5" s="159"/>
      <c r="FN5" s="159"/>
      <c r="FO5" s="159"/>
      <c r="FP5" s="159"/>
    </row>
    <row r="6" spans="1:214" s="160" customFormat="1" ht="30.75" customHeight="1" x14ac:dyDescent="0.25">
      <c r="A6" s="169" t="s">
        <v>15</v>
      </c>
      <c r="B6" s="170">
        <f>SUM(D12:D46)</f>
        <v>5385</v>
      </c>
      <c r="C6" s="155"/>
      <c r="D6" s="155"/>
      <c r="E6" s="162"/>
      <c r="F6" s="169" t="s">
        <v>15</v>
      </c>
      <c r="G6" s="170">
        <f>SUM(I12:I46)</f>
        <v>7710</v>
      </c>
      <c r="H6" s="155"/>
      <c r="I6" s="156"/>
      <c r="J6" s="156"/>
      <c r="K6" s="156"/>
      <c r="L6" s="156"/>
      <c r="M6" s="156"/>
      <c r="N6" s="156"/>
      <c r="O6" s="156"/>
      <c r="P6" s="157"/>
      <c r="Q6" s="158"/>
      <c r="R6" s="158"/>
      <c r="S6" s="158"/>
      <c r="T6" s="158"/>
      <c r="U6" s="158"/>
      <c r="V6" s="158"/>
      <c r="W6" s="158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9"/>
      <c r="BH6" s="159"/>
      <c r="BI6" s="159"/>
      <c r="BJ6" s="159"/>
      <c r="BK6" s="159"/>
      <c r="BL6" s="159"/>
      <c r="BM6" s="159"/>
      <c r="BN6" s="159"/>
      <c r="BO6" s="159"/>
      <c r="BP6" s="159"/>
      <c r="BQ6" s="159"/>
      <c r="BR6" s="159"/>
      <c r="BS6" s="159"/>
      <c r="BT6" s="159"/>
      <c r="BU6" s="159"/>
      <c r="BV6" s="159"/>
      <c r="BW6" s="159"/>
      <c r="BX6" s="159"/>
      <c r="BY6" s="159"/>
      <c r="BZ6" s="159"/>
      <c r="CA6" s="159"/>
      <c r="CB6" s="159"/>
      <c r="CC6" s="159"/>
      <c r="CD6" s="159"/>
      <c r="CE6" s="159"/>
      <c r="CF6" s="159"/>
      <c r="CG6" s="159"/>
      <c r="CH6" s="159"/>
      <c r="CI6" s="159"/>
      <c r="CJ6" s="159"/>
      <c r="CK6" s="159"/>
      <c r="CL6" s="159"/>
      <c r="CM6" s="159"/>
      <c r="CN6" s="159"/>
      <c r="CO6" s="159"/>
      <c r="CP6" s="159"/>
      <c r="CQ6" s="159"/>
      <c r="CR6" s="159"/>
      <c r="CS6" s="159"/>
      <c r="CT6" s="159"/>
      <c r="CU6" s="159"/>
      <c r="CV6" s="159"/>
      <c r="CW6" s="159"/>
      <c r="CX6" s="159"/>
      <c r="CY6" s="159"/>
      <c r="CZ6" s="159"/>
      <c r="DA6" s="159"/>
      <c r="DB6" s="159"/>
      <c r="DC6" s="159"/>
      <c r="DD6" s="159"/>
      <c r="DE6" s="159"/>
      <c r="DF6" s="159"/>
      <c r="DG6" s="159"/>
      <c r="DH6" s="159"/>
      <c r="DI6" s="159"/>
      <c r="DJ6" s="159"/>
      <c r="DK6" s="159"/>
      <c r="DL6" s="159"/>
      <c r="DM6" s="159"/>
      <c r="DN6" s="159"/>
      <c r="DO6" s="159"/>
      <c r="DP6" s="159"/>
      <c r="DQ6" s="159"/>
      <c r="DR6" s="159"/>
      <c r="DS6" s="159"/>
      <c r="DT6" s="159"/>
      <c r="DU6" s="159"/>
      <c r="DV6" s="159"/>
      <c r="DW6" s="159"/>
      <c r="DX6" s="159"/>
      <c r="DY6" s="159"/>
      <c r="DZ6" s="159"/>
      <c r="EA6" s="159"/>
      <c r="EB6" s="159"/>
      <c r="EC6" s="159"/>
      <c r="ED6" s="159"/>
      <c r="EE6" s="159"/>
      <c r="EF6" s="159"/>
      <c r="EG6" s="159"/>
      <c r="EH6" s="159"/>
      <c r="EI6" s="159"/>
      <c r="EJ6" s="159"/>
      <c r="EK6" s="159"/>
      <c r="EL6" s="159"/>
      <c r="EM6" s="159"/>
      <c r="EN6" s="159"/>
      <c r="EO6" s="159"/>
      <c r="EP6" s="159"/>
      <c r="EQ6" s="159"/>
      <c r="ER6" s="159"/>
      <c r="ES6" s="159"/>
      <c r="ET6" s="159"/>
      <c r="EU6" s="159"/>
      <c r="EV6" s="159"/>
      <c r="EW6" s="159"/>
      <c r="EX6" s="159"/>
      <c r="EY6" s="159"/>
      <c r="EZ6" s="159"/>
      <c r="FA6" s="159"/>
      <c r="FB6" s="159"/>
      <c r="FC6" s="159"/>
      <c r="FD6" s="159"/>
      <c r="FE6" s="159"/>
      <c r="FF6" s="159"/>
      <c r="FG6" s="159"/>
      <c r="FH6" s="159"/>
      <c r="FI6" s="159"/>
      <c r="FJ6" s="159"/>
      <c r="FK6" s="159"/>
      <c r="FL6" s="159"/>
      <c r="FM6" s="159"/>
      <c r="FN6" s="159"/>
      <c r="FO6" s="159"/>
      <c r="FP6" s="159"/>
    </row>
    <row r="7" spans="1:214" s="160" customFormat="1" ht="30.75" customHeight="1" x14ac:dyDescent="0.25">
      <c r="A7" s="171" t="s">
        <v>86</v>
      </c>
      <c r="B7" s="172">
        <f>SUM(E12:E46)</f>
        <v>1170</v>
      </c>
      <c r="C7" s="155"/>
      <c r="D7" s="155"/>
      <c r="E7" s="162"/>
      <c r="F7" s="171" t="s">
        <v>86</v>
      </c>
      <c r="G7" s="172">
        <f>SUM(J12:J46)</f>
        <v>7710</v>
      </c>
      <c r="H7" s="155"/>
      <c r="I7" s="156"/>
      <c r="J7" s="156"/>
      <c r="K7" s="156"/>
      <c r="L7" s="156"/>
      <c r="M7" s="156"/>
      <c r="N7" s="156"/>
      <c r="O7" s="156"/>
      <c r="P7" s="157"/>
      <c r="Q7" s="158"/>
      <c r="R7" s="158"/>
      <c r="S7" s="158"/>
      <c r="T7" s="158"/>
      <c r="U7" s="158"/>
      <c r="V7" s="158"/>
      <c r="W7" s="158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  <c r="BO7" s="159"/>
      <c r="BP7" s="159"/>
      <c r="BQ7" s="159"/>
      <c r="BR7" s="159"/>
      <c r="BS7" s="159"/>
      <c r="BT7" s="159"/>
      <c r="BU7" s="159"/>
      <c r="BV7" s="159"/>
      <c r="BW7" s="159"/>
      <c r="BX7" s="159"/>
      <c r="BY7" s="159"/>
      <c r="BZ7" s="159"/>
      <c r="CA7" s="159"/>
      <c r="CB7" s="159"/>
      <c r="CC7" s="159"/>
      <c r="CD7" s="159"/>
      <c r="CE7" s="159"/>
      <c r="CF7" s="159"/>
      <c r="CG7" s="159"/>
      <c r="CH7" s="159"/>
      <c r="CI7" s="159"/>
      <c r="CJ7" s="159"/>
      <c r="CK7" s="159"/>
      <c r="CL7" s="159"/>
      <c r="CM7" s="159"/>
      <c r="CN7" s="159"/>
      <c r="CO7" s="159"/>
      <c r="CP7" s="159"/>
      <c r="CQ7" s="159"/>
      <c r="CR7" s="159"/>
      <c r="CS7" s="159"/>
      <c r="CT7" s="159"/>
      <c r="CU7" s="159"/>
      <c r="CV7" s="159"/>
      <c r="CW7" s="159"/>
      <c r="CX7" s="159"/>
      <c r="CY7" s="159"/>
      <c r="CZ7" s="159"/>
      <c r="DA7" s="159"/>
      <c r="DB7" s="159"/>
      <c r="DC7" s="159"/>
      <c r="DD7" s="159"/>
      <c r="DE7" s="159"/>
      <c r="DF7" s="159"/>
      <c r="DG7" s="159"/>
      <c r="DH7" s="159"/>
      <c r="DI7" s="159"/>
      <c r="DJ7" s="159"/>
      <c r="DK7" s="159"/>
      <c r="DL7" s="159"/>
      <c r="DM7" s="159"/>
      <c r="DN7" s="159"/>
      <c r="DO7" s="159"/>
      <c r="DP7" s="159"/>
      <c r="DQ7" s="159"/>
      <c r="DR7" s="159"/>
      <c r="DS7" s="159"/>
      <c r="DT7" s="159"/>
      <c r="DU7" s="159"/>
      <c r="DV7" s="159"/>
      <c r="DW7" s="159"/>
      <c r="DX7" s="159"/>
      <c r="DY7" s="159"/>
      <c r="DZ7" s="159"/>
      <c r="EA7" s="159"/>
      <c r="EB7" s="159"/>
      <c r="EC7" s="159"/>
      <c r="ED7" s="159"/>
      <c r="EE7" s="159"/>
      <c r="EF7" s="159"/>
      <c r="EG7" s="159"/>
      <c r="EH7" s="159"/>
      <c r="EI7" s="159"/>
      <c r="EJ7" s="159"/>
      <c r="EK7" s="159"/>
      <c r="EL7" s="159"/>
      <c r="EM7" s="159"/>
      <c r="EN7" s="159"/>
      <c r="EO7" s="159"/>
      <c r="EP7" s="159"/>
      <c r="EQ7" s="159"/>
      <c r="ER7" s="159"/>
      <c r="ES7" s="159"/>
      <c r="ET7" s="159"/>
      <c r="EU7" s="159"/>
      <c r="EV7" s="159"/>
      <c r="EW7" s="159"/>
      <c r="EX7" s="159"/>
      <c r="EY7" s="159"/>
      <c r="EZ7" s="159"/>
      <c r="FA7" s="159"/>
      <c r="FB7" s="159"/>
      <c r="FC7" s="159"/>
      <c r="FD7" s="159"/>
      <c r="FE7" s="159"/>
      <c r="FF7" s="159"/>
      <c r="FG7" s="159"/>
      <c r="FH7" s="159"/>
      <c r="FI7" s="159"/>
      <c r="FJ7" s="159"/>
      <c r="FK7" s="159"/>
      <c r="FL7" s="159"/>
      <c r="FM7" s="159"/>
      <c r="FN7" s="159"/>
      <c r="FO7" s="159"/>
      <c r="FP7" s="159"/>
    </row>
    <row r="8" spans="1:214" s="160" customFormat="1" ht="30.75" customHeight="1" x14ac:dyDescent="0.25">
      <c r="A8" s="167" t="s">
        <v>16</v>
      </c>
      <c r="B8" s="168">
        <f>B6-B7</f>
        <v>4215</v>
      </c>
      <c r="C8" s="155"/>
      <c r="D8" s="155"/>
      <c r="E8" s="162"/>
      <c r="F8" s="167" t="s">
        <v>16</v>
      </c>
      <c r="G8" s="168">
        <f>G6-G7</f>
        <v>0</v>
      </c>
      <c r="H8" s="155"/>
      <c r="I8" s="156"/>
      <c r="J8" s="156"/>
      <c r="K8" s="156"/>
      <c r="L8" s="156"/>
      <c r="M8" s="156"/>
      <c r="N8" s="156"/>
      <c r="O8" s="156"/>
      <c r="P8" s="157"/>
      <c r="Q8" s="158"/>
      <c r="R8" s="158"/>
      <c r="S8" s="158"/>
      <c r="T8" s="158"/>
      <c r="U8" s="158"/>
      <c r="V8" s="158"/>
      <c r="W8" s="158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9"/>
      <c r="BH8" s="159"/>
      <c r="BI8" s="159"/>
      <c r="BJ8" s="159"/>
      <c r="BK8" s="159"/>
      <c r="BL8" s="159"/>
      <c r="BM8" s="159"/>
      <c r="BN8" s="159"/>
      <c r="BO8" s="159"/>
      <c r="BP8" s="159"/>
      <c r="BQ8" s="159"/>
      <c r="BR8" s="159"/>
      <c r="BS8" s="159"/>
      <c r="BT8" s="159"/>
      <c r="BU8" s="159"/>
      <c r="BV8" s="159"/>
      <c r="BW8" s="159"/>
      <c r="BX8" s="159"/>
      <c r="BY8" s="159"/>
      <c r="BZ8" s="159"/>
      <c r="CA8" s="159"/>
      <c r="CB8" s="159"/>
      <c r="CC8" s="159"/>
      <c r="CD8" s="159"/>
      <c r="CE8" s="159"/>
      <c r="CF8" s="159"/>
      <c r="CG8" s="159"/>
      <c r="CH8" s="159"/>
      <c r="CI8" s="159"/>
      <c r="CJ8" s="159"/>
      <c r="CK8" s="159"/>
      <c r="CL8" s="159"/>
      <c r="CM8" s="159"/>
      <c r="CN8" s="159"/>
      <c r="CO8" s="159"/>
      <c r="CP8" s="159"/>
      <c r="CQ8" s="159"/>
      <c r="CR8" s="159"/>
      <c r="CS8" s="159"/>
      <c r="CT8" s="159"/>
      <c r="CU8" s="159"/>
      <c r="CV8" s="159"/>
      <c r="CW8" s="159"/>
      <c r="CX8" s="159"/>
      <c r="CY8" s="159"/>
      <c r="CZ8" s="159"/>
      <c r="DA8" s="159"/>
      <c r="DB8" s="159"/>
      <c r="DC8" s="159"/>
      <c r="DD8" s="159"/>
      <c r="DE8" s="159"/>
      <c r="DF8" s="159"/>
      <c r="DG8" s="159"/>
      <c r="DH8" s="159"/>
      <c r="DI8" s="159"/>
      <c r="DJ8" s="159"/>
      <c r="DK8" s="159"/>
      <c r="DL8" s="159"/>
      <c r="DM8" s="159"/>
      <c r="DN8" s="159"/>
      <c r="DO8" s="159"/>
      <c r="DP8" s="159"/>
      <c r="DQ8" s="159"/>
      <c r="DR8" s="159"/>
      <c r="DS8" s="159"/>
      <c r="DT8" s="159"/>
      <c r="DU8" s="159"/>
      <c r="DV8" s="159"/>
      <c r="DW8" s="159"/>
      <c r="DX8" s="159"/>
      <c r="DY8" s="159"/>
      <c r="DZ8" s="159"/>
      <c r="EA8" s="159"/>
      <c r="EB8" s="159"/>
      <c r="EC8" s="159"/>
      <c r="ED8" s="159"/>
      <c r="EE8" s="159"/>
      <c r="EF8" s="159"/>
      <c r="EG8" s="159"/>
      <c r="EH8" s="159"/>
      <c r="EI8" s="159"/>
      <c r="EJ8" s="159"/>
      <c r="EK8" s="159"/>
      <c r="EL8" s="159"/>
      <c r="EM8" s="159"/>
      <c r="EN8" s="159"/>
      <c r="EO8" s="159"/>
      <c r="EP8" s="159"/>
      <c r="EQ8" s="159"/>
      <c r="ER8" s="159"/>
      <c r="ES8" s="159"/>
      <c r="ET8" s="159"/>
      <c r="EU8" s="159"/>
      <c r="EV8" s="159"/>
      <c r="EW8" s="159"/>
      <c r="EX8" s="159"/>
      <c r="EY8" s="159"/>
      <c r="EZ8" s="159"/>
      <c r="FA8" s="159"/>
      <c r="FB8" s="159"/>
      <c r="FC8" s="159"/>
      <c r="FD8" s="159"/>
      <c r="FE8" s="159"/>
      <c r="FF8" s="159"/>
      <c r="FG8" s="159"/>
      <c r="FH8" s="159"/>
      <c r="FI8" s="159"/>
      <c r="FJ8" s="159"/>
      <c r="FK8" s="159"/>
      <c r="FL8" s="159"/>
      <c r="FM8" s="159"/>
      <c r="FN8" s="159"/>
      <c r="FO8" s="159"/>
      <c r="FP8" s="159"/>
    </row>
    <row r="9" spans="1:214" s="160" customFormat="1" ht="30.75" customHeight="1" x14ac:dyDescent="0.25">
      <c r="A9" s="173" t="s">
        <v>85</v>
      </c>
      <c r="B9" s="174">
        <f>B5 + B8</f>
        <v>34715</v>
      </c>
      <c r="C9" s="156"/>
      <c r="D9" s="156"/>
      <c r="E9" s="162"/>
      <c r="F9" s="173" t="s">
        <v>85</v>
      </c>
      <c r="G9" s="174">
        <f>G5 + G8</f>
        <v>35007</v>
      </c>
      <c r="H9" s="156"/>
      <c r="I9" s="156"/>
      <c r="J9" s="156"/>
      <c r="K9" s="156"/>
      <c r="L9" s="156"/>
      <c r="M9" s="156"/>
      <c r="N9" s="156"/>
      <c r="O9" s="156"/>
      <c r="P9" s="157"/>
      <c r="Q9" s="158"/>
      <c r="R9" s="158"/>
      <c r="S9" s="158"/>
      <c r="T9" s="158"/>
      <c r="U9" s="158"/>
      <c r="V9" s="158"/>
      <c r="W9" s="158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9"/>
      <c r="BH9" s="159"/>
      <c r="BI9" s="159"/>
      <c r="BJ9" s="159"/>
      <c r="BK9" s="159"/>
      <c r="BL9" s="159"/>
      <c r="BM9" s="159"/>
      <c r="BN9" s="159"/>
      <c r="BO9" s="159"/>
      <c r="BP9" s="159"/>
      <c r="BQ9" s="159"/>
      <c r="BR9" s="159"/>
      <c r="BS9" s="159"/>
      <c r="BT9" s="159"/>
      <c r="BU9" s="159"/>
      <c r="BV9" s="159"/>
      <c r="BW9" s="159"/>
      <c r="BX9" s="159"/>
      <c r="BY9" s="159"/>
      <c r="BZ9" s="159"/>
      <c r="CA9" s="159"/>
      <c r="CB9" s="159"/>
      <c r="CC9" s="159"/>
      <c r="CD9" s="159"/>
      <c r="CE9" s="159"/>
      <c r="CF9" s="159"/>
      <c r="CG9" s="159"/>
      <c r="CH9" s="159"/>
      <c r="CI9" s="159"/>
      <c r="CJ9" s="159"/>
      <c r="CK9" s="159"/>
      <c r="CL9" s="159"/>
      <c r="CM9" s="159"/>
      <c r="CN9" s="159"/>
      <c r="CO9" s="159"/>
      <c r="CP9" s="159"/>
      <c r="CQ9" s="159"/>
      <c r="CR9" s="159"/>
      <c r="CS9" s="159"/>
      <c r="CT9" s="159"/>
      <c r="CU9" s="159"/>
      <c r="CV9" s="159"/>
      <c r="CW9" s="159"/>
      <c r="CX9" s="159"/>
      <c r="CY9" s="159"/>
      <c r="CZ9" s="159"/>
      <c r="DA9" s="159"/>
      <c r="DB9" s="159"/>
      <c r="DC9" s="159"/>
      <c r="DD9" s="159"/>
      <c r="DE9" s="159"/>
      <c r="DF9" s="159"/>
      <c r="DG9" s="159"/>
      <c r="DH9" s="159"/>
      <c r="DI9" s="159"/>
      <c r="DJ9" s="159"/>
      <c r="DK9" s="159"/>
      <c r="DL9" s="159"/>
      <c r="DM9" s="159"/>
      <c r="DN9" s="159"/>
      <c r="DO9" s="159"/>
      <c r="DP9" s="159"/>
      <c r="DQ9" s="159"/>
      <c r="DR9" s="159"/>
      <c r="DS9" s="159"/>
      <c r="DT9" s="159"/>
      <c r="DU9" s="159"/>
      <c r="DV9" s="159"/>
      <c r="DW9" s="159"/>
      <c r="DX9" s="159"/>
      <c r="DY9" s="159"/>
      <c r="DZ9" s="159"/>
      <c r="EA9" s="159"/>
      <c r="EB9" s="159"/>
      <c r="EC9" s="159"/>
      <c r="ED9" s="159"/>
      <c r="EE9" s="159"/>
      <c r="EF9" s="159"/>
      <c r="EG9" s="159"/>
      <c r="EH9" s="159"/>
      <c r="EI9" s="159"/>
      <c r="EJ9" s="159"/>
      <c r="EK9" s="159"/>
      <c r="EL9" s="159"/>
      <c r="EM9" s="159"/>
      <c r="EN9" s="159"/>
      <c r="EO9" s="159"/>
      <c r="EP9" s="159"/>
      <c r="EQ9" s="159"/>
      <c r="ER9" s="159"/>
      <c r="ES9" s="159"/>
      <c r="ET9" s="159"/>
      <c r="EU9" s="159"/>
      <c r="EV9" s="159"/>
      <c r="EW9" s="159"/>
      <c r="EX9" s="159"/>
      <c r="EY9" s="159"/>
      <c r="EZ9" s="159"/>
      <c r="FA9" s="159"/>
      <c r="FB9" s="159"/>
      <c r="FC9" s="159"/>
      <c r="FD9" s="159"/>
      <c r="FE9" s="159"/>
      <c r="FF9" s="159"/>
      <c r="FG9" s="159"/>
      <c r="FH9" s="159"/>
      <c r="FI9" s="159"/>
      <c r="FJ9" s="159"/>
      <c r="FK9" s="159"/>
      <c r="FL9" s="159"/>
      <c r="FM9" s="159"/>
      <c r="FN9" s="159"/>
      <c r="FO9" s="159"/>
      <c r="FP9" s="159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51">
        <v>43585.259375000001</v>
      </c>
      <c r="B12" s="4">
        <v>20000</v>
      </c>
      <c r="C12" s="5"/>
      <c r="D12" s="122"/>
      <c r="E12" s="123"/>
      <c r="F12" s="151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51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51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51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51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>
        <v>43600.259398148148</v>
      </c>
      <c r="B17" s="4">
        <v>0</v>
      </c>
      <c r="C17" s="4">
        <v>1000</v>
      </c>
      <c r="D17" s="122">
        <v>540</v>
      </c>
      <c r="E17" s="123"/>
      <c r="F17" s="151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51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51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51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51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51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>
        <v>43600.259398148148</v>
      </c>
      <c r="B23" s="4">
        <v>0</v>
      </c>
      <c r="C23" s="4"/>
      <c r="D23" s="122">
        <f t="shared" si="0"/>
        <v>375</v>
      </c>
      <c r="E23" s="123"/>
      <c r="F23" s="151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/>
      <c r="B24" s="4">
        <v>0</v>
      </c>
      <c r="C24" s="4"/>
      <c r="D24" s="122" t="str">
        <f t="shared" si="0"/>
        <v/>
      </c>
      <c r="E24" s="123"/>
      <c r="F24" s="151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/>
      <c r="B25" s="4">
        <v>0</v>
      </c>
      <c r="C25" s="4"/>
      <c r="D25" s="122" t="str">
        <f t="shared" si="0"/>
        <v/>
      </c>
      <c r="E25" s="123"/>
      <c r="F25" s="151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/>
      <c r="B26" s="4">
        <v>0</v>
      </c>
      <c r="C26" s="4"/>
      <c r="D26" s="122" t="str">
        <f t="shared" si="0"/>
        <v/>
      </c>
      <c r="E26" s="123"/>
      <c r="F26" s="151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51"/>
      <c r="B27" s="4">
        <v>0</v>
      </c>
      <c r="C27" s="4"/>
      <c r="D27" s="122" t="str">
        <f t="shared" si="0"/>
        <v/>
      </c>
      <c r="E27" s="123"/>
      <c r="F27" s="151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51"/>
      <c r="B28" s="5">
        <v>0</v>
      </c>
      <c r="C28" s="4"/>
      <c r="D28" s="122" t="str">
        <f t="shared" si="0"/>
        <v/>
      </c>
      <c r="E28" s="123"/>
      <c r="F28" s="151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5">
        <v>0</v>
      </c>
      <c r="C29" s="4"/>
      <c r="D29" s="122" t="str">
        <f t="shared" si="0"/>
        <v/>
      </c>
      <c r="E29" s="123"/>
      <c r="F29" s="151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5">
        <v>0</v>
      </c>
      <c r="C30" s="4"/>
      <c r="D30" s="122" t="str">
        <f t="shared" si="0"/>
        <v/>
      </c>
      <c r="E30" s="123"/>
      <c r="F30" s="151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5">
        <v>0</v>
      </c>
      <c r="C31" s="4"/>
      <c r="D31" s="122" t="str">
        <f t="shared" si="0"/>
        <v/>
      </c>
      <c r="E31" s="123"/>
      <c r="F31" s="151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5">
        <v>0</v>
      </c>
      <c r="C32" s="4"/>
      <c r="D32" s="122" t="str">
        <f t="shared" si="0"/>
        <v/>
      </c>
      <c r="E32" s="123"/>
      <c r="F32" s="151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5">
        <v>0</v>
      </c>
      <c r="C33" s="4"/>
      <c r="D33" s="122" t="str">
        <f t="shared" si="0"/>
        <v/>
      </c>
      <c r="E33" s="123"/>
      <c r="F33" s="151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5">
        <v>0</v>
      </c>
      <c r="C34" s="4"/>
      <c r="D34" s="122" t="str">
        <f t="shared" si="0"/>
        <v/>
      </c>
      <c r="E34" s="123"/>
      <c r="F34" s="151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5">
        <v>0</v>
      </c>
      <c r="C35" s="4"/>
      <c r="D35" s="122" t="str">
        <f t="shared" si="0"/>
        <v/>
      </c>
      <c r="E35" s="123"/>
      <c r="F35" s="151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5">
        <v>0</v>
      </c>
      <c r="C36" s="4"/>
      <c r="D36" s="122" t="str">
        <f t="shared" si="0"/>
        <v/>
      </c>
      <c r="E36" s="123"/>
      <c r="F36" s="151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5">
        <v>0</v>
      </c>
      <c r="C37" s="4"/>
      <c r="D37" s="122" t="str">
        <f t="shared" si="0"/>
        <v/>
      </c>
      <c r="E37" s="123"/>
      <c r="F37" s="151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5">
        <v>0</v>
      </c>
      <c r="C38" s="4"/>
      <c r="D38" s="122" t="str">
        <f t="shared" si="0"/>
        <v/>
      </c>
      <c r="E38" s="123"/>
      <c r="F38" s="151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5">
        <v>0</v>
      </c>
      <c r="C39" s="4"/>
      <c r="D39" s="122" t="str">
        <f t="shared" si="0"/>
        <v/>
      </c>
      <c r="E39" s="123"/>
      <c r="F39" s="151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5">
        <v>0</v>
      </c>
      <c r="C40" s="4"/>
      <c r="D40" s="122" t="str">
        <f t="shared" si="0"/>
        <v/>
      </c>
      <c r="E40" s="123"/>
      <c r="F40" s="151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5">
        <v>0</v>
      </c>
      <c r="C41" s="4"/>
      <c r="D41" s="122" t="str">
        <f t="shared" si="0"/>
        <v/>
      </c>
      <c r="E41" s="123"/>
      <c r="F41" s="151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5">
        <v>0</v>
      </c>
      <c r="C42" s="4"/>
      <c r="D42" s="122" t="str">
        <f t="shared" si="0"/>
        <v/>
      </c>
      <c r="E42" s="123"/>
      <c r="F42" s="151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51"/>
      <c r="B43" s="5">
        <v>0</v>
      </c>
      <c r="C43" s="4"/>
      <c r="D43" s="122" t="str">
        <f t="shared" si="0"/>
        <v/>
      </c>
      <c r="E43" s="123"/>
      <c r="F43" s="151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51"/>
      <c r="B44" s="5">
        <v>0</v>
      </c>
      <c r="C44" s="4"/>
      <c r="D44" s="122" t="str">
        <f t="shared" si="0"/>
        <v/>
      </c>
      <c r="E44" s="123"/>
      <c r="F44" s="151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52"/>
      <c r="B45" s="118">
        <v>0</v>
      </c>
      <c r="C45" s="94"/>
      <c r="D45" s="122" t="str">
        <f t="shared" si="0"/>
        <v/>
      </c>
      <c r="E45" s="124"/>
      <c r="F45" s="152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workbookViewId="0">
      <selection activeCell="U9" sqref="U9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249" t="s">
        <v>79</v>
      </c>
      <c r="G2" s="249"/>
      <c r="H2" s="249"/>
      <c r="I2" s="249"/>
      <c r="J2" s="249"/>
      <c r="K2" s="14"/>
      <c r="L2" s="14"/>
      <c r="M2" s="30"/>
      <c r="O2" s="30"/>
      <c r="P2" s="32"/>
      <c r="Q2" s="32"/>
      <c r="R2" s="216" t="s">
        <v>80</v>
      </c>
      <c r="S2" s="216"/>
      <c r="T2" s="216"/>
      <c r="U2" s="216"/>
      <c r="V2" s="216"/>
      <c r="W2" s="216"/>
      <c r="X2" s="32"/>
      <c r="Y2" s="32"/>
      <c r="Z2" s="30"/>
      <c r="AB2" s="73"/>
      <c r="AC2" s="32"/>
      <c r="AD2" s="32"/>
      <c r="AE2" s="216" t="s">
        <v>70</v>
      </c>
      <c r="AF2" s="216"/>
      <c r="AG2" s="216"/>
      <c r="AH2" s="216"/>
      <c r="AI2" s="216"/>
      <c r="AJ2" s="216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249"/>
      <c r="G3" s="249"/>
      <c r="H3" s="249"/>
      <c r="I3" s="249"/>
      <c r="J3" s="249"/>
      <c r="K3" s="14"/>
      <c r="L3" s="14"/>
      <c r="M3" s="30"/>
      <c r="O3" s="30"/>
      <c r="P3" s="32"/>
      <c r="Q3" s="32"/>
      <c r="R3" s="230"/>
      <c r="S3" s="230"/>
      <c r="T3" s="230"/>
      <c r="U3" s="230"/>
      <c r="V3" s="230"/>
      <c r="W3" s="230"/>
      <c r="X3" s="32"/>
      <c r="Y3" s="32"/>
      <c r="Z3" s="30"/>
      <c r="AB3" s="73"/>
      <c r="AC3" s="32"/>
      <c r="AD3" s="32"/>
      <c r="AE3" s="217"/>
      <c r="AF3" s="217"/>
      <c r="AG3" s="217"/>
      <c r="AH3" s="217"/>
      <c r="AI3" s="217"/>
      <c r="AJ3" s="217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50">
        <f>U4+AH6+AH10</f>
        <v>2015000</v>
      </c>
      <c r="G4" s="251"/>
      <c r="H4" s="251"/>
      <c r="I4" s="251"/>
      <c r="J4" s="252"/>
      <c r="L4" s="14"/>
      <c r="M4" s="30"/>
      <c r="O4" s="30"/>
      <c r="P4" s="32"/>
      <c r="Q4" s="218" t="s">
        <v>59</v>
      </c>
      <c r="R4" s="219"/>
      <c r="S4" s="219"/>
      <c r="T4" s="220"/>
      <c r="U4" s="224">
        <f>U7 +U10</f>
        <v>935000</v>
      </c>
      <c r="V4" s="225"/>
      <c r="W4" s="225"/>
      <c r="X4" s="226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53"/>
      <c r="G5" s="254"/>
      <c r="H5" s="254"/>
      <c r="I5" s="254"/>
      <c r="J5" s="255"/>
      <c r="K5" s="14"/>
      <c r="L5" s="14"/>
      <c r="M5" s="30"/>
      <c r="O5" s="30"/>
      <c r="P5" s="32"/>
      <c r="Q5" s="221"/>
      <c r="R5" s="222"/>
      <c r="S5" s="222"/>
      <c r="T5" s="223"/>
      <c r="U5" s="227"/>
      <c r="V5" s="228"/>
      <c r="W5" s="228"/>
      <c r="X5" s="229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63"/>
      <c r="W6" s="262"/>
      <c r="X6" s="32"/>
      <c r="Y6" s="32"/>
      <c r="Z6" s="30"/>
      <c r="AB6" s="73"/>
      <c r="AC6" s="32"/>
      <c r="AD6" s="218" t="s">
        <v>69</v>
      </c>
      <c r="AE6" s="219"/>
      <c r="AF6" s="219"/>
      <c r="AG6" s="220"/>
      <c r="AH6" s="224">
        <v>980000</v>
      </c>
      <c r="AI6" s="225"/>
      <c r="AJ6" s="225"/>
      <c r="AK6" s="226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56" t="s">
        <v>54</v>
      </c>
      <c r="R7" s="257"/>
      <c r="S7" s="257"/>
      <c r="T7" s="258"/>
      <c r="U7" s="224">
        <v>35000</v>
      </c>
      <c r="V7" s="225"/>
      <c r="W7" s="225"/>
      <c r="X7" s="226"/>
      <c r="Y7" s="32"/>
      <c r="Z7" s="30"/>
      <c r="AB7" s="73"/>
      <c r="AC7" s="32"/>
      <c r="AD7" s="221"/>
      <c r="AE7" s="222"/>
      <c r="AF7" s="222"/>
      <c r="AG7" s="223"/>
      <c r="AH7" s="227"/>
      <c r="AI7" s="228"/>
      <c r="AJ7" s="228"/>
      <c r="AK7" s="229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59"/>
      <c r="R8" s="260"/>
      <c r="S8" s="260"/>
      <c r="T8" s="261"/>
      <c r="U8" s="227"/>
      <c r="V8" s="228"/>
      <c r="W8" s="228"/>
      <c r="X8" s="229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62"/>
      <c r="W9" s="262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56" t="s">
        <v>55</v>
      </c>
      <c r="R10" s="257"/>
      <c r="S10" s="257"/>
      <c r="T10" s="258"/>
      <c r="U10" s="224">
        <f>SUM(U13,U15,U17)</f>
        <v>900000</v>
      </c>
      <c r="V10" s="225"/>
      <c r="W10" s="225"/>
      <c r="X10" s="226"/>
      <c r="Y10" s="32"/>
      <c r="Z10" s="30"/>
      <c r="AB10" s="73"/>
      <c r="AC10" s="32"/>
      <c r="AD10" s="237" t="s">
        <v>77</v>
      </c>
      <c r="AE10" s="238"/>
      <c r="AF10" s="238"/>
      <c r="AG10" s="239"/>
      <c r="AH10" s="224">
        <v>100000</v>
      </c>
      <c r="AI10" s="225"/>
      <c r="AJ10" s="225"/>
      <c r="AK10" s="226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59"/>
      <c r="R11" s="260"/>
      <c r="S11" s="260"/>
      <c r="T11" s="261"/>
      <c r="U11" s="227"/>
      <c r="V11" s="228"/>
      <c r="W11" s="228"/>
      <c r="X11" s="229"/>
      <c r="Y11" s="32"/>
      <c r="Z11" s="30"/>
      <c r="AB11" s="73"/>
      <c r="AC11" s="32"/>
      <c r="AD11" s="240"/>
      <c r="AE11" s="241"/>
      <c r="AF11" s="241"/>
      <c r="AG11" s="242"/>
      <c r="AH11" s="246"/>
      <c r="AI11" s="247"/>
      <c r="AJ11" s="247"/>
      <c r="AK11" s="248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243"/>
      <c r="AE12" s="244"/>
      <c r="AF12" s="244"/>
      <c r="AG12" s="245"/>
      <c r="AH12" s="227"/>
      <c r="AI12" s="228"/>
      <c r="AJ12" s="228"/>
      <c r="AK12" s="229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231" t="s">
        <v>58</v>
      </c>
      <c r="S13" s="232"/>
      <c r="T13" s="233"/>
      <c r="U13" s="234">
        <v>300000</v>
      </c>
      <c r="V13" s="235"/>
      <c r="W13" s="236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231" t="s">
        <v>56</v>
      </c>
      <c r="S15" s="232"/>
      <c r="T15" s="233"/>
      <c r="U15" s="234">
        <v>300000</v>
      </c>
      <c r="V15" s="235"/>
      <c r="W15" s="236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231" t="s">
        <v>57</v>
      </c>
      <c r="S17" s="232"/>
      <c r="T17" s="233"/>
      <c r="U17" s="234">
        <v>300000</v>
      </c>
      <c r="V17" s="235"/>
      <c r="W17" s="236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  <mergeCell ref="AE2:AJ3"/>
    <mergeCell ref="AD6:AG7"/>
    <mergeCell ref="AH6:AK7"/>
    <mergeCell ref="R2:W3"/>
    <mergeCell ref="R13:T13"/>
    <mergeCell ref="U13:W13"/>
    <mergeCell ref="AD10:AG12"/>
    <mergeCell ref="AH10:AK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J21" sqref="J21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272" t="s">
        <v>64</v>
      </c>
      <c r="B1" s="273"/>
      <c r="C1" s="273"/>
      <c r="D1" s="273"/>
      <c r="E1" s="273"/>
      <c r="F1" s="273"/>
      <c r="G1" s="273"/>
      <c r="H1" s="273"/>
      <c r="I1" s="274"/>
    </row>
    <row r="2" spans="1:9" ht="15.75" thickBot="1" x14ac:dyDescent="0.3">
      <c r="A2" s="275"/>
      <c r="B2" s="276"/>
      <c r="C2" s="276"/>
      <c r="D2" s="276"/>
      <c r="E2" s="276"/>
      <c r="F2" s="277"/>
      <c r="G2" s="277"/>
      <c r="H2" s="277"/>
      <c r="I2" s="278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279" t="s">
        <v>78</v>
      </c>
      <c r="G3" s="280"/>
      <c r="H3" s="280"/>
      <c r="I3" s="281"/>
    </row>
    <row r="4" spans="1:9" ht="15.75" thickBot="1" x14ac:dyDescent="0.3">
      <c r="A4" s="44" t="str">
        <f>Savings!C2</f>
        <v>ken</v>
      </c>
      <c r="B4" s="70">
        <f>Savings!C16</f>
        <v>0.16427671426858256</v>
      </c>
      <c r="C4" s="71">
        <f>Savings!C17</f>
        <v>138096.75569916991</v>
      </c>
      <c r="D4" s="44">
        <v>200</v>
      </c>
      <c r="E4" s="75">
        <f>C4-D4</f>
        <v>137896.75569916991</v>
      </c>
      <c r="F4" s="282"/>
      <c r="G4" s="283"/>
      <c r="H4" s="283"/>
      <c r="I4" s="284"/>
    </row>
    <row r="5" spans="1:9" x14ac:dyDescent="0.25">
      <c r="A5" s="44" t="str">
        <f>Savings!D2</f>
        <v>gian</v>
      </c>
      <c r="B5" s="70">
        <f>Savings!D16</f>
        <v>1.112153355598304E-2</v>
      </c>
      <c r="C5" s="71">
        <f>Savings!D17</f>
        <v>9349.1503608338026</v>
      </c>
      <c r="D5" s="44">
        <v>200</v>
      </c>
      <c r="E5" s="75">
        <f t="shared" ref="E5:E28" si="0">C5-D5</f>
        <v>9149.1503608338026</v>
      </c>
      <c r="F5" s="285" t="s">
        <v>71</v>
      </c>
      <c r="G5" s="286"/>
      <c r="H5" s="286"/>
      <c r="I5" s="287"/>
    </row>
    <row r="6" spans="1:9" ht="15.75" thickBot="1" x14ac:dyDescent="0.3">
      <c r="A6" s="44" t="str">
        <f>Savings!E2</f>
        <v>donque</v>
      </c>
      <c r="B6" s="70">
        <f>Savings!E16</f>
        <v>3.1343997082445556E-2</v>
      </c>
      <c r="C6" s="71">
        <f>Savings!E17</f>
        <v>26348.860987401618</v>
      </c>
      <c r="D6" s="44">
        <v>200</v>
      </c>
      <c r="E6" s="75">
        <f t="shared" si="0"/>
        <v>26148.860987401618</v>
      </c>
      <c r="F6" s="288"/>
      <c r="G6" s="289"/>
      <c r="H6" s="289"/>
      <c r="I6" s="290"/>
    </row>
    <row r="7" spans="1:9" x14ac:dyDescent="0.25">
      <c r="A7" s="44" t="str">
        <f>Savings!F2</f>
        <v>bernard</v>
      </c>
      <c r="B7" s="70">
        <f>Savings!F16</f>
        <v>5.5166858596627837E-2</v>
      </c>
      <c r="C7" s="71">
        <f>Savings!F17</f>
        <v>46375.192176376244</v>
      </c>
      <c r="D7" s="44">
        <v>100</v>
      </c>
      <c r="E7" s="71">
        <f t="shared" si="0"/>
        <v>46275.192176376244</v>
      </c>
      <c r="F7" s="76"/>
      <c r="G7" s="76"/>
      <c r="H7" s="76"/>
      <c r="I7" s="76"/>
    </row>
    <row r="8" spans="1:9" x14ac:dyDescent="0.25">
      <c r="A8" s="44" t="str">
        <f>Savings!G2</f>
        <v>gina</v>
      </c>
      <c r="B8" s="70">
        <f>Savings!G16</f>
        <v>6.1183767051238458E-2</v>
      </c>
      <c r="C8" s="71">
        <f>Savings!G17</f>
        <v>51433.21601511784</v>
      </c>
      <c r="D8" s="44">
        <v>200</v>
      </c>
      <c r="E8" s="71">
        <f t="shared" si="0"/>
        <v>51233.21601511784</v>
      </c>
      <c r="F8" s="76"/>
      <c r="G8" s="76"/>
      <c r="H8" s="76"/>
      <c r="I8" s="76"/>
    </row>
    <row r="9" spans="1:9" x14ac:dyDescent="0.25">
      <c r="A9" s="44" t="str">
        <f>Savings!H2</f>
        <v>rowel</v>
      </c>
      <c r="B9" s="70">
        <f>Savings!H16</f>
        <v>3.7053708081373926E-2</v>
      </c>
      <c r="C9" s="71">
        <f>Savings!H17</f>
        <v>31148.643892985769</v>
      </c>
      <c r="D9" s="44">
        <v>200</v>
      </c>
      <c r="E9" s="71">
        <f t="shared" si="0"/>
        <v>30948.643892985769</v>
      </c>
      <c r="F9" s="76"/>
      <c r="G9" s="76"/>
      <c r="H9" s="76"/>
      <c r="I9" s="76"/>
    </row>
    <row r="10" spans="1:9" x14ac:dyDescent="0.25">
      <c r="A10" s="44" t="str">
        <f>Savings!I2</f>
        <v>leo j.</v>
      </c>
      <c r="B10" s="70">
        <f>Savings!I16</f>
        <v>0.10416567416151797</v>
      </c>
      <c r="C10" s="71">
        <f>Savings!I17</f>
        <v>87565.311498767653</v>
      </c>
      <c r="D10" s="44">
        <v>100</v>
      </c>
      <c r="E10" s="71">
        <f t="shared" si="0"/>
        <v>87465.311498767653</v>
      </c>
      <c r="F10" s="76"/>
      <c r="G10" s="76"/>
      <c r="H10" s="76"/>
      <c r="I10" s="76"/>
    </row>
    <row r="11" spans="1:9" x14ac:dyDescent="0.25">
      <c r="A11" s="44" t="str">
        <f>Savings!J2</f>
        <v>emman r.</v>
      </c>
      <c r="B11" s="70">
        <f>Savings!J16</f>
        <v>2.6470454559144271E-3</v>
      </c>
      <c r="C11" s="71">
        <f>Savings!J17</f>
        <v>2225.1990568326246</v>
      </c>
      <c r="D11" s="44">
        <v>200</v>
      </c>
      <c r="E11" s="71">
        <f t="shared" si="0"/>
        <v>2025.1990568326246</v>
      </c>
      <c r="F11" s="76"/>
      <c r="G11" s="76"/>
      <c r="H11" s="76"/>
      <c r="I11" s="76"/>
    </row>
    <row r="12" spans="1:9" x14ac:dyDescent="0.25">
      <c r="A12" s="44" t="str">
        <f>Savings!K2</f>
        <v>jeff</v>
      </c>
      <c r="B12" s="70">
        <f>Savings!K16</f>
        <v>9.161438560235069E-2</v>
      </c>
      <c r="C12" s="71">
        <f>Savings!K17</f>
        <v>77014.259040832068</v>
      </c>
      <c r="D12" s="44">
        <v>100</v>
      </c>
      <c r="E12" s="71">
        <f t="shared" si="0"/>
        <v>76914.259040832068</v>
      </c>
      <c r="F12" s="76"/>
      <c r="G12" s="76"/>
      <c r="H12" s="76"/>
      <c r="I12" s="76"/>
    </row>
    <row r="13" spans="1:9" ht="15.75" thickBot="1" x14ac:dyDescent="0.3">
      <c r="A13" s="44" t="str">
        <f>Savings!L2</f>
        <v>rubin</v>
      </c>
      <c r="B13" s="70">
        <f>Savings!L16</f>
        <v>2.714125114240765E-2</v>
      </c>
      <c r="C13" s="71">
        <f>Savings!L17</f>
        <v>22815.885654097856</v>
      </c>
      <c r="D13" s="44">
        <v>200</v>
      </c>
      <c r="E13" s="71">
        <f t="shared" si="0"/>
        <v>22615.885654097856</v>
      </c>
      <c r="F13" s="76"/>
      <c r="G13" s="76"/>
      <c r="H13" s="76"/>
      <c r="I13" s="76"/>
    </row>
    <row r="14" spans="1:9" x14ac:dyDescent="0.25">
      <c r="A14" s="44" t="str">
        <f>Savings!M2</f>
        <v>rommel c.</v>
      </c>
      <c r="B14" s="70">
        <f>Savings!M16</f>
        <v>2.7379452378097094E-2</v>
      </c>
      <c r="C14" s="71">
        <f>Savings!M17</f>
        <v>23016.125949861649</v>
      </c>
      <c r="D14" s="44">
        <v>200</v>
      </c>
      <c r="E14" s="75">
        <f t="shared" si="0"/>
        <v>22816.125949861649</v>
      </c>
      <c r="F14" s="264" t="s">
        <v>72</v>
      </c>
      <c r="G14" s="265"/>
      <c r="H14" s="291">
        <f>SUM(B4:B28)</f>
        <v>1.0000000000000002</v>
      </c>
      <c r="I14" s="292"/>
    </row>
    <row r="15" spans="1:9" ht="15.75" thickBot="1" x14ac:dyDescent="0.3">
      <c r="A15" s="44" t="str">
        <f>Savings!N2</f>
        <v>guilly</v>
      </c>
      <c r="B15" s="70">
        <f>Savings!N16</f>
        <v>1.4879089600353085E-2</v>
      </c>
      <c r="C15" s="71">
        <f>Savings!N17</f>
        <v>12507.883486192815</v>
      </c>
      <c r="D15" s="44">
        <v>200</v>
      </c>
      <c r="E15" s="75">
        <f t="shared" si="0"/>
        <v>12307.883486192815</v>
      </c>
      <c r="F15" s="266"/>
      <c r="G15" s="267"/>
      <c r="H15" s="293"/>
      <c r="I15" s="294"/>
    </row>
    <row r="16" spans="1:9" x14ac:dyDescent="0.25">
      <c r="A16" s="44" t="str">
        <f>Savings!O2</f>
        <v>edward</v>
      </c>
      <c r="B16" s="70">
        <f>Savings!O16</f>
        <v>3.2855342853716513E-3</v>
      </c>
      <c r="C16" s="71">
        <f>Savings!O17</f>
        <v>2761.935113983398</v>
      </c>
      <c r="D16" s="44">
        <v>200</v>
      </c>
      <c r="E16" s="75">
        <f t="shared" si="0"/>
        <v>2561.935113983398</v>
      </c>
      <c r="F16" s="264" t="s">
        <v>73</v>
      </c>
      <c r="G16" s="265"/>
      <c r="H16" s="268">
        <f>SUM(C4:C28)</f>
        <v>840635</v>
      </c>
      <c r="I16" s="269"/>
    </row>
    <row r="17" spans="1:9" ht="15.75" thickBot="1" x14ac:dyDescent="0.3">
      <c r="A17" s="44" t="str">
        <f>Savings!P2</f>
        <v>kc</v>
      </c>
      <c r="B17" s="70">
        <f>Savings!P16</f>
        <v>7.7045778991965226E-3</v>
      </c>
      <c r="C17" s="71">
        <f>Savings!P17</f>
        <v>6476.7378422910688</v>
      </c>
      <c r="D17" s="44">
        <v>200</v>
      </c>
      <c r="E17" s="75">
        <f t="shared" si="0"/>
        <v>6276.7378422910688</v>
      </c>
      <c r="F17" s="266"/>
      <c r="G17" s="267"/>
      <c r="H17" s="270"/>
      <c r="I17" s="271"/>
    </row>
    <row r="18" spans="1:9" x14ac:dyDescent="0.25">
      <c r="A18" s="44" t="str">
        <f>Savings!Q2</f>
        <v>paulo</v>
      </c>
      <c r="B18" s="70">
        <f>Savings!Q16</f>
        <v>0.11424295540380038</v>
      </c>
      <c r="C18" s="71">
        <f>Savings!Q17</f>
        <v>96036.626815873722</v>
      </c>
      <c r="D18" s="44">
        <v>200</v>
      </c>
      <c r="E18" s="71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0">
        <f>Savings!R16</f>
        <v>5.7496849994003903E-3</v>
      </c>
      <c r="C19" s="71">
        <f>Savings!R17</f>
        <v>4833.3864494709469</v>
      </c>
      <c r="D19" s="44">
        <v>200</v>
      </c>
      <c r="E19" s="71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0">
        <f>Savings!S16</f>
        <v>9.912840251299565E-2</v>
      </c>
      <c r="C20" s="71">
        <f>Savings!S17</f>
        <v>83330.804646512101</v>
      </c>
      <c r="D20" s="44">
        <v>200</v>
      </c>
      <c r="E20" s="71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0">
        <f>Savings!T16</f>
        <v>4.8277640789251043E-2</v>
      </c>
      <c r="C21" s="71">
        <f>Savings!T17</f>
        <v>40583.874564872051</v>
      </c>
      <c r="D21" s="44">
        <v>200</v>
      </c>
      <c r="E21" s="71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0">
        <f>Savings!U16</f>
        <v>1.4784904284172432E-2</v>
      </c>
      <c r="C22" s="71">
        <f>Savings!U17</f>
        <v>12428.708012925292</v>
      </c>
      <c r="D22" s="44">
        <v>200</v>
      </c>
      <c r="E22" s="71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0">
        <f>Savings!V16</f>
        <v>1.2594548093924664E-2</v>
      </c>
      <c r="C23" s="71">
        <f>Savings!V17</f>
        <v>10587.417936936359</v>
      </c>
      <c r="D23" s="44">
        <v>200</v>
      </c>
      <c r="E23" s="71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0">
        <f>Savings!W16</f>
        <v>1.6427671426858258E-2</v>
      </c>
      <c r="C24" s="71">
        <f>Savings!W17</f>
        <v>13809.675569916992</v>
      </c>
      <c r="D24" s="44">
        <v>200</v>
      </c>
      <c r="E24" s="71">
        <f t="shared" si="0"/>
        <v>13609.675569916992</v>
      </c>
      <c r="F24" s="41"/>
      <c r="G24" s="41"/>
      <c r="H24" s="41"/>
      <c r="I24" s="41"/>
    </row>
    <row r="25" spans="1:9" x14ac:dyDescent="0.25">
      <c r="A25" s="71" t="str">
        <f>Savings!X2</f>
        <v>kero</v>
      </c>
      <c r="B25" s="70">
        <f>Savings!X16</f>
        <v>2.0808383807353791E-2</v>
      </c>
      <c r="C25" s="71">
        <f>Savings!X17</f>
        <v>17492.255721894853</v>
      </c>
      <c r="D25" s="44">
        <v>200</v>
      </c>
      <c r="E25" s="71">
        <f t="shared" si="0"/>
        <v>17292.255721894853</v>
      </c>
    </row>
    <row r="26" spans="1:9" x14ac:dyDescent="0.25">
      <c r="A26" s="44" t="str">
        <f>Savings!Y2</f>
        <v>gef</v>
      </c>
      <c r="B26" s="70">
        <f>Savings!Y16</f>
        <v>2.0808383807353791E-2</v>
      </c>
      <c r="C26" s="71">
        <f>Savings!Y17</f>
        <v>17492.255721894853</v>
      </c>
      <c r="D26" s="44">
        <v>200</v>
      </c>
      <c r="E26" s="71">
        <f t="shared" si="0"/>
        <v>17292.255721894853</v>
      </c>
    </row>
    <row r="27" spans="1:9" x14ac:dyDescent="0.25">
      <c r="A27" s="44" t="str">
        <f>Savings!Z2</f>
        <v>alvin</v>
      </c>
      <c r="B27" s="70">
        <f>Savings!Z16</f>
        <v>8.2138357134291292E-3</v>
      </c>
      <c r="C27" s="71">
        <f>Savings!Z17</f>
        <v>6904.8377849584958</v>
      </c>
      <c r="D27" s="44">
        <v>200</v>
      </c>
      <c r="E27" s="71">
        <f t="shared" si="0"/>
        <v>6704.8377849584958</v>
      </c>
    </row>
    <row r="28" spans="1:9" x14ac:dyDescent="0.25">
      <c r="A28" s="44" t="str">
        <f>Savings!AA2</f>
        <v>gugu</v>
      </c>
      <c r="B28" s="70">
        <f>Savings!AA16</f>
        <v>0</v>
      </c>
      <c r="C28" s="71">
        <f>Savings!AA17</f>
        <v>0</v>
      </c>
      <c r="D28" s="44">
        <v>200</v>
      </c>
      <c r="E28" s="71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zoomScale="85" zoomScaleNormal="85" workbookViewId="0">
      <selection activeCell="M57" sqref="M57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41"/>
  <sheetViews>
    <sheetView topLeftCell="A34" zoomScale="85" zoomScaleNormal="85" workbookViewId="0">
      <selection activeCell="L70" sqref="L70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41">
        <v>2015</v>
      </c>
      <c r="B55" s="85"/>
      <c r="C55" s="102"/>
      <c r="D55" s="102"/>
      <c r="E55" s="111"/>
      <c r="F55" s="111"/>
    </row>
    <row r="56" spans="1:27" x14ac:dyDescent="0.25">
      <c r="A56" s="142" t="s">
        <v>94</v>
      </c>
      <c r="B56" s="85" t="s">
        <v>46</v>
      </c>
      <c r="C56" s="102"/>
      <c r="D56" s="102"/>
      <c r="E56" s="111"/>
      <c r="F56" s="111"/>
    </row>
    <row r="57" spans="1:27" x14ac:dyDescent="0.25">
      <c r="A57" s="143">
        <v>46021</v>
      </c>
      <c r="B57" s="85"/>
      <c r="C57" s="102"/>
      <c r="D57" s="102"/>
      <c r="E57" s="111"/>
      <c r="F57" s="111"/>
    </row>
    <row r="58" spans="1:27" x14ac:dyDescent="0.25">
      <c r="A58" s="143">
        <v>45672</v>
      </c>
      <c r="B58" s="85"/>
      <c r="C58" s="102"/>
      <c r="D58" s="102"/>
      <c r="E58" s="111"/>
      <c r="F58" s="111"/>
    </row>
    <row r="59" spans="1:27" x14ac:dyDescent="0.25">
      <c r="A59" s="143">
        <v>45687</v>
      </c>
      <c r="B59" s="85"/>
      <c r="C59" s="102"/>
      <c r="D59" s="102"/>
      <c r="E59" s="111"/>
      <c r="F59" s="111"/>
    </row>
    <row r="60" spans="1:27" x14ac:dyDescent="0.25">
      <c r="A60" s="143">
        <v>45703</v>
      </c>
      <c r="B60" s="85"/>
      <c r="C60" s="102"/>
      <c r="D60" s="102"/>
      <c r="E60" s="111"/>
      <c r="F60" s="111"/>
    </row>
    <row r="61" spans="1:27" x14ac:dyDescent="0.25">
      <c r="A61" s="143">
        <v>45716</v>
      </c>
      <c r="B61" s="85"/>
      <c r="C61" s="102"/>
      <c r="D61" s="102"/>
      <c r="E61" s="111"/>
      <c r="F61" s="111"/>
    </row>
    <row r="62" spans="1:27" x14ac:dyDescent="0.25">
      <c r="A62" s="143">
        <v>45731</v>
      </c>
      <c r="B62" s="85"/>
      <c r="C62" s="102"/>
      <c r="D62" s="102"/>
      <c r="E62" s="111"/>
      <c r="F62" s="111"/>
    </row>
    <row r="63" spans="1:27" x14ac:dyDescent="0.25">
      <c r="A63" s="143">
        <v>45746</v>
      </c>
      <c r="B63" s="85"/>
      <c r="C63" s="102"/>
      <c r="D63" s="102"/>
      <c r="E63" s="111"/>
      <c r="F63" s="111"/>
    </row>
    <row r="64" spans="1:27" x14ac:dyDescent="0.25">
      <c r="A64" s="143">
        <v>45762</v>
      </c>
      <c r="B64" s="85"/>
      <c r="C64" s="102"/>
      <c r="D64" s="102"/>
      <c r="E64" s="111"/>
      <c r="F64" s="111"/>
    </row>
    <row r="65" spans="1:32" x14ac:dyDescent="0.25">
      <c r="A65" s="143">
        <v>45777</v>
      </c>
      <c r="B65" s="85"/>
      <c r="C65" s="102"/>
      <c r="D65" s="102"/>
      <c r="E65" s="111"/>
      <c r="F65" s="111"/>
    </row>
    <row r="66" spans="1:32" x14ac:dyDescent="0.25">
      <c r="A66" s="143">
        <v>45792</v>
      </c>
      <c r="B66" s="85"/>
      <c r="C66" s="102"/>
      <c r="D66" s="102"/>
      <c r="E66" s="111"/>
      <c r="F66" s="111"/>
    </row>
    <row r="67" spans="1:32" x14ac:dyDescent="0.25">
      <c r="A67" s="143">
        <v>45807</v>
      </c>
      <c r="B67" s="85"/>
      <c r="C67" s="102"/>
      <c r="D67" s="102"/>
      <c r="E67" s="111"/>
      <c r="F67" s="111"/>
      <c r="AF67" s="1"/>
    </row>
    <row r="68" spans="1:32" x14ac:dyDescent="0.25">
      <c r="A68" s="143">
        <v>45823</v>
      </c>
      <c r="B68" s="85"/>
      <c r="C68" s="102"/>
      <c r="D68" s="102"/>
      <c r="E68" s="111"/>
      <c r="F68" s="111"/>
      <c r="AF68" s="1"/>
    </row>
    <row r="69" spans="1:32" x14ac:dyDescent="0.25">
      <c r="A69" s="144" t="s">
        <v>5</v>
      </c>
      <c r="B69" s="145">
        <f>SUM(B57:B68)</f>
        <v>0</v>
      </c>
      <c r="C69" s="102"/>
      <c r="D69" s="102"/>
      <c r="E69" s="111"/>
      <c r="F69" s="111"/>
      <c r="AF69" s="1"/>
    </row>
    <row r="70" spans="1:32" x14ac:dyDescent="0.25">
      <c r="A70" s="146" t="s">
        <v>61</v>
      </c>
      <c r="B70" s="147">
        <f>SUM(C69:AF69)</f>
        <v>0</v>
      </c>
      <c r="C70" s="102"/>
      <c r="D70" s="102"/>
      <c r="E70" s="111"/>
      <c r="F70" s="111"/>
      <c r="AF70" s="1"/>
    </row>
    <row r="71" spans="1:32" x14ac:dyDescent="0.25">
      <c r="A71" s="85" t="s">
        <v>95</v>
      </c>
      <c r="B71" s="148">
        <f>SUM(C71:AF71)</f>
        <v>0</v>
      </c>
      <c r="C71" s="102"/>
      <c r="D71" s="102"/>
      <c r="E71" s="111"/>
      <c r="F71" s="111"/>
      <c r="AF71" s="1"/>
    </row>
    <row r="72" spans="1:32" x14ac:dyDescent="0.25">
      <c r="A72" s="85"/>
      <c r="B72" s="149">
        <f>SUM(C70:AF70)</f>
        <v>0</v>
      </c>
      <c r="C72" s="102"/>
      <c r="D72" s="102"/>
      <c r="E72" s="111"/>
      <c r="F72" s="111"/>
    </row>
    <row r="73" spans="1:32" x14ac:dyDescent="0.25">
      <c r="A73" s="102"/>
      <c r="B73" s="102"/>
      <c r="C73" s="102"/>
      <c r="D73" s="102"/>
      <c r="E73" s="111"/>
      <c r="F73" s="111"/>
      <c r="AF73" s="1"/>
    </row>
    <row r="74" spans="1:32" x14ac:dyDescent="0.25">
      <c r="A74" s="102"/>
      <c r="B74" s="102"/>
      <c r="C74" s="102"/>
      <c r="D74" s="102"/>
      <c r="E74" s="111"/>
      <c r="F74" s="111"/>
      <c r="AF74" s="1"/>
    </row>
    <row r="75" spans="1:32" x14ac:dyDescent="0.25">
      <c r="A75" s="136"/>
      <c r="B75" s="102"/>
      <c r="C75" s="102"/>
      <c r="D75" s="102"/>
      <c r="E75" s="111"/>
      <c r="F75" s="111"/>
      <c r="AF75" s="1"/>
    </row>
    <row r="76" spans="1:32" x14ac:dyDescent="0.25">
      <c r="A76" s="136"/>
      <c r="B76" s="102"/>
      <c r="C76" s="102"/>
      <c r="D76" s="102"/>
      <c r="E76" s="111"/>
      <c r="F76" s="111"/>
      <c r="AF76" s="1"/>
    </row>
    <row r="77" spans="1:32" x14ac:dyDescent="0.25">
      <c r="A77" s="137"/>
      <c r="B77" s="111"/>
      <c r="C77" s="111"/>
      <c r="D77" s="111"/>
      <c r="E77" s="111"/>
      <c r="F77" s="111"/>
      <c r="AF77" s="1"/>
    </row>
    <row r="78" spans="1:32" x14ac:dyDescent="0.25">
      <c r="A78" s="137"/>
      <c r="B78" s="111"/>
      <c r="C78" s="111"/>
      <c r="D78" s="111"/>
      <c r="E78" s="111"/>
      <c r="F78" s="111"/>
      <c r="AF78" s="1"/>
    </row>
    <row r="79" spans="1:32" x14ac:dyDescent="0.25">
      <c r="A79" s="137"/>
      <c r="B79" s="111"/>
      <c r="C79" s="111"/>
      <c r="D79" s="111"/>
      <c r="E79" s="111"/>
      <c r="F79" s="111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A80" s="137"/>
      <c r="B80" s="111"/>
      <c r="C80" s="111"/>
      <c r="D80" s="111"/>
      <c r="E80" s="111"/>
      <c r="F80" s="111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A81" s="137"/>
      <c r="B81" s="111"/>
      <c r="C81" s="111"/>
      <c r="D81" s="111"/>
      <c r="E81" s="111"/>
      <c r="F81" s="111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A82" s="137"/>
      <c r="B82" s="111"/>
      <c r="C82" s="111"/>
      <c r="D82" s="111"/>
      <c r="E82" s="111"/>
      <c r="F82" s="111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A83" s="137"/>
      <c r="B83" s="111"/>
      <c r="C83" s="111"/>
      <c r="D83" s="111"/>
      <c r="E83" s="111"/>
      <c r="F83" s="111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A84" s="137"/>
      <c r="B84" s="111"/>
      <c r="C84" s="111"/>
      <c r="D84" s="111"/>
      <c r="E84" s="111"/>
      <c r="F84" s="111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A85" s="137"/>
      <c r="B85" s="111"/>
      <c r="C85" s="111"/>
      <c r="D85" s="111"/>
      <c r="E85" s="111"/>
      <c r="F85" s="111"/>
      <c r="G85" s="3"/>
      <c r="H85" s="3"/>
      <c r="I85" s="3"/>
      <c r="J85" s="3"/>
      <c r="AF85" s="1"/>
    </row>
    <row r="86" spans="1:32" x14ac:dyDescent="0.25">
      <c r="A86" s="137"/>
      <c r="B86" s="111"/>
      <c r="C86" s="111"/>
      <c r="D86" s="111"/>
      <c r="E86" s="111"/>
      <c r="F86" s="111"/>
      <c r="G86" s="3"/>
      <c r="H86" s="3"/>
      <c r="I86" s="3"/>
      <c r="J86" s="3"/>
      <c r="AF86" s="1"/>
    </row>
    <row r="87" spans="1:32" x14ac:dyDescent="0.25">
      <c r="A87" s="135"/>
      <c r="B87" s="111"/>
      <c r="C87" s="111"/>
      <c r="D87" s="111"/>
      <c r="E87" s="111"/>
      <c r="F87" s="111"/>
      <c r="G87" s="3"/>
      <c r="H87" s="3"/>
      <c r="I87" s="3"/>
      <c r="J87" s="3"/>
      <c r="AF87" s="1"/>
    </row>
    <row r="88" spans="1:32" x14ac:dyDescent="0.25">
      <c r="A88" s="135"/>
      <c r="B88" s="138"/>
      <c r="C88" s="111"/>
      <c r="D88" s="111"/>
      <c r="E88" s="111"/>
      <c r="F88" s="111"/>
      <c r="G88" s="3"/>
      <c r="H88" s="3"/>
      <c r="I88" s="3"/>
      <c r="J88" s="3"/>
      <c r="AF88" s="1"/>
    </row>
    <row r="89" spans="1:32" x14ac:dyDescent="0.25">
      <c r="A89" s="135"/>
      <c r="B89" s="139"/>
      <c r="C89" s="111"/>
      <c r="D89" s="111"/>
      <c r="E89" s="111"/>
      <c r="F89" s="111"/>
      <c r="G89" s="3"/>
      <c r="H89" s="3"/>
      <c r="I89" s="3"/>
      <c r="J89" s="3"/>
      <c r="AF89" s="1"/>
    </row>
    <row r="90" spans="1:32" x14ac:dyDescent="0.25">
      <c r="A90" s="135"/>
      <c r="B90" s="140"/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111"/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topLeftCell="F1" workbookViewId="0">
      <pane ySplit="2" topLeftCell="A3" activePane="bottomLeft" state="frozen"/>
      <selection pane="bottomLeft" activeCell="M24" sqref="M24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50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L8" sqref="L8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295" t="s">
        <v>81</v>
      </c>
      <c r="C1" s="296"/>
      <c r="D1" s="296"/>
      <c r="E1" s="296"/>
      <c r="F1" s="296"/>
      <c r="G1" s="296"/>
      <c r="H1" s="297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21</v>
      </c>
      <c r="C3" s="44" t="s">
        <v>49</v>
      </c>
      <c r="D3" s="44" t="s">
        <v>1</v>
      </c>
      <c r="E3" s="44">
        <f>COUNTA(B3:B80)</f>
        <v>26</v>
      </c>
      <c r="F3" s="44">
        <v>18</v>
      </c>
      <c r="G3" s="44">
        <f>COUNTA(C3:C36)</f>
        <v>4</v>
      </c>
      <c r="H3" s="89">
        <f>G3*F3</f>
        <v>72</v>
      </c>
      <c r="J3" t="s">
        <v>41</v>
      </c>
      <c r="K3">
        <f>COUNTA(Borrowers!A1:HA1)</f>
        <v>6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22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23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24</v>
      </c>
      <c r="C6" s="44">
        <v>2015</v>
      </c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25</v>
      </c>
      <c r="C7" s="44"/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26</v>
      </c>
      <c r="C8" s="44"/>
      <c r="D8" s="44"/>
      <c r="E8" s="44"/>
      <c r="F8" s="44"/>
      <c r="G8" s="4"/>
      <c r="H8" s="90"/>
      <c r="J8" t="s">
        <v>97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27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28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29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20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30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31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32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33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34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35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36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37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6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0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38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39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40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43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88" t="s">
        <v>45</v>
      </c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>
        <v>123</v>
      </c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dimension ref="A1:K79"/>
  <sheetViews>
    <sheetView topLeftCell="A10"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298" t="s">
        <v>99</v>
      </c>
      <c r="C2" s="299"/>
      <c r="D2" s="299"/>
      <c r="E2" s="299"/>
      <c r="F2" s="299"/>
      <c r="G2" s="299"/>
      <c r="H2" s="299"/>
      <c r="I2" s="300"/>
      <c r="J2" s="112"/>
      <c r="K2" s="112"/>
    </row>
    <row r="3" spans="1:11" x14ac:dyDescent="0.25">
      <c r="A3" s="112"/>
      <c r="B3" s="301"/>
      <c r="C3" s="302"/>
      <c r="D3" s="302"/>
      <c r="E3" s="302"/>
      <c r="F3" s="302"/>
      <c r="G3" s="302"/>
      <c r="H3" s="302"/>
      <c r="I3" s="303"/>
      <c r="J3" s="112"/>
      <c r="K3" s="112"/>
    </row>
    <row r="4" spans="1:11" x14ac:dyDescent="0.25">
      <c r="A4" s="112"/>
      <c r="B4" s="301"/>
      <c r="C4" s="302"/>
      <c r="D4" s="302"/>
      <c r="E4" s="302"/>
      <c r="F4" s="302"/>
      <c r="G4" s="302"/>
      <c r="H4" s="302"/>
      <c r="I4" s="303"/>
      <c r="J4" s="112"/>
      <c r="K4" s="112"/>
    </row>
    <row r="5" spans="1:11" ht="15.75" thickBot="1" x14ac:dyDescent="0.3">
      <c r="A5" s="112"/>
      <c r="B5" s="304"/>
      <c r="C5" s="305"/>
      <c r="D5" s="305"/>
      <c r="E5" s="305"/>
      <c r="F5" s="305"/>
      <c r="G5" s="305"/>
      <c r="H5" s="305"/>
      <c r="I5" s="306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307" t="s">
        <v>103</v>
      </c>
      <c r="C19" s="308"/>
      <c r="D19" s="308"/>
      <c r="E19" s="308"/>
      <c r="F19" s="308"/>
      <c r="G19" s="308"/>
      <c r="H19" s="308"/>
      <c r="I19" s="309"/>
      <c r="J19" s="112"/>
      <c r="K19" s="112"/>
    </row>
    <row r="20" spans="1:11" ht="15.75" thickBot="1" x14ac:dyDescent="0.3">
      <c r="A20" s="112"/>
      <c r="B20" s="310"/>
      <c r="C20" s="311"/>
      <c r="D20" s="311"/>
      <c r="E20" s="311"/>
      <c r="F20" s="311"/>
      <c r="G20" s="311"/>
      <c r="H20" s="311"/>
      <c r="I20" s="312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298" t="s">
        <v>98</v>
      </c>
      <c r="C22" s="299"/>
      <c r="D22" s="299"/>
      <c r="E22" s="299"/>
      <c r="F22" s="299"/>
      <c r="G22" s="299"/>
      <c r="H22" s="299"/>
      <c r="I22" s="300"/>
      <c r="J22" s="112"/>
      <c r="K22" s="112"/>
    </row>
    <row r="23" spans="1:11" x14ac:dyDescent="0.25">
      <c r="A23" s="112"/>
      <c r="B23" s="301"/>
      <c r="C23" s="302"/>
      <c r="D23" s="302"/>
      <c r="E23" s="302"/>
      <c r="F23" s="302"/>
      <c r="G23" s="302"/>
      <c r="H23" s="302"/>
      <c r="I23" s="303"/>
      <c r="J23" s="112"/>
      <c r="K23" s="112"/>
    </row>
    <row r="24" spans="1:11" x14ac:dyDescent="0.25">
      <c r="A24" s="112"/>
      <c r="B24" s="301"/>
      <c r="C24" s="302"/>
      <c r="D24" s="302"/>
      <c r="E24" s="302"/>
      <c r="F24" s="302"/>
      <c r="G24" s="302"/>
      <c r="H24" s="302"/>
      <c r="I24" s="303"/>
      <c r="J24" s="112"/>
      <c r="K24" s="112"/>
    </row>
    <row r="25" spans="1:11" ht="15.75" thickBot="1" x14ac:dyDescent="0.3">
      <c r="A25" s="112"/>
      <c r="B25" s="304"/>
      <c r="C25" s="305"/>
      <c r="D25" s="305"/>
      <c r="E25" s="305"/>
      <c r="F25" s="305"/>
      <c r="G25" s="305"/>
      <c r="H25" s="305"/>
      <c r="I25" s="306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298" t="s">
        <v>100</v>
      </c>
      <c r="C44" s="299"/>
      <c r="D44" s="299"/>
      <c r="E44" s="299"/>
      <c r="F44" s="299"/>
      <c r="G44" s="299"/>
      <c r="H44" s="299"/>
      <c r="I44" s="300"/>
      <c r="J44" s="112"/>
      <c r="K44" s="112"/>
    </row>
    <row r="45" spans="1:11" x14ac:dyDescent="0.25">
      <c r="A45" s="112"/>
      <c r="B45" s="301"/>
      <c r="C45" s="302"/>
      <c r="D45" s="302"/>
      <c r="E45" s="302"/>
      <c r="F45" s="302"/>
      <c r="G45" s="302"/>
      <c r="H45" s="302"/>
      <c r="I45" s="303"/>
      <c r="J45" s="112"/>
      <c r="K45" s="112"/>
    </row>
    <row r="46" spans="1:11" x14ac:dyDescent="0.25">
      <c r="A46" s="112"/>
      <c r="B46" s="301"/>
      <c r="C46" s="302"/>
      <c r="D46" s="302"/>
      <c r="E46" s="302"/>
      <c r="F46" s="302"/>
      <c r="G46" s="302"/>
      <c r="H46" s="302"/>
      <c r="I46" s="303"/>
      <c r="J46" s="112"/>
      <c r="K46" s="112"/>
    </row>
    <row r="47" spans="1:11" ht="15.75" thickBot="1" x14ac:dyDescent="0.3">
      <c r="A47" s="112"/>
      <c r="B47" s="304"/>
      <c r="C47" s="305"/>
      <c r="D47" s="305"/>
      <c r="E47" s="305"/>
      <c r="F47" s="305"/>
      <c r="G47" s="305"/>
      <c r="H47" s="305"/>
      <c r="I47" s="306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298" t="s">
        <v>102</v>
      </c>
      <c r="C65" s="299"/>
      <c r="D65" s="299"/>
      <c r="E65" s="299"/>
      <c r="F65" s="299"/>
      <c r="G65" s="299"/>
      <c r="H65" s="299"/>
      <c r="I65" s="300"/>
      <c r="J65" s="112"/>
      <c r="K65" s="112"/>
    </row>
    <row r="66" spans="1:11" x14ac:dyDescent="0.25">
      <c r="A66" s="112"/>
      <c r="B66" s="301"/>
      <c r="C66" s="302"/>
      <c r="D66" s="302"/>
      <c r="E66" s="302"/>
      <c r="F66" s="302"/>
      <c r="G66" s="302"/>
      <c r="H66" s="302"/>
      <c r="I66" s="303"/>
      <c r="J66" s="112"/>
      <c r="K66" s="112"/>
    </row>
    <row r="67" spans="1:11" x14ac:dyDescent="0.25">
      <c r="A67" s="112"/>
      <c r="B67" s="301"/>
      <c r="C67" s="302"/>
      <c r="D67" s="302"/>
      <c r="E67" s="302"/>
      <c r="F67" s="302"/>
      <c r="G67" s="302"/>
      <c r="H67" s="302"/>
      <c r="I67" s="303"/>
      <c r="J67" s="112"/>
      <c r="K67" s="112"/>
    </row>
    <row r="68" spans="1:11" ht="15.75" thickBot="1" x14ac:dyDescent="0.3">
      <c r="A68" s="112"/>
      <c r="B68" s="304"/>
      <c r="C68" s="305"/>
      <c r="D68" s="305"/>
      <c r="E68" s="305"/>
      <c r="F68" s="305"/>
      <c r="G68" s="305"/>
      <c r="H68" s="305"/>
      <c r="I68" s="306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298" t="s">
        <v>101</v>
      </c>
      <c r="C74" s="299"/>
      <c r="D74" s="299"/>
      <c r="E74" s="299"/>
      <c r="F74" s="299"/>
      <c r="G74" s="299"/>
      <c r="H74" s="299"/>
      <c r="I74" s="300"/>
      <c r="J74" s="112"/>
      <c r="K74" s="112"/>
    </row>
    <row r="75" spans="1:11" x14ac:dyDescent="0.25">
      <c r="A75" s="112"/>
      <c r="B75" s="301"/>
      <c r="C75" s="302"/>
      <c r="D75" s="302"/>
      <c r="E75" s="302"/>
      <c r="F75" s="302"/>
      <c r="G75" s="302"/>
      <c r="H75" s="302"/>
      <c r="I75" s="303"/>
      <c r="J75" s="112"/>
      <c r="K75" s="112"/>
    </row>
    <row r="76" spans="1:11" x14ac:dyDescent="0.25">
      <c r="A76" s="112"/>
      <c r="B76" s="301"/>
      <c r="C76" s="302"/>
      <c r="D76" s="302"/>
      <c r="E76" s="302"/>
      <c r="F76" s="302"/>
      <c r="G76" s="302"/>
      <c r="H76" s="302"/>
      <c r="I76" s="303"/>
      <c r="J76" s="112"/>
      <c r="K76" s="112"/>
    </row>
    <row r="77" spans="1:11" ht="15.75" thickBot="1" x14ac:dyDescent="0.3">
      <c r="A77" s="112"/>
      <c r="B77" s="304"/>
      <c r="C77" s="305"/>
      <c r="D77" s="305"/>
      <c r="E77" s="305"/>
      <c r="F77" s="305"/>
      <c r="G77" s="305"/>
      <c r="H77" s="305"/>
      <c r="I77" s="306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Borrowers3</vt:lpstr>
      <vt:lpstr>Borrowers2</vt:lpstr>
      <vt:lpstr>Home</vt:lpstr>
      <vt:lpstr>Overview</vt:lpstr>
      <vt:lpstr>Savings2</vt:lpstr>
      <vt:lpstr>Savings</vt:lpstr>
      <vt:lpstr>Borrowers</vt:lpstr>
      <vt:lpstr>Revenues</vt:lpstr>
      <vt:lpstr>data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2025-05-11T12:34:43Z</dcterms:modified>
</cp:coreProperties>
</file>