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EDA752D8-C4DC-41F7-BF9F-C68E3576D81A}" xr6:coauthVersionLast="47" xr6:coauthVersionMax="47" xr10:uidLastSave="{00000000-0000-0000-0000-000000000000}"/>
  <bookViews>
    <workbookView xWindow="-120" yWindow="-120" windowWidth="29040" windowHeight="15720" tabRatio="593" activeTab="7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Profit" sheetId="13" r:id="rId8"/>
    <sheet name="Revenues" sheetId="5" r:id="rId9"/>
    <sheet name="data" sheetId="7" r:id="rId10"/>
    <sheet name="Process Flow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E4" i="13" s="1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T7" i="12"/>
  <c r="U4" i="12"/>
  <c r="T4" i="12"/>
  <c r="S4" i="12"/>
  <c r="B4" i="13"/>
  <c r="C4" i="13"/>
  <c r="V4" i="12" l="1"/>
  <c r="S7" i="12"/>
  <c r="U7" i="12" s="1"/>
  <c r="V7" i="12" l="1"/>
  <c r="C6" i="8" l="1"/>
  <c r="H16" i="8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D104" i="12" l="1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M7" i="12" l="1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E4" i="8" l="1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<sst xmlns="http://schemas.openxmlformats.org/spreadsheetml/2006/main" count="499" uniqueCount="120">
  <si>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</si>
  <si>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</si>
  <si>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</si>
  <si>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</si>
  <si>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</si>
  <si>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</si>
  <si>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</si>
  <si>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</si>
  <si>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</si>
  <si>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</si>
  <si>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</si>
  <si>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</si>
  <si>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</si>
  <si>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</si>
  <si>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</si>
  <si>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</si>
  <si>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</si>
  <si>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</si>
  <si>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</si>
  <si>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</si>
  <si>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</si>
  <si>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</si>
  <si>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</si>
  <si>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</si>
  <si>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</si>
  <si>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</si>
  <si>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</si>
  <si>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</si>
  <si>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</si>
  <si>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</si>
  <si>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</si>
  <si>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</si>
  <si>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</si>
  <si>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</si>
  <si>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</si>
  <si>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</si>
  <si>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</si>
  <si>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</si>
  <si>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</si>
  <si>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</si>
  <si>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</si>
  <si>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</si>
  <si>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</si>
  <si>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</si>
  <si>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</si>
  <si>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</si>
  <si>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</si>
  <si>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</si>
  <si>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</si>
  <si>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</si>
  <si>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</si>
  <si>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</si>
  <si>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</si>
  <si>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</si>
  <si>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</si>
  <si>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</si>
  <si>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</si>
  <si>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</si>
  <si>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</si>
  <si>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</si>
  <si>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</si>
  <si>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</si>
  <si>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</si>
  <si>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</si>
  <si>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</si>
  <si>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</si>
  <si>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</si>
  <si>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</si>
  <si>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</si>
  <si>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</si>
  <si>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</si>
  <si>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</si>
  <si>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</si>
  <si>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</si>
  <si>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</si>
  <si>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</si>
  <si>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</si>
  <si>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</si>
  <si>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</si>
  <si>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</si>
  <si>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</si>
  <si>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</si>
  <si>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</si>
  <si>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</si>
  <si>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</si>
  <si>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</si>
  <si>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</si>
  <si>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</si>
  <si>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</si>
  <si>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</si>
  <si>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</si>
  <si>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</si>
  <si>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</si>
  <si>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</si>
  <si>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</si>
  <si>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</si>
  <si>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</si>
  <si>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</si>
  <si>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</si>
  <si>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</si>
  <si>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</si>
  <si>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</si>
  <si>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</si>
  <si>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</si>
  <si>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</si>
  <si>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</si>
  <si>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</si>
  <si>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</si>
  <si>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</si>
  <si>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</si>
  <si>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</si>
  <si>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</si>
  <si>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</si>
  <si>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</si>
  <si>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josie</t>
  </si>
  <si>
    <t>juan</t>
  </si>
  <si>
    <t>trillanes</t>
  </si>
  <si>
    <t>Ryan 2</t>
  </si>
  <si>
    <t>bong go</t>
  </si>
  <si>
    <t>bong 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</si>
</sst>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419060B-0E5B-4734-8774-7EF69698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zoomScaleNormal="100" workbookViewId="0">
      <selection activeCell="S7" sqref="S7:W7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149" width="14.7109375" customWidth="1"/>
  </cols>
  <sheetData>
    <row r="1" spans="1:214" s="160" customFormat="1" ht="30.75" customHeight="1" thickBot="1" x14ac:dyDescent="0.3">
      <c r="A1" s="199" t="s">
        <v>105</v>
      </c>
      <c r="B1" s="200"/>
      <c r="C1" s="200"/>
      <c r="D1" s="200"/>
      <c r="E1" s="200"/>
      <c r="F1" s="192"/>
      <c r="G1" s="199" t="s">
        <v>106</v>
      </c>
      <c r="H1" s="200"/>
      <c r="I1" s="200"/>
      <c r="J1" s="200"/>
      <c r="K1" s="200"/>
      <c r="L1" s="214"/>
      <c r="M1" s="199" t="s">
        <v>108</v>
      </c>
      <c r="N1" s="200"/>
      <c r="O1" s="200"/>
      <c r="P1" s="200"/>
      <c r="Q1" s="200"/>
      <c r="R1" s="213"/>
      <c r="S1" s="199" t="s">
        <v>117</v>
      </c>
      <c r="T1" s="200"/>
      <c r="U1" s="200"/>
      <c r="V1" s="200"/>
      <c r="W1" s="200"/>
      <c r="X1" s="213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211"/>
      <c r="B2" s="211"/>
      <c r="C2" s="211"/>
      <c r="D2" s="211"/>
      <c r="E2" s="211"/>
      <c r="F2" s="192"/>
      <c r="G2" s="211"/>
      <c r="H2" s="211"/>
      <c r="I2" s="211"/>
      <c r="J2" s="211"/>
      <c r="K2" s="211"/>
      <c r="L2" s="214"/>
      <c r="M2" s="211"/>
      <c r="N2" s="211"/>
      <c r="O2" s="211"/>
      <c r="P2" s="211"/>
      <c r="Q2" s="211"/>
      <c r="R2" s="213"/>
      <c r="S2" s="211"/>
      <c r="T2" s="211"/>
      <c r="U2" s="211"/>
      <c r="V2" s="211"/>
      <c r="W2" s="211"/>
      <c r="X2" s="213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210" t="s">
        <v>91</v>
      </c>
      <c r="B3" s="210" t="s">
        <v>90</v>
      </c>
      <c r="C3" s="210" t="s">
        <v>96</v>
      </c>
      <c r="D3" s="210" t="s">
        <v>93</v>
      </c>
      <c r="E3" s="210" t="s">
        <v>110</v>
      </c>
      <c r="F3" s="192"/>
      <c r="G3" s="204" t="s">
        <v>91</v>
      </c>
      <c r="H3" s="204" t="s">
        <v>90</v>
      </c>
      <c r="I3" s="204" t="s">
        <v>96</v>
      </c>
      <c r="J3" s="204" t="s">
        <v>93</v>
      </c>
      <c r="K3" s="204" t="s">
        <v>110</v>
      </c>
      <c r="L3" s="192"/>
      <c r="M3" s="191" t="s">
        <v>91</v>
      </c>
      <c r="N3" s="191" t="s">
        <v>90</v>
      </c>
      <c r="O3" s="191" t="s">
        <v>96</v>
      </c>
      <c r="P3" s="191" t="s">
        <v>93</v>
      </c>
      <c r="Q3" s="210" t="s">
        <v>110</v>
      </c>
      <c r="R3" s="192"/>
      <c r="S3" s="191" t="s">
        <v>91</v>
      </c>
      <c r="T3" s="191" t="s">
        <v>90</v>
      </c>
      <c r="U3" s="191" t="s">
        <v>96</v>
      </c>
      <c r="V3" s="191" t="s">
        <v>93</v>
      </c>
      <c r="W3" s="210" t="s">
        <v>110</v>
      </c>
      <c r="X3" s="192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80">
        <f>B10</f>
        <v>10000</v>
      </c>
      <c r="B4" s="180">
        <f>SUM(B11:B49)</f>
        <v>7000</v>
      </c>
      <c r="C4" s="180">
        <f>SUM(C10:C48)</f>
        <v>17000</v>
      </c>
      <c r="D4" s="198">
        <f>SUM(A4,B4) - C4</f>
        <v>0</v>
      </c>
      <c r="E4" s="205" t="s">
        <v>107</v>
      </c>
      <c r="F4" s="192"/>
      <c r="G4" s="180">
        <f>H10</f>
        <v>22000</v>
      </c>
      <c r="H4" s="180">
        <f>SUM(H11:H49)</f>
        <v>4000</v>
      </c>
      <c r="I4" s="180">
        <f>SUM(I10:I48)</f>
        <v>26000</v>
      </c>
      <c r="J4" s="198">
        <f>SUM(G4,H4) - I4</f>
        <v>0</v>
      </c>
      <c r="K4" s="205" t="s">
        <v>107</v>
      </c>
      <c r="L4" s="213"/>
      <c r="M4" s="322">
        <f>N10</f>
        <v>20000</v>
      </c>
      <c r="N4" s="180">
        <f>SUM(N11:N49)</f>
        <v>8000</v>
      </c>
      <c r="O4" s="180">
        <f>SUM(O10:O48)</f>
        <v>18000</v>
      </c>
      <c r="P4" s="323">
        <f>SUM(M4,N4) - O4</f>
        <v>10000</v>
      </c>
      <c r="Q4" s="324" t="s">
        <v>109</v>
      </c>
      <c r="R4" s="213"/>
      <c r="S4" s="322">
        <f>T10</f>
        <v>15000</v>
      </c>
      <c r="T4" s="180">
        <f>SUM(T11:T49)</f>
        <v>0</v>
      </c>
      <c r="U4" s="180">
        <f>SUM(U10:U48)</f>
        <v>10000</v>
      </c>
      <c r="V4" s="323">
        <f>SUM(S4,T4) - U4</f>
        <v>5000</v>
      </c>
      <c r="W4" s="325" t="s">
        <v>109</v>
      </c>
      <c r="X4" s="213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212"/>
      <c r="B5" s="212"/>
      <c r="C5" s="212"/>
      <c r="D5" s="212"/>
      <c r="E5" s="212"/>
      <c r="F5" s="192"/>
      <c r="G5" s="203"/>
      <c r="H5" s="203"/>
      <c r="I5" s="203"/>
      <c r="J5" s="203"/>
      <c r="K5" s="200"/>
      <c r="L5" s="214"/>
      <c r="M5" s="203"/>
      <c r="N5" s="203"/>
      <c r="O5" s="203"/>
      <c r="P5" s="203"/>
      <c r="Q5" s="200"/>
      <c r="R5" s="213"/>
      <c r="S5" s="203"/>
      <c r="T5" s="203"/>
      <c r="U5" s="203"/>
      <c r="V5" s="203"/>
      <c r="W5" s="200"/>
      <c r="X5" s="213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201" t="s">
        <v>15</v>
      </c>
      <c r="B6" s="201" t="s">
        <v>86</v>
      </c>
      <c r="C6" s="201" t="s">
        <v>16</v>
      </c>
      <c r="D6" s="202" t="s">
        <v>85</v>
      </c>
      <c r="E6" s="210" t="s">
        <v>110</v>
      </c>
      <c r="F6" s="192"/>
      <c r="G6" s="216" t="s">
        <v>15</v>
      </c>
      <c r="H6" s="216" t="s">
        <v>86</v>
      </c>
      <c r="I6" s="216" t="s">
        <v>16</v>
      </c>
      <c r="J6" s="217" t="s">
        <v>85</v>
      </c>
      <c r="K6" s="204" t="s">
        <v>110</v>
      </c>
      <c r="L6" s="213"/>
      <c r="M6" s="201" t="s">
        <v>15</v>
      </c>
      <c r="N6" s="201" t="s">
        <v>86</v>
      </c>
      <c r="O6" s="201" t="s">
        <v>16</v>
      </c>
      <c r="P6" s="215" t="s">
        <v>85</v>
      </c>
      <c r="Q6" s="210" t="s">
        <v>110</v>
      </c>
      <c r="R6" s="213"/>
      <c r="S6" s="201" t="s">
        <v>15</v>
      </c>
      <c r="T6" s="201" t="s">
        <v>86</v>
      </c>
      <c r="U6" s="201" t="s">
        <v>16</v>
      </c>
      <c r="V6" s="215" t="s">
        <v>85</v>
      </c>
      <c r="W6" s="210" t="s">
        <v>110</v>
      </c>
      <c r="X6" s="213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80">
        <f>SUM(D10:D43)</f>
        <v>3615</v>
      </c>
      <c r="B7" s="180">
        <f>SUM(E10:E43)</f>
        <v>3615</v>
      </c>
      <c r="C7" s="198">
        <f>A7-B7</f>
        <v>0</v>
      </c>
      <c r="D7" s="195">
        <f>D4 + C7</f>
        <v>0</v>
      </c>
      <c r="E7" s="205" t="s">
        <v>107</v>
      </c>
      <c r="F7" s="192"/>
      <c r="G7" s="180">
        <f>SUM(J10:J43)</f>
        <v>3240</v>
      </c>
      <c r="H7" s="180">
        <f>SUM(K10:K43)</f>
        <v>3240</v>
      </c>
      <c r="I7" s="198">
        <f>G7-H7</f>
        <v>0</v>
      </c>
      <c r="J7" s="195">
        <f>J4 + I7</f>
        <v>0</v>
      </c>
      <c r="K7" s="205" t="s">
        <v>107</v>
      </c>
      <c r="L7" s="213"/>
      <c r="M7" s="322">
        <f>SUM(P10:P43)</f>
        <v>3690</v>
      </c>
      <c r="N7" s="180">
        <f>SUM(Q10:Q43)</f>
        <v>3690</v>
      </c>
      <c r="O7" s="198">
        <f>M7-N7</f>
        <v>0</v>
      </c>
      <c r="P7" s="195">
        <f>P4 + O7</f>
        <v>10000</v>
      </c>
      <c r="Q7" s="325" t="s">
        <v>109</v>
      </c>
      <c r="R7" s="193"/>
      <c r="S7" s="322">
        <f>SUM(V10:V43)</f>
        <v>3270</v>
      </c>
      <c r="T7" s="180">
        <f>SUM(W10:W43)</f>
        <v>3270</v>
      </c>
      <c r="U7" s="198">
        <f>S7-T7</f>
        <v>0</v>
      </c>
      <c r="V7" s="195">
        <f>V4 + U7</f>
        <v>5000</v>
      </c>
      <c r="W7" s="325" t="s">
        <v>109</v>
      </c>
      <c r="X7" s="193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209"/>
      <c r="B8" s="209"/>
      <c r="C8" s="209"/>
      <c r="D8" s="209"/>
      <c r="E8" s="209"/>
      <c r="F8" s="192"/>
      <c r="G8" s="209"/>
      <c r="H8" s="209"/>
      <c r="I8" s="209"/>
      <c r="J8" s="209"/>
      <c r="K8" s="209"/>
      <c r="L8" s="214"/>
      <c r="M8" s="209"/>
      <c r="N8" s="209"/>
      <c r="O8" s="209"/>
      <c r="P8" s="209"/>
      <c r="Q8" s="209"/>
      <c r="R8" s="213"/>
      <c r="S8" s="209"/>
      <c r="T8" s="209"/>
      <c r="U8" s="209"/>
      <c r="V8" s="209"/>
      <c r="W8" s="209"/>
      <c r="X8" s="213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206" t="s">
        <v>104</v>
      </c>
      <c r="B9" s="207" t="s">
        <v>90</v>
      </c>
      <c r="C9" s="207" t="s">
        <v>89</v>
      </c>
      <c r="D9" s="207" t="s">
        <v>15</v>
      </c>
      <c r="E9" s="208" t="s">
        <v>92</v>
      </c>
      <c r="F9" s="192"/>
      <c r="G9" s="206" t="s">
        <v>104</v>
      </c>
      <c r="H9" s="207" t="s">
        <v>90</v>
      </c>
      <c r="I9" s="207" t="s">
        <v>89</v>
      </c>
      <c r="J9" s="207" t="s">
        <v>15</v>
      </c>
      <c r="K9" s="208" t="s">
        <v>92</v>
      </c>
      <c r="L9" s="193"/>
      <c r="M9" s="206" t="s">
        <v>104</v>
      </c>
      <c r="N9" s="207" t="s">
        <v>90</v>
      </c>
      <c r="O9" s="207" t="s">
        <v>89</v>
      </c>
      <c r="P9" s="207" t="s">
        <v>15</v>
      </c>
      <c r="Q9" s="208" t="s">
        <v>92</v>
      </c>
      <c r="R9" s="193"/>
      <c r="S9" s="206" t="s">
        <v>104</v>
      </c>
      <c r="T9" s="207" t="s">
        <v>90</v>
      </c>
      <c r="U9" s="207" t="s">
        <v>89</v>
      </c>
      <c r="V9" s="207" t="s">
        <v>15</v>
      </c>
      <c r="W9" s="208" t="s">
        <v>92</v>
      </c>
      <c r="X9" s="193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96" customFormat="1" ht="18.75" x14ac:dyDescent="0.25">
      <c r="A10" s="151">
        <v>45321.259375000001</v>
      </c>
      <c r="B10" s="85">
        <v>10000</v>
      </c>
      <c r="C10" s="85"/>
      <c r="D10" s="85"/>
      <c r="E10" s="181"/>
      <c r="F10" s="103"/>
      <c r="G10" s="151">
        <v>45381.259375000001</v>
      </c>
      <c r="H10" s="85">
        <v>22000</v>
      </c>
      <c r="I10" s="85"/>
      <c r="J10" s="85"/>
      <c r="K10" s="181"/>
      <c r="L10" s="193"/>
      <c r="M10" s="151">
        <v>45787</v>
      </c>
      <c r="N10" s="85">
        <v>20000</v>
      </c>
      <c r="O10" s="85"/>
      <c r="P10" s="85"/>
      <c r="Q10" s="181"/>
      <c r="R10" s="193"/>
      <c r="S10" s="151">
        <v>45381.259375000001</v>
      </c>
      <c r="T10" s="85">
        <v>15000</v>
      </c>
      <c r="U10" s="85"/>
      <c r="V10" s="85"/>
      <c r="W10" s="181"/>
      <c r="X10" s="193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214" x14ac:dyDescent="0.25">
      <c r="A11" s="151">
        <v>45337.259375000001</v>
      </c>
      <c r="B11" s="44">
        <v>0</v>
      </c>
      <c r="C11" s="44"/>
      <c r="D11" s="85">
        <f>IF(A11&gt;1,(B10*0.03),"")</f>
        <v>300</v>
      </c>
      <c r="E11" s="181">
        <v>300</v>
      </c>
      <c r="G11" s="151">
        <v>45397.259375000001</v>
      </c>
      <c r="H11" s="44">
        <v>0</v>
      </c>
      <c r="I11" s="44"/>
      <c r="J11" s="85">
        <f>IF(G11&gt;1,(H10*0.03),"")</f>
        <v>660</v>
      </c>
      <c r="K11" s="181">
        <v>0</v>
      </c>
      <c r="L11" s="114"/>
      <c r="M11" s="151">
        <v>45792</v>
      </c>
      <c r="N11" s="44"/>
      <c r="O11" s="44"/>
      <c r="P11" s="85">
        <f>IF(M11&gt;1,(N10*0.03),"")</f>
        <v>600</v>
      </c>
      <c r="Q11" s="181">
        <v>600</v>
      </c>
      <c r="R11" s="114"/>
      <c r="S11" s="151">
        <v>45397.259375000001</v>
      </c>
      <c r="T11" s="44"/>
      <c r="U11" s="44"/>
      <c r="V11" s="85">
        <f>IF(S11&gt;1,(T10*0.03),"")</f>
        <v>450</v>
      </c>
      <c r="W11" s="181">
        <v>450</v>
      </c>
      <c r="X11" s="114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45350.259375000001</v>
      </c>
      <c r="B12" s="44">
        <v>1000</v>
      </c>
      <c r="C12" s="44"/>
      <c r="D12" s="85">
        <f t="shared" ref="D12:D43" si="0">IF(A12&gt;1,D11-(C11*0.03)+(B11*0.03),"")</f>
        <v>300</v>
      </c>
      <c r="E12" s="181">
        <v>300</v>
      </c>
      <c r="F12" s="103"/>
      <c r="G12" s="151">
        <v>45412.259375000001</v>
      </c>
      <c r="H12" s="44">
        <v>1000</v>
      </c>
      <c r="I12" s="44"/>
      <c r="J12" s="85">
        <f t="shared" ref="J12:J43" si="1">IF(G12&gt;1,J11-(I11*0.03)+(H11*0.03),"")</f>
        <v>660</v>
      </c>
      <c r="K12" s="181">
        <v>0</v>
      </c>
      <c r="L12" s="114"/>
      <c r="M12" s="151">
        <v>45807</v>
      </c>
      <c r="N12" s="44"/>
      <c r="O12" s="44">
        <v>5000</v>
      </c>
      <c r="P12" s="85">
        <f t="shared" ref="P12:P43" si="2">IF(M12&gt;1,P11-(O11*0.03)+(N11*0.03),"")</f>
        <v>600</v>
      </c>
      <c r="Q12" s="181">
        <v>600</v>
      </c>
      <c r="R12" s="114"/>
      <c r="S12" s="151">
        <v>45412.259375000001</v>
      </c>
      <c r="T12" s="44"/>
      <c r="U12" s="44">
        <v>4500</v>
      </c>
      <c r="V12" s="85">
        <f t="shared" ref="V12:V43" si="3">IF(S12&gt;1,V11-(U11*0.03)+(T11*0.03),"")</f>
        <v>450</v>
      </c>
      <c r="W12" s="181">
        <v>450</v>
      </c>
      <c r="X12" s="114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45366.259375000001</v>
      </c>
      <c r="B13" s="44">
        <v>0</v>
      </c>
      <c r="C13" s="44">
        <v>1000</v>
      </c>
      <c r="D13" s="85">
        <f t="shared" si="0"/>
        <v>330</v>
      </c>
      <c r="E13" s="181">
        <v>330</v>
      </c>
      <c r="G13" s="151">
        <v>45427</v>
      </c>
      <c r="H13" s="44">
        <v>0</v>
      </c>
      <c r="I13" s="44">
        <v>15000</v>
      </c>
      <c r="J13" s="85">
        <f t="shared" si="1"/>
        <v>690</v>
      </c>
      <c r="K13" s="181">
        <v>0</v>
      </c>
      <c r="L13" s="114"/>
      <c r="M13" s="151">
        <v>45823</v>
      </c>
      <c r="N13" s="44"/>
      <c r="O13" s="44">
        <v>5000</v>
      </c>
      <c r="P13" s="85">
        <f t="shared" si="2"/>
        <v>450</v>
      </c>
      <c r="Q13" s="181">
        <v>450</v>
      </c>
      <c r="R13" s="114"/>
      <c r="S13" s="151">
        <v>45427</v>
      </c>
      <c r="T13" s="44"/>
      <c r="U13" s="44"/>
      <c r="V13" s="85">
        <f t="shared" si="3"/>
        <v>315</v>
      </c>
      <c r="W13" s="181">
        <v>0</v>
      </c>
      <c r="X13" s="114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45381.259375000001</v>
      </c>
      <c r="B14" s="44">
        <v>0</v>
      </c>
      <c r="C14" s="44"/>
      <c r="D14" s="85">
        <f t="shared" si="0"/>
        <v>300</v>
      </c>
      <c r="E14" s="181">
        <v>300</v>
      </c>
      <c r="G14" s="151">
        <v>45442</v>
      </c>
      <c r="H14" s="44">
        <v>0</v>
      </c>
      <c r="I14" s="44"/>
      <c r="J14" s="85">
        <f t="shared" si="1"/>
        <v>240</v>
      </c>
      <c r="K14" s="181">
        <v>2000</v>
      </c>
      <c r="L14" s="114"/>
      <c r="M14" s="151">
        <v>45838</v>
      </c>
      <c r="N14" s="44"/>
      <c r="O14" s="44"/>
      <c r="P14" s="85">
        <f t="shared" si="2"/>
        <v>300</v>
      </c>
      <c r="Q14" s="181">
        <v>300</v>
      </c>
      <c r="R14" s="114"/>
      <c r="S14" s="151">
        <v>45442</v>
      </c>
      <c r="T14" s="44"/>
      <c r="U14" s="44"/>
      <c r="V14" s="85">
        <f t="shared" si="3"/>
        <v>315</v>
      </c>
      <c r="W14" s="181">
        <v>0</v>
      </c>
      <c r="X14" s="114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45397.259375000001</v>
      </c>
      <c r="B15" s="44">
        <v>3000</v>
      </c>
      <c r="C15" s="44"/>
      <c r="D15" s="85">
        <f t="shared" si="0"/>
        <v>300</v>
      </c>
      <c r="E15" s="181">
        <v>300</v>
      </c>
      <c r="G15" s="151">
        <v>45458</v>
      </c>
      <c r="H15" s="44">
        <v>0</v>
      </c>
      <c r="I15" s="44"/>
      <c r="J15" s="85">
        <f t="shared" si="1"/>
        <v>240</v>
      </c>
      <c r="K15" s="181">
        <v>400</v>
      </c>
      <c r="L15" s="114"/>
      <c r="M15" s="151">
        <v>45853</v>
      </c>
      <c r="N15" s="44"/>
      <c r="O15" s="44"/>
      <c r="P15" s="85">
        <f t="shared" si="2"/>
        <v>300</v>
      </c>
      <c r="Q15" s="181">
        <v>300</v>
      </c>
      <c r="R15" s="114"/>
      <c r="S15" s="151">
        <v>45458</v>
      </c>
      <c r="T15" s="44"/>
      <c r="U15" s="44"/>
      <c r="V15" s="85">
        <f t="shared" si="3"/>
        <v>315</v>
      </c>
      <c r="W15" s="181">
        <v>945</v>
      </c>
      <c r="X15" s="114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45412.259375000001</v>
      </c>
      <c r="B16" s="182">
        <v>0</v>
      </c>
      <c r="C16" s="44"/>
      <c r="D16" s="85">
        <f t="shared" si="0"/>
        <v>390</v>
      </c>
      <c r="E16" s="181">
        <v>390</v>
      </c>
      <c r="G16" s="151">
        <v>45473</v>
      </c>
      <c r="H16" s="182">
        <v>0</v>
      </c>
      <c r="I16" s="44">
        <v>5000</v>
      </c>
      <c r="J16" s="85">
        <f t="shared" si="1"/>
        <v>240</v>
      </c>
      <c r="K16" s="181">
        <v>0</v>
      </c>
      <c r="L16" s="114"/>
      <c r="M16" s="151">
        <v>45868</v>
      </c>
      <c r="N16" s="182"/>
      <c r="O16" s="44"/>
      <c r="P16" s="85">
        <f t="shared" si="2"/>
        <v>300</v>
      </c>
      <c r="Q16" s="181">
        <v>300</v>
      </c>
      <c r="R16" s="114"/>
      <c r="S16" s="151">
        <v>45473</v>
      </c>
      <c r="T16" s="182"/>
      <c r="U16" s="44"/>
      <c r="V16" s="85">
        <f t="shared" si="3"/>
        <v>315</v>
      </c>
      <c r="W16" s="181">
        <v>315</v>
      </c>
      <c r="X16" s="114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45427</v>
      </c>
      <c r="B17" s="182">
        <v>3000</v>
      </c>
      <c r="C17" s="44"/>
      <c r="D17" s="85">
        <f t="shared" si="0"/>
        <v>390</v>
      </c>
      <c r="E17" s="181">
        <v>390</v>
      </c>
      <c r="G17" s="151">
        <v>45488</v>
      </c>
      <c r="H17" s="182">
        <v>3000</v>
      </c>
      <c r="I17" s="44"/>
      <c r="J17" s="85">
        <f t="shared" si="1"/>
        <v>90</v>
      </c>
      <c r="K17" s="181">
        <v>0</v>
      </c>
      <c r="L17" s="114"/>
      <c r="M17" s="151">
        <v>45884</v>
      </c>
      <c r="N17" s="182">
        <v>3000</v>
      </c>
      <c r="O17" s="44"/>
      <c r="P17" s="85">
        <f t="shared" si="2"/>
        <v>300</v>
      </c>
      <c r="Q17" s="181">
        <v>300</v>
      </c>
      <c r="R17" s="114"/>
      <c r="S17" s="151">
        <v>45488</v>
      </c>
      <c r="T17" s="182"/>
      <c r="U17" s="44">
        <v>5000</v>
      </c>
      <c r="V17" s="85">
        <f t="shared" si="3"/>
        <v>315</v>
      </c>
      <c r="W17" s="181">
        <v>315</v>
      </c>
      <c r="X17" s="114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45442</v>
      </c>
      <c r="B18" s="182">
        <v>0</v>
      </c>
      <c r="C18" s="44"/>
      <c r="D18" s="85">
        <f t="shared" si="0"/>
        <v>480</v>
      </c>
      <c r="E18" s="181">
        <v>480</v>
      </c>
      <c r="G18" s="151">
        <v>45503</v>
      </c>
      <c r="H18" s="182">
        <v>0</v>
      </c>
      <c r="I18" s="44">
        <v>2000</v>
      </c>
      <c r="J18" s="85">
        <f t="shared" si="1"/>
        <v>180</v>
      </c>
      <c r="K18" s="181">
        <v>600</v>
      </c>
      <c r="L18" s="114"/>
      <c r="M18" s="151">
        <v>45899</v>
      </c>
      <c r="N18" s="182"/>
      <c r="O18" s="44">
        <v>8000</v>
      </c>
      <c r="P18" s="85">
        <f t="shared" si="2"/>
        <v>390</v>
      </c>
      <c r="Q18" s="181">
        <v>390</v>
      </c>
      <c r="R18" s="114"/>
      <c r="S18" s="151">
        <v>45503</v>
      </c>
      <c r="T18" s="182"/>
      <c r="U18" s="44"/>
      <c r="V18" s="85">
        <f t="shared" si="3"/>
        <v>165</v>
      </c>
      <c r="W18" s="181">
        <v>165</v>
      </c>
      <c r="X18" s="114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45458</v>
      </c>
      <c r="B19" s="182">
        <v>0</v>
      </c>
      <c r="C19" s="44">
        <v>12000</v>
      </c>
      <c r="D19" s="85">
        <f t="shared" si="0"/>
        <v>480</v>
      </c>
      <c r="E19" s="181">
        <v>480</v>
      </c>
      <c r="G19" s="151">
        <v>45519</v>
      </c>
      <c r="H19" s="182">
        <v>0</v>
      </c>
      <c r="I19" s="44"/>
      <c r="J19" s="85">
        <f t="shared" si="1"/>
        <v>120</v>
      </c>
      <c r="K19" s="181"/>
      <c r="L19" s="114"/>
      <c r="M19" s="151">
        <v>45915</v>
      </c>
      <c r="N19" s="182">
        <v>5000</v>
      </c>
      <c r="O19" s="44"/>
      <c r="P19" s="85">
        <f t="shared" si="2"/>
        <v>150</v>
      </c>
      <c r="Q19" s="181">
        <v>0</v>
      </c>
      <c r="R19" s="114"/>
      <c r="S19" s="151">
        <v>45519</v>
      </c>
      <c r="T19" s="182"/>
      <c r="U19" s="44"/>
      <c r="V19" s="85">
        <f t="shared" si="3"/>
        <v>165</v>
      </c>
      <c r="W19" s="181">
        <v>165</v>
      </c>
      <c r="X19" s="114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45473</v>
      </c>
      <c r="B20" s="44">
        <v>0</v>
      </c>
      <c r="C20" s="44">
        <v>2500</v>
      </c>
      <c r="D20" s="85">
        <f t="shared" si="0"/>
        <v>120</v>
      </c>
      <c r="E20" s="181">
        <v>120</v>
      </c>
      <c r="G20" s="151">
        <v>45534</v>
      </c>
      <c r="H20" s="44">
        <v>0</v>
      </c>
      <c r="I20" s="44">
        <v>4000</v>
      </c>
      <c r="J20" s="85">
        <f t="shared" si="1"/>
        <v>120</v>
      </c>
      <c r="K20" s="181"/>
      <c r="L20" s="114"/>
      <c r="M20" s="151">
        <v>45930</v>
      </c>
      <c r="N20" s="44"/>
      <c r="O20" s="44"/>
      <c r="P20" s="85">
        <f t="shared" si="2"/>
        <v>300</v>
      </c>
      <c r="Q20" s="181">
        <v>450</v>
      </c>
      <c r="R20" s="114"/>
      <c r="S20" s="151">
        <v>45534</v>
      </c>
      <c r="T20" s="44"/>
      <c r="U20" s="44">
        <v>500</v>
      </c>
      <c r="V20" s="85">
        <f t="shared" si="3"/>
        <v>165</v>
      </c>
      <c r="W20" s="181">
        <v>165</v>
      </c>
      <c r="X20" s="114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45488</v>
      </c>
      <c r="B21" s="44">
        <v>0</v>
      </c>
      <c r="C21" s="44"/>
      <c r="D21" s="85">
        <f t="shared" si="0"/>
        <v>45</v>
      </c>
      <c r="E21" s="181">
        <v>0</v>
      </c>
      <c r="G21" s="151">
        <v>45550</v>
      </c>
      <c r="H21" s="44">
        <v>0</v>
      </c>
      <c r="I21" s="44"/>
      <c r="J21" s="85">
        <f t="shared" si="1"/>
        <v>0</v>
      </c>
      <c r="K21" s="181">
        <v>240</v>
      </c>
      <c r="L21" s="114"/>
      <c r="M21" s="151"/>
      <c r="N21" s="44"/>
      <c r="O21" s="44"/>
      <c r="P21" s="85" t="str">
        <f t="shared" si="2"/>
        <v/>
      </c>
      <c r="Q21" s="181"/>
      <c r="R21" s="114"/>
      <c r="S21" s="151">
        <v>45550</v>
      </c>
      <c r="T21" s="44"/>
      <c r="U21" s="44"/>
      <c r="V21" s="85">
        <f t="shared" si="3"/>
        <v>150</v>
      </c>
      <c r="W21" s="181">
        <v>150</v>
      </c>
      <c r="X21" s="114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45503</v>
      </c>
      <c r="B22" s="44">
        <v>0</v>
      </c>
      <c r="C22" s="44"/>
      <c r="D22" s="85">
        <f t="shared" si="0"/>
        <v>45</v>
      </c>
      <c r="E22" s="181">
        <v>0</v>
      </c>
      <c r="G22" s="151">
        <v>45565</v>
      </c>
      <c r="H22" s="44">
        <v>0</v>
      </c>
      <c r="I22" s="44"/>
      <c r="J22" s="85">
        <f t="shared" si="1"/>
        <v>0</v>
      </c>
      <c r="K22" s="181"/>
      <c r="L22" s="114"/>
      <c r="M22" s="151"/>
      <c r="N22" s="44"/>
      <c r="O22" s="44"/>
      <c r="P22" s="85" t="str">
        <f t="shared" si="2"/>
        <v/>
      </c>
      <c r="Q22" s="181"/>
      <c r="R22" s="114"/>
      <c r="S22" s="151">
        <v>45565</v>
      </c>
      <c r="T22" s="44"/>
      <c r="U22" s="44"/>
      <c r="V22" s="85">
        <f t="shared" si="3"/>
        <v>150</v>
      </c>
      <c r="W22" s="181">
        <v>150</v>
      </c>
      <c r="X22" s="114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45519</v>
      </c>
      <c r="B23" s="44">
        <v>0</v>
      </c>
      <c r="C23" s="44"/>
      <c r="D23" s="85">
        <f t="shared" si="0"/>
        <v>45</v>
      </c>
      <c r="E23" s="181">
        <v>0</v>
      </c>
      <c r="G23" s="196"/>
      <c r="H23" s="84"/>
      <c r="I23" s="84"/>
      <c r="J23" s="84" t="str">
        <f t="shared" si="1"/>
        <v/>
      </c>
      <c r="K23" s="87" t="s">
        <v>107</v>
      </c>
      <c r="L23" s="114"/>
      <c r="M23" s="151"/>
      <c r="N23" s="85"/>
      <c r="O23" s="85"/>
      <c r="P23" s="85" t="str">
        <f t="shared" si="2"/>
        <v/>
      </c>
      <c r="Q23" s="223"/>
      <c r="R23" s="114"/>
      <c r="S23" s="151"/>
      <c r="T23" s="85"/>
      <c r="U23" s="85"/>
      <c r="V23" s="85" t="str">
        <f t="shared" si="3"/>
        <v/>
      </c>
      <c r="W23" s="223"/>
      <c r="X23" s="114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>
        <v>45534</v>
      </c>
      <c r="B24" s="44">
        <v>0</v>
      </c>
      <c r="C24" s="44"/>
      <c r="D24" s="85">
        <f t="shared" si="0"/>
        <v>45</v>
      </c>
      <c r="E24" s="181">
        <v>0</v>
      </c>
      <c r="G24" s="196"/>
      <c r="H24" s="84"/>
      <c r="I24" s="84"/>
      <c r="J24" s="84" t="str">
        <f t="shared" si="1"/>
        <v/>
      </c>
      <c r="K24" s="197"/>
      <c r="L24" s="114"/>
      <c r="M24" s="151"/>
      <c r="N24" s="85"/>
      <c r="O24" s="85"/>
      <c r="P24" s="85" t="str">
        <f t="shared" si="2"/>
        <v/>
      </c>
      <c r="Q24" s="224"/>
      <c r="R24" s="114"/>
      <c r="S24" s="151"/>
      <c r="T24" s="85"/>
      <c r="U24" s="85"/>
      <c r="V24" s="85" t="str">
        <f t="shared" si="3"/>
        <v/>
      </c>
      <c r="W24" s="224"/>
      <c r="X24" s="114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>
        <v>45550</v>
      </c>
      <c r="B25" s="44">
        <v>0</v>
      </c>
      <c r="C25" s="44">
        <v>1500</v>
      </c>
      <c r="D25" s="85">
        <f t="shared" si="0"/>
        <v>45</v>
      </c>
      <c r="E25" s="181">
        <v>225</v>
      </c>
      <c r="G25" s="151"/>
      <c r="H25" s="44"/>
      <c r="I25" s="44"/>
      <c r="J25" s="85" t="str">
        <f t="shared" si="1"/>
        <v/>
      </c>
      <c r="K25" s="181"/>
      <c r="L25" s="114"/>
      <c r="M25" s="151"/>
      <c r="N25" s="44"/>
      <c r="O25" s="44"/>
      <c r="P25" s="85" t="str">
        <f t="shared" si="2"/>
        <v/>
      </c>
      <c r="Q25" s="181"/>
      <c r="R25" s="114"/>
      <c r="S25" s="151"/>
      <c r="T25" s="44"/>
      <c r="U25" s="44"/>
      <c r="V25" s="85" t="str">
        <f t="shared" si="3"/>
        <v/>
      </c>
      <c r="W25" s="181"/>
      <c r="X25" s="114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>
        <v>45565</v>
      </c>
      <c r="B26" s="182">
        <v>0</v>
      </c>
      <c r="C26" s="44"/>
      <c r="D26" s="85">
        <f t="shared" si="0"/>
        <v>0</v>
      </c>
      <c r="E26" s="181"/>
      <c r="G26" s="151"/>
      <c r="H26" s="182"/>
      <c r="I26" s="44"/>
      <c r="J26" s="85" t="str">
        <f t="shared" si="1"/>
        <v/>
      </c>
      <c r="K26" s="181"/>
      <c r="L26" s="114"/>
      <c r="M26" s="151"/>
      <c r="N26" s="182"/>
      <c r="O26" s="44"/>
      <c r="P26" s="85" t="str">
        <f t="shared" si="2"/>
        <v/>
      </c>
      <c r="Q26" s="181"/>
      <c r="R26" s="114"/>
      <c r="S26" s="151"/>
      <c r="T26" s="182"/>
      <c r="U26" s="44"/>
      <c r="V26" s="85" t="str">
        <f t="shared" si="3"/>
        <v/>
      </c>
      <c r="W26" s="181"/>
      <c r="X26" s="114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6"/>
      <c r="B27" s="84"/>
      <c r="C27" s="84"/>
      <c r="D27" s="84" t="str">
        <f t="shared" si="0"/>
        <v/>
      </c>
      <c r="E27" s="87" t="s">
        <v>107</v>
      </c>
      <c r="G27" s="151"/>
      <c r="H27" s="182"/>
      <c r="I27" s="44"/>
      <c r="J27" s="85" t="str">
        <f t="shared" si="1"/>
        <v/>
      </c>
      <c r="K27" s="181"/>
      <c r="L27" s="114"/>
      <c r="M27" s="151"/>
      <c r="N27" s="182"/>
      <c r="O27" s="44"/>
      <c r="P27" s="85" t="str">
        <f t="shared" si="2"/>
        <v/>
      </c>
      <c r="Q27" s="181"/>
      <c r="R27" s="114"/>
      <c r="S27" s="151"/>
      <c r="T27" s="182"/>
      <c r="U27" s="44"/>
      <c r="V27" s="85" t="str">
        <f t="shared" si="3"/>
        <v/>
      </c>
      <c r="W27" s="181"/>
      <c r="X27" s="114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6"/>
      <c r="B28" s="84"/>
      <c r="C28" s="84"/>
      <c r="D28" s="84" t="str">
        <f t="shared" si="0"/>
        <v/>
      </c>
      <c r="E28" s="197"/>
      <c r="G28" s="151"/>
      <c r="H28" s="182"/>
      <c r="I28" s="44"/>
      <c r="J28" s="85" t="str">
        <f t="shared" si="1"/>
        <v/>
      </c>
      <c r="K28" s="181"/>
      <c r="L28" s="114"/>
      <c r="M28" s="151"/>
      <c r="N28" s="182"/>
      <c r="O28" s="44"/>
      <c r="P28" s="85" t="str">
        <f t="shared" si="2"/>
        <v/>
      </c>
      <c r="Q28" s="181"/>
      <c r="R28" s="114"/>
      <c r="S28" s="151"/>
      <c r="T28" s="182"/>
      <c r="U28" s="44"/>
      <c r="V28" s="85" t="str">
        <f t="shared" si="3"/>
        <v/>
      </c>
      <c r="W28" s="181"/>
      <c r="X28" s="114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182"/>
      <c r="C29" s="44"/>
      <c r="D29" s="85" t="str">
        <f t="shared" si="0"/>
        <v/>
      </c>
      <c r="E29" s="181"/>
      <c r="G29" s="151"/>
      <c r="H29" s="182"/>
      <c r="I29" s="44"/>
      <c r="J29" s="85" t="str">
        <f t="shared" si="1"/>
        <v/>
      </c>
      <c r="K29" s="181"/>
      <c r="L29" s="114"/>
      <c r="M29" s="151"/>
      <c r="N29" s="182"/>
      <c r="O29" s="44"/>
      <c r="P29" s="85" t="str">
        <f t="shared" si="2"/>
        <v/>
      </c>
      <c r="Q29" s="181"/>
      <c r="R29" s="114"/>
      <c r="S29" s="151"/>
      <c r="T29" s="182"/>
      <c r="U29" s="44"/>
      <c r="V29" s="85" t="str">
        <f t="shared" si="3"/>
        <v/>
      </c>
      <c r="W29" s="181"/>
      <c r="X29" s="114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182"/>
      <c r="C30" s="44"/>
      <c r="D30" s="85" t="str">
        <f t="shared" si="0"/>
        <v/>
      </c>
      <c r="E30" s="181"/>
      <c r="G30" s="151"/>
      <c r="H30" s="182"/>
      <c r="I30" s="44"/>
      <c r="J30" s="85" t="str">
        <f t="shared" si="1"/>
        <v/>
      </c>
      <c r="K30" s="181"/>
      <c r="L30" s="114"/>
      <c r="M30" s="151"/>
      <c r="N30" s="182"/>
      <c r="O30" s="44"/>
      <c r="P30" s="85" t="str">
        <f t="shared" si="2"/>
        <v/>
      </c>
      <c r="Q30" s="181"/>
      <c r="R30" s="114"/>
      <c r="S30" s="151"/>
      <c r="T30" s="182"/>
      <c r="U30" s="44"/>
      <c r="V30" s="85" t="str">
        <f t="shared" si="3"/>
        <v/>
      </c>
      <c r="W30" s="181"/>
      <c r="X30" s="114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182"/>
      <c r="C31" s="44"/>
      <c r="D31" s="85" t="str">
        <f t="shared" si="0"/>
        <v/>
      </c>
      <c r="E31" s="181"/>
      <c r="G31" s="151"/>
      <c r="H31" s="182"/>
      <c r="I31" s="44"/>
      <c r="J31" s="85" t="str">
        <f t="shared" si="1"/>
        <v/>
      </c>
      <c r="K31" s="181"/>
      <c r="L31" s="114"/>
      <c r="M31" s="151"/>
      <c r="N31" s="182"/>
      <c r="O31" s="44"/>
      <c r="P31" s="85" t="str">
        <f t="shared" si="2"/>
        <v/>
      </c>
      <c r="Q31" s="181"/>
      <c r="R31" s="114"/>
      <c r="S31" s="151"/>
      <c r="T31" s="182"/>
      <c r="U31" s="44"/>
      <c r="V31" s="85" t="str">
        <f t="shared" si="3"/>
        <v/>
      </c>
      <c r="W31" s="181"/>
      <c r="X31" s="114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182"/>
      <c r="C32" s="44"/>
      <c r="D32" s="85" t="str">
        <f t="shared" si="0"/>
        <v/>
      </c>
      <c r="E32" s="181"/>
      <c r="G32" s="151"/>
      <c r="H32" s="182"/>
      <c r="I32" s="44"/>
      <c r="J32" s="85" t="str">
        <f t="shared" si="1"/>
        <v/>
      </c>
      <c r="K32" s="181"/>
      <c r="L32" s="114"/>
      <c r="M32" s="151"/>
      <c r="N32" s="182"/>
      <c r="O32" s="44"/>
      <c r="P32" s="85" t="str">
        <f t="shared" si="2"/>
        <v/>
      </c>
      <c r="Q32" s="181"/>
      <c r="R32" s="114"/>
      <c r="S32" s="151"/>
      <c r="T32" s="182"/>
      <c r="U32" s="44"/>
      <c r="V32" s="85" t="str">
        <f t="shared" si="3"/>
        <v/>
      </c>
      <c r="W32" s="181"/>
      <c r="X32" s="114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182"/>
      <c r="C33" s="44"/>
      <c r="D33" s="85" t="str">
        <f t="shared" si="0"/>
        <v/>
      </c>
      <c r="E33" s="181"/>
      <c r="G33" s="151"/>
      <c r="H33" s="182"/>
      <c r="I33" s="44"/>
      <c r="J33" s="85" t="str">
        <f t="shared" si="1"/>
        <v/>
      </c>
      <c r="K33" s="181"/>
      <c r="L33" s="114"/>
      <c r="M33" s="151"/>
      <c r="N33" s="182"/>
      <c r="O33" s="44"/>
      <c r="P33" s="85" t="str">
        <f t="shared" si="2"/>
        <v/>
      </c>
      <c r="Q33" s="181"/>
      <c r="R33" s="114"/>
      <c r="S33" s="151"/>
      <c r="T33" s="182"/>
      <c r="U33" s="44"/>
      <c r="V33" s="85" t="str">
        <f t="shared" si="3"/>
        <v/>
      </c>
      <c r="W33" s="181"/>
      <c r="X33" s="114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182"/>
      <c r="C34" s="44"/>
      <c r="D34" s="85" t="str">
        <f t="shared" si="0"/>
        <v/>
      </c>
      <c r="E34" s="181"/>
      <c r="G34" s="151"/>
      <c r="H34" s="182"/>
      <c r="I34" s="44"/>
      <c r="J34" s="85" t="str">
        <f t="shared" si="1"/>
        <v/>
      </c>
      <c r="K34" s="181"/>
      <c r="L34" s="114"/>
      <c r="M34" s="151"/>
      <c r="N34" s="182"/>
      <c r="O34" s="44"/>
      <c r="P34" s="85" t="str">
        <f t="shared" si="2"/>
        <v/>
      </c>
      <c r="Q34" s="181"/>
      <c r="R34" s="114"/>
      <c r="S34" s="151"/>
      <c r="T34" s="182"/>
      <c r="U34" s="44"/>
      <c r="V34" s="85" t="str">
        <f t="shared" si="3"/>
        <v/>
      </c>
      <c r="W34" s="181"/>
      <c r="X34" s="114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182"/>
      <c r="C35" s="44"/>
      <c r="D35" s="85" t="str">
        <f t="shared" si="0"/>
        <v/>
      </c>
      <c r="E35" s="181"/>
      <c r="G35" s="151"/>
      <c r="H35" s="182"/>
      <c r="I35" s="44"/>
      <c r="J35" s="85" t="str">
        <f t="shared" si="1"/>
        <v/>
      </c>
      <c r="K35" s="181"/>
      <c r="L35" s="114"/>
      <c r="M35" s="151"/>
      <c r="N35" s="182"/>
      <c r="O35" s="44"/>
      <c r="P35" s="85" t="str">
        <f t="shared" si="2"/>
        <v/>
      </c>
      <c r="Q35" s="181"/>
      <c r="R35" s="114"/>
      <c r="S35" s="151"/>
      <c r="T35" s="182"/>
      <c r="U35" s="44"/>
      <c r="V35" s="85" t="str">
        <f t="shared" si="3"/>
        <v/>
      </c>
      <c r="W35" s="181"/>
      <c r="X35" s="114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182"/>
      <c r="C36" s="44"/>
      <c r="D36" s="85" t="str">
        <f t="shared" si="0"/>
        <v/>
      </c>
      <c r="E36" s="181"/>
      <c r="G36" s="151"/>
      <c r="H36" s="182"/>
      <c r="I36" s="44"/>
      <c r="J36" s="85" t="str">
        <f t="shared" si="1"/>
        <v/>
      </c>
      <c r="K36" s="181"/>
      <c r="L36" s="114"/>
      <c r="M36" s="151"/>
      <c r="N36" s="182"/>
      <c r="O36" s="44"/>
      <c r="P36" s="85" t="str">
        <f t="shared" si="2"/>
        <v/>
      </c>
      <c r="Q36" s="181"/>
      <c r="R36" s="114"/>
      <c r="S36" s="151"/>
      <c r="T36" s="182"/>
      <c r="U36" s="44"/>
      <c r="V36" s="85" t="str">
        <f t="shared" si="3"/>
        <v/>
      </c>
      <c r="W36" s="181"/>
      <c r="X36" s="114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182"/>
      <c r="C37" s="44"/>
      <c r="D37" s="85" t="str">
        <f t="shared" si="0"/>
        <v/>
      </c>
      <c r="E37" s="181"/>
      <c r="G37" s="151"/>
      <c r="H37" s="182"/>
      <c r="I37" s="44"/>
      <c r="J37" s="85" t="str">
        <f t="shared" si="1"/>
        <v/>
      </c>
      <c r="K37" s="181"/>
      <c r="L37" s="114"/>
      <c r="M37" s="151"/>
      <c r="N37" s="182"/>
      <c r="O37" s="44"/>
      <c r="P37" s="85" t="str">
        <f t="shared" si="2"/>
        <v/>
      </c>
      <c r="Q37" s="181"/>
      <c r="R37" s="114"/>
      <c r="S37" s="151"/>
      <c r="T37" s="182"/>
      <c r="U37" s="44"/>
      <c r="V37" s="85" t="str">
        <f t="shared" si="3"/>
        <v/>
      </c>
      <c r="W37" s="181"/>
      <c r="X37" s="114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182"/>
      <c r="C38" s="44"/>
      <c r="D38" s="85" t="str">
        <f t="shared" si="0"/>
        <v/>
      </c>
      <c r="E38" s="181"/>
      <c r="G38" s="151"/>
      <c r="H38" s="182"/>
      <c r="I38" s="44"/>
      <c r="J38" s="85" t="str">
        <f t="shared" si="1"/>
        <v/>
      </c>
      <c r="K38" s="181"/>
      <c r="L38" s="114"/>
      <c r="M38" s="151"/>
      <c r="N38" s="182"/>
      <c r="O38" s="44"/>
      <c r="P38" s="85" t="str">
        <f t="shared" si="2"/>
        <v/>
      </c>
      <c r="Q38" s="181"/>
      <c r="R38" s="114"/>
      <c r="S38" s="151"/>
      <c r="T38" s="182"/>
      <c r="U38" s="44"/>
      <c r="V38" s="85" t="str">
        <f t="shared" si="3"/>
        <v/>
      </c>
      <c r="W38" s="181"/>
      <c r="X38" s="114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182"/>
      <c r="C39" s="44"/>
      <c r="D39" s="85" t="str">
        <f t="shared" si="0"/>
        <v/>
      </c>
      <c r="E39" s="181"/>
      <c r="G39" s="151"/>
      <c r="H39" s="182"/>
      <c r="I39" s="44"/>
      <c r="J39" s="85" t="str">
        <f t="shared" si="1"/>
        <v/>
      </c>
      <c r="K39" s="181"/>
      <c r="L39" s="114"/>
      <c r="M39" s="151"/>
      <c r="N39" s="182"/>
      <c r="O39" s="44"/>
      <c r="P39" s="85" t="str">
        <f t="shared" si="2"/>
        <v/>
      </c>
      <c r="Q39" s="181"/>
      <c r="R39" s="114"/>
      <c r="S39" s="151"/>
      <c r="T39" s="182"/>
      <c r="U39" s="44"/>
      <c r="V39" s="85" t="str">
        <f t="shared" si="3"/>
        <v/>
      </c>
      <c r="W39" s="181"/>
      <c r="X39" s="114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182"/>
      <c r="C40" s="44"/>
      <c r="D40" s="85" t="str">
        <f t="shared" si="0"/>
        <v/>
      </c>
      <c r="E40" s="181"/>
      <c r="G40" s="151"/>
      <c r="H40" s="182"/>
      <c r="I40" s="44"/>
      <c r="J40" s="85" t="str">
        <f t="shared" si="1"/>
        <v/>
      </c>
      <c r="K40" s="181"/>
      <c r="L40" s="114"/>
      <c r="M40" s="151"/>
      <c r="N40" s="182"/>
      <c r="O40" s="44"/>
      <c r="P40" s="85" t="str">
        <f t="shared" si="2"/>
        <v/>
      </c>
      <c r="Q40" s="181"/>
      <c r="R40" s="114"/>
      <c r="S40" s="151"/>
      <c r="T40" s="182"/>
      <c r="U40" s="44"/>
      <c r="V40" s="85" t="str">
        <f t="shared" si="3"/>
        <v/>
      </c>
      <c r="W40" s="181"/>
      <c r="X40" s="114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182"/>
      <c r="C41" s="44"/>
      <c r="D41" s="85" t="str">
        <f t="shared" si="0"/>
        <v/>
      </c>
      <c r="E41" s="181"/>
      <c r="G41" s="151"/>
      <c r="H41" s="182"/>
      <c r="I41" s="44"/>
      <c r="J41" s="85" t="str">
        <f t="shared" si="1"/>
        <v/>
      </c>
      <c r="K41" s="181"/>
      <c r="L41" s="114"/>
      <c r="M41" s="151"/>
      <c r="N41" s="182"/>
      <c r="O41" s="44"/>
      <c r="P41" s="85" t="str">
        <f t="shared" si="2"/>
        <v/>
      </c>
      <c r="Q41" s="181"/>
      <c r="R41" s="114"/>
      <c r="S41" s="151"/>
      <c r="T41" s="182"/>
      <c r="U41" s="44"/>
      <c r="V41" s="85" t="str">
        <f t="shared" si="3"/>
        <v/>
      </c>
      <c r="W41" s="181"/>
      <c r="X41" s="114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182"/>
      <c r="C42" s="44"/>
      <c r="D42" s="85" t="str">
        <f t="shared" si="0"/>
        <v/>
      </c>
      <c r="E42" s="181"/>
      <c r="G42" s="151"/>
      <c r="H42" s="182"/>
      <c r="I42" s="44"/>
      <c r="J42" s="85" t="str">
        <f t="shared" si="1"/>
        <v/>
      </c>
      <c r="K42" s="181"/>
      <c r="L42" s="114"/>
      <c r="M42" s="151"/>
      <c r="N42" s="182"/>
      <c r="O42" s="44"/>
      <c r="P42" s="85" t="str">
        <f t="shared" si="2"/>
        <v/>
      </c>
      <c r="Q42" s="181"/>
      <c r="R42" s="114"/>
      <c r="S42" s="151"/>
      <c r="T42" s="182"/>
      <c r="U42" s="44"/>
      <c r="V42" s="85" t="str">
        <f t="shared" si="3"/>
        <v/>
      </c>
      <c r="W42" s="181"/>
      <c r="X42" s="114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183"/>
      <c r="C43" s="184"/>
      <c r="D43" s="85" t="str">
        <f t="shared" si="0"/>
        <v/>
      </c>
      <c r="E43" s="194"/>
      <c r="G43" s="152"/>
      <c r="H43" s="183"/>
      <c r="I43" s="184"/>
      <c r="J43" s="85" t="str">
        <f t="shared" si="1"/>
        <v/>
      </c>
      <c r="K43" s="194"/>
      <c r="L43" s="114"/>
      <c r="M43" s="152"/>
      <c r="N43" s="183"/>
      <c r="O43" s="184"/>
      <c r="P43" s="85" t="str">
        <f t="shared" si="2"/>
        <v/>
      </c>
      <c r="Q43" s="194"/>
      <c r="R43" s="114"/>
      <c r="S43" s="152"/>
      <c r="T43" s="183"/>
      <c r="U43" s="184"/>
      <c r="V43" s="85" t="str">
        <f t="shared" si="3"/>
        <v/>
      </c>
      <c r="W43" s="194"/>
      <c r="X43" s="114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82"/>
      <c r="C52" s="182">
        <v>3</v>
      </c>
      <c r="D52" s="182">
        <v>4</v>
      </c>
      <c r="E52" s="84">
        <v>5</v>
      </c>
      <c r="F52" s="179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5"/>
      <c r="B53" s="182"/>
      <c r="C53" s="182"/>
      <c r="D53" s="182"/>
      <c r="E53" s="186"/>
      <c r="F53" s="179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5"/>
      <c r="B54" s="182"/>
      <c r="C54" s="182"/>
      <c r="D54" s="182"/>
      <c r="E54" s="186"/>
      <c r="F54" s="179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5"/>
      <c r="B55" s="182"/>
      <c r="C55" s="182"/>
      <c r="D55" s="182"/>
      <c r="E55" s="186"/>
      <c r="F55" s="179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5"/>
      <c r="B56" s="182"/>
      <c r="C56" s="182"/>
      <c r="D56" s="182"/>
      <c r="E56" s="186"/>
      <c r="F56" s="179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5"/>
      <c r="B57" s="182"/>
      <c r="C57" s="182"/>
      <c r="D57" s="182"/>
      <c r="E57" s="186"/>
      <c r="F57" s="179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5"/>
      <c r="B58" s="182"/>
      <c r="C58" s="182"/>
      <c r="D58" s="182"/>
      <c r="E58" s="186"/>
      <c r="F58" s="179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5"/>
      <c r="B59" s="182"/>
      <c r="C59" s="182"/>
      <c r="D59" s="182"/>
      <c r="E59" s="186"/>
      <c r="F59" s="179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5"/>
      <c r="B60" s="182"/>
      <c r="C60" s="182"/>
      <c r="D60" s="182"/>
      <c r="E60" s="186"/>
      <c r="F60" s="179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5"/>
      <c r="B61" s="182"/>
      <c r="C61" s="182"/>
      <c r="D61" s="182"/>
      <c r="E61" s="186"/>
      <c r="F61" s="179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5"/>
      <c r="B62" s="182"/>
      <c r="C62" s="182"/>
      <c r="D62" s="182"/>
      <c r="E62" s="186"/>
      <c r="F62" s="179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5"/>
      <c r="B63" s="182"/>
      <c r="C63" s="182"/>
      <c r="D63" s="182"/>
      <c r="E63" s="186"/>
      <c r="F63" s="179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7"/>
      <c r="B64" s="182"/>
      <c r="C64" s="182"/>
      <c r="D64" s="182"/>
      <c r="E64" s="186"/>
      <c r="F64" s="179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82"/>
      <c r="C65" s="44"/>
      <c r="D65" s="182"/>
      <c r="E65" s="186"/>
      <c r="F65" s="179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6"/>
      <c r="F66" s="179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6"/>
      <c r="F67" s="179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6"/>
      <c r="F68" s="179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6"/>
      <c r="F69" s="179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6"/>
      <c r="F70" s="179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8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6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6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6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6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6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6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6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6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6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6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6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6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6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6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6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6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6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6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6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6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6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6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6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6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9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9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90" t="s">
        <v>10</v>
      </c>
      <c r="B99" s="190" t="s">
        <v>8</v>
      </c>
      <c r="C99" s="190" t="s">
        <v>9</v>
      </c>
      <c r="D99" s="190" t="s">
        <v>7</v>
      </c>
      <c r="E99" s="190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4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18</v>
      </c>
      <c r="D103" s="41">
        <f>SUM(E103,H103)</f>
        <v>49707</v>
      </c>
      <c r="E103" s="41">
        <f>SUM(N5:N95)</f>
        <v>31698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16</v>
      </c>
      <c r="D104" s="41">
        <f t="shared" ref="D104:D148" si="4">SUM(E104,H104)</f>
        <v>609450.77812499995</v>
      </c>
      <c r="E104" s="41">
        <f>SUM(R3:R95)</f>
        <v>12</v>
      </c>
      <c r="F104" s="103">
        <f>SUM(S3:S95)</f>
        <v>609438.77812499995</v>
      </c>
      <c r="H104">
        <f t="shared" ref="H104:H130" si="5">F104-G104</f>
        <v>609438.77812499995</v>
      </c>
      <c r="N104">
        <f t="shared" ref="N104:N130" si="6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9</v>
      </c>
      <c r="D105" s="41">
        <f>SUM(E105,H105)</f>
        <v>16585</v>
      </c>
      <c r="E105" s="41">
        <f>SUM(V3:V95)</f>
        <v>13292</v>
      </c>
      <c r="F105" s="103">
        <f>SUM(W3:W95)</f>
        <v>3293</v>
      </c>
      <c r="H105">
        <f t="shared" si="5"/>
        <v>3293</v>
      </c>
      <c r="N105">
        <f t="shared" si="6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1</v>
      </c>
      <c r="D106" s="41">
        <f t="shared" si="4"/>
        <v>53</v>
      </c>
      <c r="E106" s="41">
        <f>SUM(Z3:Z95)</f>
        <v>26</v>
      </c>
      <c r="F106" s="103">
        <f>SUM(AA3:AA95)</f>
        <v>27</v>
      </c>
      <c r="H106">
        <f t="shared" si="5"/>
        <v>27</v>
      </c>
      <c r="N106">
        <f t="shared" si="6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1</v>
      </c>
      <c r="D107" s="41">
        <f t="shared" si="4"/>
        <v>61</v>
      </c>
      <c r="E107" s="41">
        <f>SUM(AD3:AD95)</f>
        <v>30</v>
      </c>
      <c r="F107" s="103">
        <f>SUM(AE3:AE95)</f>
        <v>31</v>
      </c>
      <c r="H107">
        <f t="shared" si="5"/>
        <v>31</v>
      </c>
      <c r="N107">
        <f t="shared" si="6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</v>
      </c>
      <c r="D108" s="41">
        <f t="shared" si="4"/>
        <v>69</v>
      </c>
      <c r="E108" s="41">
        <f>SUM(AH3:AH95)</f>
        <v>34</v>
      </c>
      <c r="F108" s="103">
        <f>SUM(AI3:AI95)</f>
        <v>35</v>
      </c>
      <c r="H108">
        <f t="shared" si="5"/>
        <v>35</v>
      </c>
      <c r="N108">
        <f t="shared" si="6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1</v>
      </c>
      <c r="D109" s="41">
        <f t="shared" si="4"/>
        <v>77</v>
      </c>
      <c r="E109" s="41">
        <f>SUM(AL3:AL95)</f>
        <v>38</v>
      </c>
      <c r="F109" s="103">
        <f>SUM(AM3:AM95)</f>
        <v>39</v>
      </c>
      <c r="H109">
        <f t="shared" si="5"/>
        <v>39</v>
      </c>
      <c r="N109">
        <f t="shared" si="6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1</v>
      </c>
      <c r="D110" s="41">
        <f t="shared" si="4"/>
        <v>85</v>
      </c>
      <c r="E110" s="41">
        <f>SUM(AP3:AP95)</f>
        <v>42</v>
      </c>
      <c r="F110" s="103">
        <f>SUM(AQ3:AQ95)</f>
        <v>43</v>
      </c>
      <c r="H110">
        <f t="shared" si="5"/>
        <v>43</v>
      </c>
      <c r="N110">
        <f t="shared" si="6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4"/>
        <v>93</v>
      </c>
      <c r="E111" s="41">
        <f>SUM(AT3:AT95)</f>
        <v>46</v>
      </c>
      <c r="F111" s="103">
        <f>SUM(AU3:AU95)</f>
        <v>47</v>
      </c>
      <c r="H111">
        <f t="shared" si="5"/>
        <v>47</v>
      </c>
      <c r="N111">
        <f t="shared" si="6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4"/>
        <v>101</v>
      </c>
      <c r="E112" s="41">
        <f>SUM(AX3:AX95)</f>
        <v>50</v>
      </c>
      <c r="F112" s="103">
        <f>SUM(AY3:AY95)</f>
        <v>51</v>
      </c>
      <c r="H112">
        <f t="shared" si="5"/>
        <v>51</v>
      </c>
      <c r="N112">
        <f t="shared" si="6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4"/>
        <v>109</v>
      </c>
      <c r="E113" s="41">
        <f>SUM(BB3:BB95)</f>
        <v>54</v>
      </c>
      <c r="F113" s="103">
        <f>SUM(BC3:BC95)</f>
        <v>55</v>
      </c>
      <c r="H113">
        <f t="shared" si="5"/>
        <v>55</v>
      </c>
      <c r="N113">
        <f t="shared" si="6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4"/>
        <v>117</v>
      </c>
      <c r="E114" s="41">
        <f>SUM(BF3:BF95)</f>
        <v>58</v>
      </c>
      <c r="F114" s="103">
        <f>SUM(BG3:BG95)</f>
        <v>59</v>
      </c>
      <c r="H114">
        <f t="shared" si="5"/>
        <v>59</v>
      </c>
      <c r="N114">
        <f t="shared" si="6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4"/>
        <v>125</v>
      </c>
      <c r="E115" s="41">
        <f>SUM(BJ3:BJ95)</f>
        <v>62</v>
      </c>
      <c r="F115" s="103">
        <f>SUM(BK3:BK95)</f>
        <v>63</v>
      </c>
      <c r="H115">
        <f t="shared" si="5"/>
        <v>63</v>
      </c>
      <c r="N115">
        <f t="shared" si="6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4"/>
        <v>133</v>
      </c>
      <c r="E116" s="41">
        <f>SUM(BN3:BN95)</f>
        <v>66</v>
      </c>
      <c r="F116" s="103">
        <f>SUM(BO3:BO95)</f>
        <v>67</v>
      </c>
      <c r="H116">
        <f t="shared" si="5"/>
        <v>67</v>
      </c>
      <c r="N116">
        <f t="shared" si="6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4"/>
        <v>141</v>
      </c>
      <c r="E117" s="41">
        <f>SUM(BR3:BR95)</f>
        <v>70</v>
      </c>
      <c r="F117" s="103">
        <f>SUM(BS3:BS95)</f>
        <v>71</v>
      </c>
      <c r="H117">
        <f t="shared" si="5"/>
        <v>71</v>
      </c>
      <c r="N117">
        <f t="shared" si="6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4"/>
        <v>149</v>
      </c>
      <c r="E118" s="41">
        <f>SUM(BV3:BV95)</f>
        <v>74</v>
      </c>
      <c r="F118" s="103">
        <f>SUM(BW3:BW95)</f>
        <v>75</v>
      </c>
      <c r="H118">
        <f t="shared" si="5"/>
        <v>75</v>
      </c>
      <c r="N118">
        <f t="shared" si="6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4"/>
        <v>157</v>
      </c>
      <c r="E119" s="41">
        <f>SUM(BZ3:BZ95)</f>
        <v>78</v>
      </c>
      <c r="F119" s="103">
        <f>SUM(CA3:CA95)</f>
        <v>79</v>
      </c>
      <c r="H119">
        <f t="shared" si="5"/>
        <v>79</v>
      </c>
      <c r="N119">
        <f t="shared" si="6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4"/>
        <v>165</v>
      </c>
      <c r="E120" s="41">
        <f>SUM(CD3:CD95)</f>
        <v>82</v>
      </c>
      <c r="F120" s="103">
        <f>SUM(CE3:CE95)</f>
        <v>83</v>
      </c>
      <c r="H120">
        <f t="shared" si="5"/>
        <v>83</v>
      </c>
      <c r="N120">
        <f t="shared" si="6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4"/>
        <v>173</v>
      </c>
      <c r="E121" s="41">
        <f>SUM(CH3:CH95)</f>
        <v>86</v>
      </c>
      <c r="F121" s="103">
        <f>SUM(CI3:CI95)</f>
        <v>87</v>
      </c>
      <c r="H121">
        <f t="shared" si="5"/>
        <v>87</v>
      </c>
      <c r="N121">
        <f t="shared" si="6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4"/>
        <v>181</v>
      </c>
      <c r="E122" s="41">
        <f>SUM(CL3:CL95)</f>
        <v>90</v>
      </c>
      <c r="F122" s="103">
        <f>SUM(CM3:CM95)</f>
        <v>91</v>
      </c>
      <c r="H122">
        <f t="shared" si="5"/>
        <v>91</v>
      </c>
      <c r="N122">
        <f t="shared" si="6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4"/>
        <v>189</v>
      </c>
      <c r="E123" s="41">
        <f>SUM(CP3:CP95)</f>
        <v>94</v>
      </c>
      <c r="F123" s="103">
        <f>SUM(CQ3:CQ95)</f>
        <v>95</v>
      </c>
      <c r="H123">
        <f t="shared" si="5"/>
        <v>95</v>
      </c>
      <c r="N123">
        <f t="shared" si="6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4"/>
        <v>197</v>
      </c>
      <c r="E124" s="41">
        <f>SUM(CT3:CT95)</f>
        <v>98</v>
      </c>
      <c r="F124" s="103">
        <f>SUM(CU3:CU95)</f>
        <v>99</v>
      </c>
      <c r="H124">
        <f t="shared" si="5"/>
        <v>99</v>
      </c>
      <c r="N124">
        <f t="shared" si="6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4"/>
        <v>205</v>
      </c>
      <c r="E125" s="41">
        <f>SUM(CX3:CX95)</f>
        <v>102</v>
      </c>
      <c r="F125" s="103">
        <f>SUM(CY3:CY95)</f>
        <v>103</v>
      </c>
      <c r="H125">
        <f t="shared" si="5"/>
        <v>103</v>
      </c>
      <c r="N125">
        <f t="shared" si="6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4"/>
        <v>213</v>
      </c>
      <c r="E126" s="41">
        <f>SUM(DB3:DB95)</f>
        <v>106</v>
      </c>
      <c r="F126" s="103">
        <f>SUM(DC3:DC95)</f>
        <v>107</v>
      </c>
      <c r="H126">
        <f t="shared" si="5"/>
        <v>107</v>
      </c>
      <c r="N126">
        <f t="shared" si="6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4"/>
        <v>221</v>
      </c>
      <c r="E127" s="41">
        <f>SUM(DF3:DF95)</f>
        <v>110</v>
      </c>
      <c r="F127" s="103">
        <f>SUM(DG3:DG95)</f>
        <v>111</v>
      </c>
      <c r="H127">
        <f t="shared" si="5"/>
        <v>111</v>
      </c>
      <c r="N127">
        <f t="shared" si="6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4"/>
        <v>229</v>
      </c>
      <c r="E128" s="41">
        <f>SUM(DJ3:DJ95)</f>
        <v>114</v>
      </c>
      <c r="F128" s="103">
        <f>SUM(DK3:DK95)</f>
        <v>115</v>
      </c>
      <c r="H128">
        <f t="shared" si="5"/>
        <v>115</v>
      </c>
      <c r="N128">
        <f t="shared" si="6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4"/>
        <v>237</v>
      </c>
      <c r="E129" s="41">
        <f>SUM(DN3:DN95)</f>
        <v>118</v>
      </c>
      <c r="F129" s="103">
        <f>SUM(DO3:DO95)</f>
        <v>119</v>
      </c>
      <c r="H129">
        <f t="shared" si="5"/>
        <v>119</v>
      </c>
      <c r="N129">
        <f t="shared" si="6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4"/>
        <v>245</v>
      </c>
      <c r="E130" s="41">
        <f>SUM(DR3:DR95)</f>
        <v>122</v>
      </c>
      <c r="F130" s="103">
        <f>SUM(DS3:DS95)</f>
        <v>123</v>
      </c>
      <c r="H130">
        <f t="shared" si="5"/>
        <v>123</v>
      </c>
      <c r="N130">
        <f t="shared" si="6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4"/>
        <v>253</v>
      </c>
      <c r="E131" s="41">
        <f>SUM(DV3:DV95)</f>
        <v>126</v>
      </c>
      <c r="F131" s="103">
        <f>SUM(DW3:DW95)</f>
        <v>127</v>
      </c>
      <c r="H131">
        <f t="shared" ref="H131:H148" si="7">F131-G103</f>
        <v>127</v>
      </c>
      <c r="N131">
        <f t="shared" ref="N131:N148" si="8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4"/>
        <v>257</v>
      </c>
      <c r="E132" s="41">
        <f>SUM(DX3:DX95)</f>
        <v>128</v>
      </c>
      <c r="F132" s="103">
        <f>SUM(DY3:DY95)</f>
        <v>129</v>
      </c>
      <c r="H132">
        <f t="shared" si="7"/>
        <v>129</v>
      </c>
      <c r="N132">
        <f t="shared" si="8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4"/>
        <v>269</v>
      </c>
      <c r="E133" s="41">
        <f>SUM(ED3:ED95)</f>
        <v>134</v>
      </c>
      <c r="F133" s="103">
        <f>SUM(EE3:EE95)</f>
        <v>135</v>
      </c>
      <c r="H133">
        <f t="shared" si="7"/>
        <v>135</v>
      </c>
      <c r="N133">
        <f t="shared" si="8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4"/>
        <v>277</v>
      </c>
      <c r="E134" s="41">
        <f>SUM(EH3:EH95)</f>
        <v>138</v>
      </c>
      <c r="F134" s="103">
        <f>SUM(EI3:EI95)</f>
        <v>139</v>
      </c>
      <c r="H134">
        <f t="shared" si="7"/>
        <v>139</v>
      </c>
      <c r="N134">
        <f t="shared" si="8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4"/>
        <v>285</v>
      </c>
      <c r="E135" s="41">
        <f>SUM(EL3:EL95)</f>
        <v>142</v>
      </c>
      <c r="F135" s="103">
        <f>SUM(EM3:EM95)</f>
        <v>143</v>
      </c>
      <c r="H135">
        <f t="shared" si="7"/>
        <v>143</v>
      </c>
      <c r="N135">
        <f t="shared" si="8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4"/>
        <v>293</v>
      </c>
      <c r="E136" s="41">
        <f>SUM(EP3:EP95)</f>
        <v>146</v>
      </c>
      <c r="F136" s="103">
        <f>SUM(EQ3:EQ95)</f>
        <v>147</v>
      </c>
      <c r="H136">
        <f t="shared" si="7"/>
        <v>147</v>
      </c>
      <c r="N136">
        <f t="shared" si="8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4"/>
        <v>301</v>
      </c>
      <c r="E137" s="41">
        <f>SUM(ET3:ET95)</f>
        <v>150</v>
      </c>
      <c r="F137" s="103">
        <f>SUM(EU3:EU95)</f>
        <v>151</v>
      </c>
      <c r="H137">
        <f t="shared" si="7"/>
        <v>151</v>
      </c>
      <c r="N137">
        <f t="shared" si="8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4"/>
        <v>309</v>
      </c>
      <c r="E138" s="41">
        <f>SUM(EX3:EX95)</f>
        <v>154</v>
      </c>
      <c r="F138" s="103">
        <f>SUM(EY3:EY95)</f>
        <v>155</v>
      </c>
      <c r="H138">
        <f t="shared" si="7"/>
        <v>155</v>
      </c>
      <c r="N138">
        <f t="shared" si="8"/>
        <v>0</v>
      </c>
    </row>
    <row r="139" spans="3:214" x14ac:dyDescent="0.25">
      <c r="C139" s="41">
        <f>COUNTA(FA1:FA95)</f>
        <v>1</v>
      </c>
      <c r="D139" s="41">
        <f t="shared" si="4"/>
        <v>317</v>
      </c>
      <c r="E139" s="41">
        <f>SUM(FB3:FB95)</f>
        <v>158</v>
      </c>
      <c r="F139" s="103">
        <f>SUM(FC3:FC95)</f>
        <v>159</v>
      </c>
      <c r="H139">
        <f t="shared" si="7"/>
        <v>159</v>
      </c>
      <c r="N139">
        <f t="shared" si="8"/>
        <v>0</v>
      </c>
    </row>
    <row r="140" spans="3:214" x14ac:dyDescent="0.25">
      <c r="C140" s="41">
        <f>COUNTA(FE1:FE95)</f>
        <v>1</v>
      </c>
      <c r="D140" s="41">
        <f t="shared" si="4"/>
        <v>325</v>
      </c>
      <c r="E140" s="41">
        <f>SUM(FF3:FF95)</f>
        <v>162</v>
      </c>
      <c r="F140" s="103">
        <f>SUM(FG3:FG95)</f>
        <v>163</v>
      </c>
      <c r="H140">
        <f t="shared" si="7"/>
        <v>163</v>
      </c>
      <c r="N140">
        <f t="shared" si="8"/>
        <v>0</v>
      </c>
    </row>
    <row r="141" spans="3:214" x14ac:dyDescent="0.25">
      <c r="C141" s="41">
        <f>COUNTA(FI1:FI95)</f>
        <v>1</v>
      </c>
      <c r="D141" s="41">
        <f t="shared" si="4"/>
        <v>333</v>
      </c>
      <c r="E141" s="41">
        <f>SUM(FJ3:FJ95)</f>
        <v>166</v>
      </c>
      <c r="F141" s="103">
        <f>SUM(FK3:FK95)</f>
        <v>167</v>
      </c>
      <c r="H141">
        <f t="shared" si="7"/>
        <v>167</v>
      </c>
      <c r="N141">
        <f t="shared" si="8"/>
        <v>0</v>
      </c>
    </row>
    <row r="142" spans="3:214" x14ac:dyDescent="0.25">
      <c r="C142" s="41">
        <f>COUNTA(FM1:FM95)</f>
        <v>1</v>
      </c>
      <c r="D142" s="41">
        <f t="shared" si="4"/>
        <v>341</v>
      </c>
      <c r="E142" s="41">
        <f>SUM(FN3:FN95)</f>
        <v>170</v>
      </c>
      <c r="F142" s="103">
        <f>SUM(FO3:FO95)</f>
        <v>171</v>
      </c>
      <c r="H142">
        <f t="shared" si="7"/>
        <v>171</v>
      </c>
      <c r="N142">
        <f t="shared" si="8"/>
        <v>0</v>
      </c>
    </row>
    <row r="143" spans="3:214" x14ac:dyDescent="0.25">
      <c r="C143" s="41">
        <f>COUNTA(FQ1:FQ95)</f>
        <v>1</v>
      </c>
      <c r="D143" s="41">
        <f t="shared" si="4"/>
        <v>349</v>
      </c>
      <c r="E143" s="41">
        <f>SUM(FR3:FR95)</f>
        <v>174</v>
      </c>
      <c r="F143" s="103">
        <f>SUM(FS3:FS95)</f>
        <v>175</v>
      </c>
      <c r="H143">
        <f t="shared" si="7"/>
        <v>175</v>
      </c>
      <c r="N143">
        <f t="shared" si="8"/>
        <v>0</v>
      </c>
    </row>
    <row r="144" spans="3:214" x14ac:dyDescent="0.25">
      <c r="C144" s="41">
        <f>COUNTA(FU1:FU95)</f>
        <v>1</v>
      </c>
      <c r="D144" s="41">
        <f t="shared" si="4"/>
        <v>357</v>
      </c>
      <c r="E144" s="41">
        <f>SUM(FV3:FV95)</f>
        <v>178</v>
      </c>
      <c r="F144" s="103">
        <f>SUM(FW3:FW95)</f>
        <v>179</v>
      </c>
      <c r="H144">
        <f t="shared" si="7"/>
        <v>179</v>
      </c>
      <c r="N144">
        <f t="shared" si="8"/>
        <v>0</v>
      </c>
    </row>
    <row r="145" spans="3:14" x14ac:dyDescent="0.25">
      <c r="C145" s="41">
        <f>COUNTA(FY1:FY95)</f>
        <v>1</v>
      </c>
      <c r="D145" s="41">
        <f t="shared" si="4"/>
        <v>365</v>
      </c>
      <c r="E145" s="41">
        <f>SUM(FZ3:FZ95)</f>
        <v>182</v>
      </c>
      <c r="F145" s="103">
        <f>SUM(GA3:GA95)</f>
        <v>183</v>
      </c>
      <c r="H145">
        <f t="shared" si="7"/>
        <v>183</v>
      </c>
      <c r="N145">
        <f t="shared" si="8"/>
        <v>0</v>
      </c>
    </row>
    <row r="146" spans="3:14" x14ac:dyDescent="0.25">
      <c r="C146" s="41">
        <f>COUNTA(GC1:GC95)</f>
        <v>1</v>
      </c>
      <c r="D146" s="41">
        <f t="shared" si="4"/>
        <v>373</v>
      </c>
      <c r="E146" s="41">
        <f>SUM(GD3:GD95)</f>
        <v>186</v>
      </c>
      <c r="F146" s="103">
        <f>SUM(GE3:GE95)</f>
        <v>187</v>
      </c>
      <c r="H146">
        <f t="shared" si="7"/>
        <v>187</v>
      </c>
      <c r="N146">
        <f t="shared" si="8"/>
        <v>0</v>
      </c>
    </row>
    <row r="147" spans="3:14" x14ac:dyDescent="0.25">
      <c r="C147" s="41">
        <f>COUNTA(GG1:GG95)</f>
        <v>1</v>
      </c>
      <c r="D147" s="41">
        <f t="shared" si="4"/>
        <v>381</v>
      </c>
      <c r="E147" s="41">
        <f>SUM(GH3:GH95)</f>
        <v>190</v>
      </c>
      <c r="F147" s="103">
        <f>SUM(GI3:GI95)</f>
        <v>191</v>
      </c>
      <c r="H147">
        <f t="shared" si="7"/>
        <v>191</v>
      </c>
      <c r="N147">
        <f t="shared" si="8"/>
        <v>0</v>
      </c>
    </row>
    <row r="148" spans="3:14" x14ac:dyDescent="0.25">
      <c r="C148" s="41">
        <f>COUNTA(GK1:GK95)</f>
        <v>1</v>
      </c>
      <c r="D148" s="41">
        <f t="shared" si="4"/>
        <v>389</v>
      </c>
      <c r="E148" s="41">
        <f>SUM(GL3:GL95)</f>
        <v>194</v>
      </c>
      <c r="F148" s="103">
        <f>SUM(GM3:GM95)</f>
        <v>195</v>
      </c>
      <c r="H148">
        <f t="shared" si="7"/>
        <v>195</v>
      </c>
      <c r="N148">
        <f t="shared" si="8"/>
        <v>0</v>
      </c>
    </row>
  </sheetData>
  <mergeCells count="2">
    <mergeCell ref="Q23:Q24"/>
    <mergeCell ref="W23:W2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0" customFormat="1" ht="30.75" customHeight="1" thickBot="1" x14ac:dyDescent="0.3">
      <c r="A1" s="178" t="s">
        <v>87</v>
      </c>
      <c r="B1" s="175"/>
      <c r="C1" s="153"/>
      <c r="D1" s="153"/>
      <c r="E1" s="154"/>
      <c r="F1" s="178" t="s">
        <v>88</v>
      </c>
      <c r="G1" s="176"/>
      <c r="H1" s="155"/>
      <c r="I1" s="156"/>
      <c r="J1" s="156"/>
      <c r="K1" s="156"/>
      <c r="L1" s="156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177" t="s">
        <v>91</v>
      </c>
      <c r="B2" s="161">
        <f>B12</f>
        <v>20000</v>
      </c>
      <c r="C2" s="155"/>
      <c r="D2" s="155"/>
      <c r="E2" s="162"/>
      <c r="F2" s="177" t="s">
        <v>91</v>
      </c>
      <c r="G2" s="161">
        <f>G12</f>
        <v>20000</v>
      </c>
      <c r="H2" s="155"/>
      <c r="I2" s="156"/>
      <c r="J2" s="156"/>
      <c r="K2" s="156"/>
      <c r="L2" s="156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63" t="s">
        <v>90</v>
      </c>
      <c r="B3" s="164">
        <f>SUM(B12:B62)</f>
        <v>20000</v>
      </c>
      <c r="C3" s="155"/>
      <c r="D3" s="155"/>
      <c r="E3" s="162"/>
      <c r="F3" s="163" t="s">
        <v>90</v>
      </c>
      <c r="G3" s="164">
        <f>SUM(G12:G62)</f>
        <v>22007</v>
      </c>
      <c r="H3" s="155"/>
      <c r="I3" s="156"/>
      <c r="J3" s="156"/>
      <c r="K3" s="156"/>
      <c r="L3" s="156"/>
      <c r="M3" s="156"/>
      <c r="N3" s="156"/>
      <c r="O3" s="156"/>
      <c r="P3" s="157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65" t="s">
        <v>96</v>
      </c>
      <c r="B4" s="166">
        <f>SUM(C12:C48)</f>
        <v>9500</v>
      </c>
      <c r="C4" s="155"/>
      <c r="D4" s="155"/>
      <c r="E4" s="162"/>
      <c r="F4" s="165" t="s">
        <v>96</v>
      </c>
      <c r="G4" s="166">
        <f>SUM(H12:H48)</f>
        <v>7000</v>
      </c>
      <c r="H4" s="155"/>
      <c r="I4" s="156"/>
      <c r="J4" s="156"/>
      <c r="K4" s="156"/>
      <c r="L4" s="156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167" t="s">
        <v>93</v>
      </c>
      <c r="B5" s="168">
        <f>SUM(B2:B3) - B4</f>
        <v>30500</v>
      </c>
      <c r="C5" s="155"/>
      <c r="D5" s="155"/>
      <c r="E5" s="162"/>
      <c r="F5" s="167" t="s">
        <v>93</v>
      </c>
      <c r="G5" s="168">
        <f>SUM(G2:G3) - G4</f>
        <v>35007</v>
      </c>
      <c r="H5" s="155"/>
      <c r="I5" s="156"/>
      <c r="J5" s="156"/>
      <c r="K5" s="156"/>
      <c r="L5" s="156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69" t="s">
        <v>15</v>
      </c>
      <c r="B6" s="170">
        <f>SUM(D12:D46)</f>
        <v>5385</v>
      </c>
      <c r="C6" s="155"/>
      <c r="D6" s="155"/>
      <c r="E6" s="162"/>
      <c r="F6" s="169" t="s">
        <v>15</v>
      </c>
      <c r="G6" s="170">
        <f>SUM(I12:I46)</f>
        <v>7710</v>
      </c>
      <c r="H6" s="155"/>
      <c r="I6" s="156"/>
      <c r="J6" s="156"/>
      <c r="K6" s="156"/>
      <c r="L6" s="156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71" t="s">
        <v>86</v>
      </c>
      <c r="B7" s="172">
        <f>SUM(E12:E46)</f>
        <v>1170</v>
      </c>
      <c r="C7" s="155"/>
      <c r="D7" s="155"/>
      <c r="E7" s="162"/>
      <c r="F7" s="171" t="s">
        <v>86</v>
      </c>
      <c r="G7" s="172">
        <f>SUM(J12:J46)</f>
        <v>7710</v>
      </c>
      <c r="H7" s="155"/>
      <c r="I7" s="156"/>
      <c r="J7" s="156"/>
      <c r="K7" s="156"/>
      <c r="L7" s="156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67" t="s">
        <v>16</v>
      </c>
      <c r="B8" s="168">
        <f>B6-B7</f>
        <v>4215</v>
      </c>
      <c r="C8" s="155"/>
      <c r="D8" s="155"/>
      <c r="E8" s="162"/>
      <c r="F8" s="167" t="s">
        <v>16</v>
      </c>
      <c r="G8" s="168">
        <f>G6-G7</f>
        <v>0</v>
      </c>
      <c r="H8" s="155"/>
      <c r="I8" s="156"/>
      <c r="J8" s="156"/>
      <c r="K8" s="156"/>
      <c r="L8" s="156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173" t="s">
        <v>85</v>
      </c>
      <c r="B9" s="174">
        <f>B5 + B8</f>
        <v>34715</v>
      </c>
      <c r="C9" s="156"/>
      <c r="D9" s="156"/>
      <c r="E9" s="162"/>
      <c r="F9" s="173" t="s">
        <v>85</v>
      </c>
      <c r="G9" s="174">
        <f>G5 + G8</f>
        <v>35007</v>
      </c>
      <c r="H9" s="156"/>
      <c r="I9" s="156"/>
      <c r="J9" s="156"/>
      <c r="K9" s="156"/>
      <c r="L9" s="156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U9" sqref="U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25" t="s">
        <v>79</v>
      </c>
      <c r="G2" s="225"/>
      <c r="H2" s="225"/>
      <c r="I2" s="225"/>
      <c r="J2" s="225"/>
      <c r="K2" s="14"/>
      <c r="L2" s="14"/>
      <c r="M2" s="30"/>
      <c r="O2" s="30"/>
      <c r="P2" s="32"/>
      <c r="Q2" s="32"/>
      <c r="R2" s="258" t="s">
        <v>80</v>
      </c>
      <c r="S2" s="258"/>
      <c r="T2" s="258"/>
      <c r="U2" s="258"/>
      <c r="V2" s="258"/>
      <c r="W2" s="258"/>
      <c r="X2" s="32"/>
      <c r="Y2" s="32"/>
      <c r="Z2" s="30"/>
      <c r="AB2" s="73"/>
      <c r="AC2" s="32"/>
      <c r="AD2" s="32"/>
      <c r="AE2" s="258" t="s">
        <v>70</v>
      </c>
      <c r="AF2" s="258"/>
      <c r="AG2" s="258"/>
      <c r="AH2" s="258"/>
      <c r="AI2" s="258"/>
      <c r="AJ2" s="258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25"/>
      <c r="G3" s="225"/>
      <c r="H3" s="225"/>
      <c r="I3" s="225"/>
      <c r="J3" s="225"/>
      <c r="K3" s="14"/>
      <c r="L3" s="14"/>
      <c r="M3" s="30"/>
      <c r="O3" s="30"/>
      <c r="P3" s="32"/>
      <c r="Q3" s="32"/>
      <c r="R3" s="260"/>
      <c r="S3" s="260"/>
      <c r="T3" s="260"/>
      <c r="U3" s="260"/>
      <c r="V3" s="260"/>
      <c r="W3" s="260"/>
      <c r="X3" s="32"/>
      <c r="Y3" s="32"/>
      <c r="Z3" s="30"/>
      <c r="AB3" s="73"/>
      <c r="AC3" s="32"/>
      <c r="AD3" s="32"/>
      <c r="AE3" s="259"/>
      <c r="AF3" s="259"/>
      <c r="AG3" s="259"/>
      <c r="AH3" s="259"/>
      <c r="AI3" s="259"/>
      <c r="AJ3" s="259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26">
        <f>U4+AH6+AH10</f>
        <v>2015000</v>
      </c>
      <c r="G4" s="227"/>
      <c r="H4" s="227"/>
      <c r="I4" s="227"/>
      <c r="J4" s="228"/>
      <c r="L4" s="14"/>
      <c r="M4" s="30"/>
      <c r="O4" s="30"/>
      <c r="P4" s="32"/>
      <c r="Q4" s="238" t="s">
        <v>59</v>
      </c>
      <c r="R4" s="239"/>
      <c r="S4" s="239"/>
      <c r="T4" s="240"/>
      <c r="U4" s="244">
        <f>U7 +U10</f>
        <v>935000</v>
      </c>
      <c r="V4" s="245"/>
      <c r="W4" s="245"/>
      <c r="X4" s="246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29"/>
      <c r="G5" s="230"/>
      <c r="H5" s="230"/>
      <c r="I5" s="230"/>
      <c r="J5" s="231"/>
      <c r="K5" s="14"/>
      <c r="L5" s="14"/>
      <c r="M5" s="30"/>
      <c r="O5" s="30"/>
      <c r="P5" s="32"/>
      <c r="Q5" s="241"/>
      <c r="R5" s="242"/>
      <c r="S5" s="242"/>
      <c r="T5" s="243"/>
      <c r="U5" s="247"/>
      <c r="V5" s="248"/>
      <c r="W5" s="248"/>
      <c r="X5" s="249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57"/>
      <c r="W6" s="256"/>
      <c r="X6" s="32"/>
      <c r="Y6" s="32"/>
      <c r="Z6" s="30"/>
      <c r="AB6" s="73"/>
      <c r="AC6" s="32"/>
      <c r="AD6" s="238" t="s">
        <v>69</v>
      </c>
      <c r="AE6" s="239"/>
      <c r="AF6" s="239"/>
      <c r="AG6" s="240"/>
      <c r="AH6" s="244">
        <v>980000</v>
      </c>
      <c r="AI6" s="245"/>
      <c r="AJ6" s="245"/>
      <c r="AK6" s="246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50" t="s">
        <v>54</v>
      </c>
      <c r="R7" s="251"/>
      <c r="S7" s="251"/>
      <c r="T7" s="252"/>
      <c r="U7" s="244">
        <v>35000</v>
      </c>
      <c r="V7" s="245"/>
      <c r="W7" s="245"/>
      <c r="X7" s="246"/>
      <c r="Y7" s="32"/>
      <c r="Z7" s="30"/>
      <c r="AB7" s="73"/>
      <c r="AC7" s="32"/>
      <c r="AD7" s="241"/>
      <c r="AE7" s="242"/>
      <c r="AF7" s="242"/>
      <c r="AG7" s="243"/>
      <c r="AH7" s="247"/>
      <c r="AI7" s="248"/>
      <c r="AJ7" s="248"/>
      <c r="AK7" s="249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53"/>
      <c r="R8" s="254"/>
      <c r="S8" s="254"/>
      <c r="T8" s="255"/>
      <c r="U8" s="247"/>
      <c r="V8" s="248"/>
      <c r="W8" s="248"/>
      <c r="X8" s="249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56"/>
      <c r="W9" s="256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50" t="s">
        <v>55</v>
      </c>
      <c r="R10" s="251"/>
      <c r="S10" s="251"/>
      <c r="T10" s="252"/>
      <c r="U10" s="244">
        <f>SUM(U13,U15,U17)</f>
        <v>900000</v>
      </c>
      <c r="V10" s="245"/>
      <c r="W10" s="245"/>
      <c r="X10" s="246"/>
      <c r="Y10" s="32"/>
      <c r="Z10" s="30"/>
      <c r="AB10" s="73"/>
      <c r="AC10" s="32"/>
      <c r="AD10" s="261" t="s">
        <v>77</v>
      </c>
      <c r="AE10" s="262"/>
      <c r="AF10" s="262"/>
      <c r="AG10" s="263"/>
      <c r="AH10" s="244">
        <v>100000</v>
      </c>
      <c r="AI10" s="245"/>
      <c r="AJ10" s="245"/>
      <c r="AK10" s="246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53"/>
      <c r="R11" s="254"/>
      <c r="S11" s="254"/>
      <c r="T11" s="255"/>
      <c r="U11" s="247"/>
      <c r="V11" s="248"/>
      <c r="W11" s="248"/>
      <c r="X11" s="249"/>
      <c r="Y11" s="32"/>
      <c r="Z11" s="30"/>
      <c r="AB11" s="73"/>
      <c r="AC11" s="32"/>
      <c r="AD11" s="264"/>
      <c r="AE11" s="265"/>
      <c r="AF11" s="265"/>
      <c r="AG11" s="266"/>
      <c r="AH11" s="270"/>
      <c r="AI11" s="271"/>
      <c r="AJ11" s="271"/>
      <c r="AK11" s="272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67"/>
      <c r="AE12" s="268"/>
      <c r="AF12" s="268"/>
      <c r="AG12" s="269"/>
      <c r="AH12" s="247"/>
      <c r="AI12" s="248"/>
      <c r="AJ12" s="248"/>
      <c r="AK12" s="249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32" t="s">
        <v>58</v>
      </c>
      <c r="S13" s="233"/>
      <c r="T13" s="234"/>
      <c r="U13" s="235">
        <v>300000</v>
      </c>
      <c r="V13" s="236"/>
      <c r="W13" s="237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32" t="s">
        <v>56</v>
      </c>
      <c r="S15" s="233"/>
      <c r="T15" s="234"/>
      <c r="U15" s="235">
        <v>300000</v>
      </c>
      <c r="V15" s="236"/>
      <c r="W15" s="237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32" t="s">
        <v>57</v>
      </c>
      <c r="S17" s="233"/>
      <c r="T17" s="234"/>
      <c r="U17" s="235">
        <v>300000</v>
      </c>
      <c r="V17" s="236"/>
      <c r="W17" s="237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C6" sqref="C6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81" t="s">
        <v>64</v>
      </c>
      <c r="B1" s="282"/>
      <c r="C1" s="282"/>
      <c r="D1" s="282"/>
      <c r="E1" s="282"/>
      <c r="F1" s="282"/>
      <c r="G1" s="282"/>
      <c r="H1" s="282"/>
      <c r="I1" s="283"/>
    </row>
    <row r="2" spans="1:9" ht="15.75" thickBot="1" x14ac:dyDescent="0.3">
      <c r="A2" s="284"/>
      <c r="B2" s="285"/>
      <c r="C2" s="285"/>
      <c r="D2" s="285"/>
      <c r="E2" s="285"/>
      <c r="F2" s="286"/>
      <c r="G2" s="286"/>
      <c r="H2" s="286"/>
      <c r="I2" s="287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88" t="s">
        <v>78</v>
      </c>
      <c r="G3" s="289"/>
      <c r="H3" s="289"/>
      <c r="I3" s="290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91"/>
      <c r="G4" s="292"/>
      <c r="H4" s="292"/>
      <c r="I4" s="293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94" t="s">
        <v>71</v>
      </c>
      <c r="G5" s="295"/>
      <c r="H5" s="295"/>
      <c r="I5" s="296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97"/>
      <c r="G6" s="298"/>
      <c r="H6" s="298"/>
      <c r="I6" s="299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73" t="s">
        <v>72</v>
      </c>
      <c r="G14" s="274"/>
      <c r="H14" s="300">
        <f>SUM(B4:B28)</f>
        <v>1.0000000000000002</v>
      </c>
      <c r="I14" s="301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75"/>
      <c r="G15" s="276"/>
      <c r="H15" s="302"/>
      <c r="I15" s="303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73" t="s">
        <v>73</v>
      </c>
      <c r="G16" s="274"/>
      <c r="H16" s="277">
        <f>SUM(C4:C28)</f>
        <v>840635</v>
      </c>
      <c r="I16" s="278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75"/>
      <c r="G17" s="276"/>
      <c r="H17" s="279"/>
      <c r="I17" s="280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B3" sqref="B3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1" zoomScale="85" zoomScaleNormal="85" workbookViewId="0">
      <selection activeCell="E62" sqref="E62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dimension ref="A1:H19"/>
  <sheetViews>
    <sheetView tabSelected="1" workbookViewId="0">
      <selection activeCell="M11" sqref="M11"/>
    </sheetView>
  </sheetViews>
  <sheetFormatPr defaultRowHeight="15" x14ac:dyDescent="0.25"/>
  <cols>
    <col min="1" max="3" width="13.28515625" style="209" customWidth="1"/>
    <col min="4" max="4" width="2.140625" style="116" customWidth="1"/>
    <col min="5" max="7" width="13.28515625" style="112" customWidth="1"/>
    <col min="8" max="8" width="2.28515625" style="116" customWidth="1"/>
    <col min="9" max="329" width="13.28515625" style="112" customWidth="1"/>
    <col min="330" max="16384" width="9.140625" style="112"/>
  </cols>
  <sheetData>
    <row r="1" spans="1:7" ht="30" customHeight="1" thickBot="1" x14ac:dyDescent="0.3">
      <c r="A1" s="218">
        <v>45321</v>
      </c>
      <c r="B1" s="219"/>
      <c r="E1" s="218">
        <v>45337</v>
      </c>
      <c r="F1" s="219"/>
      <c r="G1" s="209"/>
    </row>
    <row r="2" spans="1:7" ht="21.75" customHeight="1" thickBot="1" x14ac:dyDescent="0.3">
      <c r="E2" s="209"/>
      <c r="F2" s="209"/>
      <c r="G2" s="209"/>
    </row>
    <row r="3" spans="1:7" ht="28.5" customHeight="1" x14ac:dyDescent="0.25">
      <c r="A3" s="220" t="s">
        <v>5</v>
      </c>
      <c r="B3" s="221" t="s">
        <v>113</v>
      </c>
      <c r="C3" s="222" t="s">
        <v>11</v>
      </c>
      <c r="E3" s="220" t="s">
        <v>5</v>
      </c>
      <c r="F3" s="221" t="s">
        <v>113</v>
      </c>
      <c r="G3" s="222" t="s">
        <v>11</v>
      </c>
    </row>
    <row r="4" spans="1:7" ht="30" customHeight="1" thickBot="1" x14ac:dyDescent="0.3">
      <c r="A4" s="329">
        <f>SUM(B4:C4)</f>
        <v>8650</v>
      </c>
      <c r="B4" s="330">
        <f>SUM(B7:B114)</f>
        <v>1450</v>
      </c>
      <c r="C4" s="331">
        <f>SUM(C7:C114)</f>
        <v>7200</v>
      </c>
      <c r="E4" s="329">
        <f>SUM(F4:G4)</f>
        <v>6950</v>
      </c>
      <c r="F4" s="330">
        <f>SUM(F7:F114)</f>
        <v>1450</v>
      </c>
      <c r="G4" s="331">
        <f>SUM(G7:G114)</f>
        <v>5500</v>
      </c>
    </row>
    <row r="5" spans="1:7" x14ac:dyDescent="0.25">
      <c r="E5" s="209"/>
      <c r="F5" s="209"/>
      <c r="G5" s="209"/>
    </row>
    <row r="6" spans="1:7" ht="30" customHeight="1" x14ac:dyDescent="0.25">
      <c r="A6" s="326" t="s">
        <v>111</v>
      </c>
      <c r="B6" s="327" t="s">
        <v>112</v>
      </c>
      <c r="C6" s="328" t="s">
        <v>14</v>
      </c>
      <c r="E6" s="326" t="s">
        <v>111</v>
      </c>
      <c r="F6" s="327" t="s">
        <v>112</v>
      </c>
      <c r="G6" s="328" t="s">
        <v>14</v>
      </c>
    </row>
    <row r="7" spans="1:7" x14ac:dyDescent="0.25">
      <c r="A7" s="182" t="s">
        <v>0</v>
      </c>
      <c r="B7" s="182">
        <v>100</v>
      </c>
      <c r="C7" s="182">
        <v>2000</v>
      </c>
      <c r="E7" s="182" t="s">
        <v>0</v>
      </c>
      <c r="F7" s="182">
        <v>100</v>
      </c>
      <c r="G7" s="182">
        <v>0</v>
      </c>
    </row>
    <row r="8" spans="1:7" x14ac:dyDescent="0.25">
      <c r="A8" s="182" t="s">
        <v>114</v>
      </c>
      <c r="B8" s="182">
        <v>250</v>
      </c>
      <c r="C8" s="182">
        <v>0</v>
      </c>
      <c r="E8" s="182" t="s">
        <v>114</v>
      </c>
      <c r="F8" s="182">
        <v>250</v>
      </c>
      <c r="G8" s="182">
        <v>500</v>
      </c>
    </row>
    <row r="9" spans="1:7" x14ac:dyDescent="0.25">
      <c r="A9" s="182" t="s">
        <v>115</v>
      </c>
      <c r="B9" s="182">
        <v>150</v>
      </c>
      <c r="C9" s="182">
        <v>1000</v>
      </c>
      <c r="E9" s="182" t="s">
        <v>115</v>
      </c>
      <c r="F9" s="182">
        <v>150</v>
      </c>
      <c r="G9" s="182">
        <v>800</v>
      </c>
    </row>
    <row r="10" spans="1:7" x14ac:dyDescent="0.25">
      <c r="A10" s="182" t="s">
        <v>116</v>
      </c>
      <c r="B10" s="182">
        <v>200</v>
      </c>
      <c r="C10" s="182">
        <v>1500</v>
      </c>
      <c r="E10" s="182" t="s">
        <v>116</v>
      </c>
      <c r="F10" s="182">
        <v>200</v>
      </c>
      <c r="G10" s="182">
        <v>1000</v>
      </c>
    </row>
    <row r="11" spans="1:7" x14ac:dyDescent="0.25">
      <c r="A11" s="182" t="s">
        <v>118</v>
      </c>
      <c r="B11" s="182">
        <v>300</v>
      </c>
      <c r="C11" s="182">
        <v>500</v>
      </c>
      <c r="E11" s="182" t="s">
        <v>118</v>
      </c>
      <c r="F11" s="182">
        <v>300</v>
      </c>
      <c r="G11" s="182">
        <v>2000</v>
      </c>
    </row>
    <row r="12" spans="1:7" x14ac:dyDescent="0.25">
      <c r="A12" s="182" t="s">
        <v>119</v>
      </c>
      <c r="B12" s="182">
        <v>450</v>
      </c>
      <c r="C12" s="182">
        <v>2200</v>
      </c>
      <c r="E12" s="182" t="s">
        <v>119</v>
      </c>
      <c r="F12" s="182">
        <v>450</v>
      </c>
      <c r="G12" s="182">
        <v>1200</v>
      </c>
    </row>
    <row r="19" spans="6:6" x14ac:dyDescent="0.25">
      <c r="F19" s="11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4" t="s">
        <v>81</v>
      </c>
      <c r="C1" s="305"/>
      <c r="D1" s="305"/>
      <c r="E1" s="305"/>
      <c r="F1" s="305"/>
      <c r="G1" s="305"/>
      <c r="H1" s="306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07" t="s">
        <v>99</v>
      </c>
      <c r="C2" s="308"/>
      <c r="D2" s="308"/>
      <c r="E2" s="308"/>
      <c r="F2" s="308"/>
      <c r="G2" s="308"/>
      <c r="H2" s="308"/>
      <c r="I2" s="309"/>
      <c r="J2" s="112"/>
      <c r="K2" s="112"/>
    </row>
    <row r="3" spans="1:11" x14ac:dyDescent="0.25">
      <c r="A3" s="112"/>
      <c r="B3" s="310"/>
      <c r="C3" s="311"/>
      <c r="D3" s="311"/>
      <c r="E3" s="311"/>
      <c r="F3" s="311"/>
      <c r="G3" s="311"/>
      <c r="H3" s="311"/>
      <c r="I3" s="312"/>
      <c r="J3" s="112"/>
      <c r="K3" s="112"/>
    </row>
    <row r="4" spans="1:11" x14ac:dyDescent="0.25">
      <c r="A4" s="112"/>
      <c r="B4" s="310"/>
      <c r="C4" s="311"/>
      <c r="D4" s="311"/>
      <c r="E4" s="311"/>
      <c r="F4" s="311"/>
      <c r="G4" s="311"/>
      <c r="H4" s="311"/>
      <c r="I4" s="312"/>
      <c r="J4" s="112"/>
      <c r="K4" s="112"/>
    </row>
    <row r="5" spans="1:11" ht="15.75" thickBot="1" x14ac:dyDescent="0.3">
      <c r="A5" s="112"/>
      <c r="B5" s="313"/>
      <c r="C5" s="314"/>
      <c r="D5" s="314"/>
      <c r="E5" s="314"/>
      <c r="F5" s="314"/>
      <c r="G5" s="314"/>
      <c r="H5" s="314"/>
      <c r="I5" s="315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16" t="s">
        <v>103</v>
      </c>
      <c r="C19" s="317"/>
      <c r="D19" s="317"/>
      <c r="E19" s="317"/>
      <c r="F19" s="317"/>
      <c r="G19" s="317"/>
      <c r="H19" s="317"/>
      <c r="I19" s="318"/>
      <c r="J19" s="112"/>
      <c r="K19" s="112"/>
    </row>
    <row r="20" spans="1:11" ht="15.75" thickBot="1" x14ac:dyDescent="0.3">
      <c r="A20" s="112"/>
      <c r="B20" s="319"/>
      <c r="C20" s="320"/>
      <c r="D20" s="320"/>
      <c r="E20" s="320"/>
      <c r="F20" s="320"/>
      <c r="G20" s="320"/>
      <c r="H20" s="320"/>
      <c r="I20" s="321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07" t="s">
        <v>98</v>
      </c>
      <c r="C22" s="308"/>
      <c r="D22" s="308"/>
      <c r="E22" s="308"/>
      <c r="F22" s="308"/>
      <c r="G22" s="308"/>
      <c r="H22" s="308"/>
      <c r="I22" s="309"/>
      <c r="J22" s="112"/>
      <c r="K22" s="112"/>
    </row>
    <row r="23" spans="1:11" x14ac:dyDescent="0.25">
      <c r="A23" s="112"/>
      <c r="B23" s="310"/>
      <c r="C23" s="311"/>
      <c r="D23" s="311"/>
      <c r="E23" s="311"/>
      <c r="F23" s="311"/>
      <c r="G23" s="311"/>
      <c r="H23" s="311"/>
      <c r="I23" s="312"/>
      <c r="J23" s="112"/>
      <c r="K23" s="112"/>
    </row>
    <row r="24" spans="1:11" x14ac:dyDescent="0.25">
      <c r="A24" s="112"/>
      <c r="B24" s="310"/>
      <c r="C24" s="311"/>
      <c r="D24" s="311"/>
      <c r="E24" s="311"/>
      <c r="F24" s="311"/>
      <c r="G24" s="311"/>
      <c r="H24" s="311"/>
      <c r="I24" s="312"/>
      <c r="J24" s="112"/>
      <c r="K24" s="112"/>
    </row>
    <row r="25" spans="1:11" ht="15.75" thickBot="1" x14ac:dyDescent="0.3">
      <c r="A25" s="112"/>
      <c r="B25" s="313"/>
      <c r="C25" s="314"/>
      <c r="D25" s="314"/>
      <c r="E25" s="314"/>
      <c r="F25" s="314"/>
      <c r="G25" s="314"/>
      <c r="H25" s="314"/>
      <c r="I25" s="315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07" t="s">
        <v>100</v>
      </c>
      <c r="C44" s="308"/>
      <c r="D44" s="308"/>
      <c r="E44" s="308"/>
      <c r="F44" s="308"/>
      <c r="G44" s="308"/>
      <c r="H44" s="308"/>
      <c r="I44" s="309"/>
      <c r="J44" s="112"/>
      <c r="K44" s="112"/>
    </row>
    <row r="45" spans="1:11" x14ac:dyDescent="0.25">
      <c r="A45" s="112"/>
      <c r="B45" s="310"/>
      <c r="C45" s="311"/>
      <c r="D45" s="311"/>
      <c r="E45" s="311"/>
      <c r="F45" s="311"/>
      <c r="G45" s="311"/>
      <c r="H45" s="311"/>
      <c r="I45" s="312"/>
      <c r="J45" s="112"/>
      <c r="K45" s="112"/>
    </row>
    <row r="46" spans="1:11" x14ac:dyDescent="0.25">
      <c r="A46" s="112"/>
      <c r="B46" s="310"/>
      <c r="C46" s="311"/>
      <c r="D46" s="311"/>
      <c r="E46" s="311"/>
      <c r="F46" s="311"/>
      <c r="G46" s="311"/>
      <c r="H46" s="311"/>
      <c r="I46" s="312"/>
      <c r="J46" s="112"/>
      <c r="K46" s="112"/>
    </row>
    <row r="47" spans="1:11" ht="15.75" thickBot="1" x14ac:dyDescent="0.3">
      <c r="A47" s="112"/>
      <c r="B47" s="313"/>
      <c r="C47" s="314"/>
      <c r="D47" s="314"/>
      <c r="E47" s="314"/>
      <c r="F47" s="314"/>
      <c r="G47" s="314"/>
      <c r="H47" s="314"/>
      <c r="I47" s="315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07" t="s">
        <v>102</v>
      </c>
      <c r="C65" s="308"/>
      <c r="D65" s="308"/>
      <c r="E65" s="308"/>
      <c r="F65" s="308"/>
      <c r="G65" s="308"/>
      <c r="H65" s="308"/>
      <c r="I65" s="309"/>
      <c r="J65" s="112"/>
      <c r="K65" s="112"/>
    </row>
    <row r="66" spans="1:11" x14ac:dyDescent="0.25">
      <c r="A66" s="112"/>
      <c r="B66" s="310"/>
      <c r="C66" s="311"/>
      <c r="D66" s="311"/>
      <c r="E66" s="311"/>
      <c r="F66" s="311"/>
      <c r="G66" s="311"/>
      <c r="H66" s="311"/>
      <c r="I66" s="312"/>
      <c r="J66" s="112"/>
      <c r="K66" s="112"/>
    </row>
    <row r="67" spans="1:11" x14ac:dyDescent="0.25">
      <c r="A67" s="112"/>
      <c r="B67" s="310"/>
      <c r="C67" s="311"/>
      <c r="D67" s="311"/>
      <c r="E67" s="311"/>
      <c r="F67" s="311"/>
      <c r="G67" s="311"/>
      <c r="H67" s="311"/>
      <c r="I67" s="312"/>
      <c r="J67" s="112"/>
      <c r="K67" s="112"/>
    </row>
    <row r="68" spans="1:11" ht="15.75" thickBot="1" x14ac:dyDescent="0.3">
      <c r="A68" s="112"/>
      <c r="B68" s="313"/>
      <c r="C68" s="314"/>
      <c r="D68" s="314"/>
      <c r="E68" s="314"/>
      <c r="F68" s="314"/>
      <c r="G68" s="314"/>
      <c r="H68" s="314"/>
      <c r="I68" s="315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07" t="s">
        <v>101</v>
      </c>
      <c r="C74" s="308"/>
      <c r="D74" s="308"/>
      <c r="E74" s="308"/>
      <c r="F74" s="308"/>
      <c r="G74" s="308"/>
      <c r="H74" s="308"/>
      <c r="I74" s="309"/>
      <c r="J74" s="112"/>
      <c r="K74" s="112"/>
    </row>
    <row r="75" spans="1:11" x14ac:dyDescent="0.25">
      <c r="A75" s="112"/>
      <c r="B75" s="310"/>
      <c r="C75" s="311"/>
      <c r="D75" s="311"/>
      <c r="E75" s="311"/>
      <c r="F75" s="311"/>
      <c r="G75" s="311"/>
      <c r="H75" s="311"/>
      <c r="I75" s="312"/>
      <c r="J75" s="112"/>
      <c r="K75" s="112"/>
    </row>
    <row r="76" spans="1:11" x14ac:dyDescent="0.25">
      <c r="A76" s="112"/>
      <c r="B76" s="310"/>
      <c r="C76" s="311"/>
      <c r="D76" s="311"/>
      <c r="E76" s="311"/>
      <c r="F76" s="311"/>
      <c r="G76" s="311"/>
      <c r="H76" s="311"/>
      <c r="I76" s="312"/>
      <c r="J76" s="112"/>
      <c r="K76" s="112"/>
    </row>
    <row r="77" spans="1:11" ht="15.75" thickBot="1" x14ac:dyDescent="0.3">
      <c r="A77" s="112"/>
      <c r="B77" s="313"/>
      <c r="C77" s="314"/>
      <c r="D77" s="314"/>
      <c r="E77" s="314"/>
      <c r="F77" s="314"/>
      <c r="G77" s="314"/>
      <c r="H77" s="314"/>
      <c r="I77" s="315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Profit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2025-05-12T09:34:51Z</dcterms:modified>
</cp:coreProperties>
</file>