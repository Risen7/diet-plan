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P:\Assy_Maintenance\FOLMaint\General\Ryan\FYI and Instructions\"/>
    </mc:Choice>
  </mc:AlternateContent>
  <xr:revisionPtr revIDLastSave="0" documentId="13_ncr:1_{7C4776DD-CFC0-4A5D-BE83-7444F668921C}" xr6:coauthVersionLast="47" xr6:coauthVersionMax="47" xr10:uidLastSave="{00000000-0000-0000-0000-000000000000}"/>
  <bookViews>
    <workbookView xWindow="-120" yWindow="-120" windowWidth="29040" windowHeight="15720" tabRatio="593" activeTab="7" xr2:uid="{00000000-000D-0000-FFFF-FFFF00000000}"/>
  </bookViews>
  <sheets>
    <sheet name="Borrowers3" sheetId="12" r:id="rId1"/>
    <sheet name="Borrowers2" sheetId="9" r:id="rId2"/>
    <sheet name="Home" sheetId="1" r:id="rId3"/>
    <sheet name="Overview" sheetId="8" r:id="rId4"/>
    <sheet name="Savings2" sheetId="10" r:id="rId5"/>
    <sheet name="Savings" sheetId="2" r:id="rId6"/>
    <sheet name="Borrowers" sheetId="4" r:id="rId7"/>
    <sheet name="Profit" sheetId="13" r:id="rId8"/>
    <sheet name="Revenues" sheetId="5" r:id="rId9"/>
    <sheet name="data" sheetId="7" r:id="rId10"/>
    <sheet name="Process Flow" sheetId="11" r:id="rId1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4" i="13" l="1"/>
  <c r="E4" i="13" s="1"/>
  <c r="F4" i="13"/>
  <c r="V43" i="12"/>
  <c r="V42" i="12"/>
  <c r="V41" i="12"/>
  <c r="V40" i="12"/>
  <c r="V39" i="12"/>
  <c r="V38" i="12"/>
  <c r="V37" i="12"/>
  <c r="V36" i="12"/>
  <c r="V35" i="12"/>
  <c r="V34" i="12"/>
  <c r="V33" i="12"/>
  <c r="V32" i="12"/>
  <c r="V31" i="12"/>
  <c r="V30" i="12"/>
  <c r="V29" i="12"/>
  <c r="V28" i="12"/>
  <c r="V27" i="12"/>
  <c r="V26" i="12"/>
  <c r="V25" i="12"/>
  <c r="V24" i="12"/>
  <c r="V11" i="12"/>
  <c r="V12" i="12" s="1"/>
  <c r="V13" i="12" s="1"/>
  <c r="V14" i="12" s="1"/>
  <c r="V15" i="12" s="1"/>
  <c r="V16" i="12" s="1"/>
  <c r="V17" i="12" s="1"/>
  <c r="V18" i="12" s="1"/>
  <c r="V19" i="12" s="1"/>
  <c r="V20" i="12" s="1"/>
  <c r="V21" i="12" s="1"/>
  <c r="V22" i="12" s="1"/>
  <c r="V23" i="12" s="1"/>
  <c r="T7" i="12"/>
  <c r="U4" i="12"/>
  <c r="T4" i="12"/>
  <c r="S4" i="12"/>
  <c r="B4" i="13"/>
  <c r="C4" i="13"/>
  <c r="V4" i="12" l="1"/>
  <c r="S7" i="12"/>
  <c r="U7" i="12" s="1"/>
  <c r="V7" i="12" l="1"/>
  <c r="C6" i="8" l="1"/>
  <c r="H16" i="8"/>
  <c r="J25" i="12"/>
  <c r="J24" i="12"/>
  <c r="J23" i="12"/>
  <c r="D29" i="12"/>
  <c r="D28" i="12"/>
  <c r="D27" i="12"/>
  <c r="P29" i="12"/>
  <c r="P28" i="12"/>
  <c r="P27" i="12"/>
  <c r="P26" i="12"/>
  <c r="P25" i="12"/>
  <c r="N148" i="12"/>
  <c r="N147" i="12"/>
  <c r="N146" i="12"/>
  <c r="N145" i="12"/>
  <c r="N144" i="12"/>
  <c r="N143" i="12"/>
  <c r="N142" i="12"/>
  <c r="N141" i="12"/>
  <c r="N140" i="12"/>
  <c r="N139" i="12"/>
  <c r="N138" i="12"/>
  <c r="N137" i="12"/>
  <c r="N136" i="12"/>
  <c r="N135" i="12"/>
  <c r="N134" i="12"/>
  <c r="N133" i="12"/>
  <c r="N132" i="12"/>
  <c r="N131" i="12"/>
  <c r="N130" i="12"/>
  <c r="N129" i="12"/>
  <c r="N128" i="12"/>
  <c r="N127" i="12"/>
  <c r="N126" i="12"/>
  <c r="N125" i="12"/>
  <c r="N124" i="12"/>
  <c r="N123" i="12"/>
  <c r="N122" i="12"/>
  <c r="N121" i="12"/>
  <c r="N120" i="12"/>
  <c r="N119" i="12"/>
  <c r="N118" i="12"/>
  <c r="N117" i="12"/>
  <c r="N116" i="12"/>
  <c r="N115" i="12"/>
  <c r="N114" i="12"/>
  <c r="N113" i="12"/>
  <c r="N112" i="12"/>
  <c r="N111" i="12"/>
  <c r="N110" i="12"/>
  <c r="N109" i="12"/>
  <c r="N108" i="12"/>
  <c r="N107" i="12"/>
  <c r="N106" i="12"/>
  <c r="N105" i="12"/>
  <c r="N104" i="12"/>
  <c r="N103" i="12"/>
  <c r="N102" i="12"/>
  <c r="N101" i="12"/>
  <c r="N100" i="12"/>
  <c r="P43" i="12"/>
  <c r="P42" i="12"/>
  <c r="P41" i="12"/>
  <c r="P40" i="12"/>
  <c r="P39" i="12"/>
  <c r="P38" i="12"/>
  <c r="P37" i="12"/>
  <c r="P36" i="12"/>
  <c r="P35" i="12"/>
  <c r="P34" i="12"/>
  <c r="P33" i="12"/>
  <c r="P32" i="12"/>
  <c r="P31" i="12"/>
  <c r="P30" i="12"/>
  <c r="P11" i="12"/>
  <c r="P12" i="12" s="1"/>
  <c r="N7" i="12"/>
  <c r="E103" i="12" s="1"/>
  <c r="O4" i="12"/>
  <c r="N4" i="12"/>
  <c r="M4" i="12"/>
  <c r="H4" i="12"/>
  <c r="J43" i="12"/>
  <c r="J42" i="12"/>
  <c r="J41" i="12"/>
  <c r="J40" i="12"/>
  <c r="J39" i="12"/>
  <c r="J38" i="12"/>
  <c r="J37" i="12"/>
  <c r="J36" i="12"/>
  <c r="J35" i="12"/>
  <c r="J34" i="12"/>
  <c r="J33" i="12"/>
  <c r="J32" i="12"/>
  <c r="J31" i="12"/>
  <c r="J30" i="12"/>
  <c r="J29" i="12"/>
  <c r="J28" i="12"/>
  <c r="J27" i="12"/>
  <c r="J26" i="12"/>
  <c r="D43" i="12"/>
  <c r="D42" i="12"/>
  <c r="D41" i="12"/>
  <c r="D40" i="12"/>
  <c r="D39" i="12"/>
  <c r="D38" i="12"/>
  <c r="D37" i="12"/>
  <c r="D36" i="12"/>
  <c r="D35" i="12"/>
  <c r="D34" i="12"/>
  <c r="D33" i="12"/>
  <c r="D32" i="12"/>
  <c r="D31" i="12"/>
  <c r="D30" i="12"/>
  <c r="J11" i="12"/>
  <c r="J12" i="12" s="1"/>
  <c r="J13" i="12" s="1"/>
  <c r="J14" i="12" s="1"/>
  <c r="J15" i="12" s="1"/>
  <c r="J16" i="12" s="1"/>
  <c r="J17" i="12" s="1"/>
  <c r="J18" i="12" s="1"/>
  <c r="J19" i="12" s="1"/>
  <c r="J20" i="12" s="1"/>
  <c r="J21" i="12" s="1"/>
  <c r="J22" i="12" s="1"/>
  <c r="D11" i="12"/>
  <c r="D12" i="12" s="1"/>
  <c r="D13" i="12" s="1"/>
  <c r="D14" i="12" s="1"/>
  <c r="D15" i="12" s="1"/>
  <c r="D16" i="12" s="1"/>
  <c r="D17" i="12" s="1"/>
  <c r="D18" i="12" s="1"/>
  <c r="D19" i="12" s="1"/>
  <c r="D20" i="12" s="1"/>
  <c r="D21" i="12" s="1"/>
  <c r="D22" i="12" s="1"/>
  <c r="D23" i="12" s="1"/>
  <c r="D24" i="12" s="1"/>
  <c r="D25" i="12" s="1"/>
  <c r="D26" i="12" s="1"/>
  <c r="B4" i="12"/>
  <c r="H7" i="12"/>
  <c r="I4" i="12"/>
  <c r="G4" i="12"/>
  <c r="B7" i="12"/>
  <c r="C101" i="12"/>
  <c r="C4" i="12"/>
  <c r="F148" i="12"/>
  <c r="H148" i="12" s="1"/>
  <c r="D148" i="12" s="1"/>
  <c r="E148" i="12"/>
  <c r="C148" i="12"/>
  <c r="F147" i="12"/>
  <c r="H147" i="12" s="1"/>
  <c r="D147" i="12" s="1"/>
  <c r="E147" i="12"/>
  <c r="C147" i="12"/>
  <c r="F146" i="12"/>
  <c r="H146" i="12" s="1"/>
  <c r="D146" i="12" s="1"/>
  <c r="E146" i="12"/>
  <c r="C146" i="12"/>
  <c r="H145" i="12"/>
  <c r="F145" i="12"/>
  <c r="E145" i="12"/>
  <c r="D145" i="12"/>
  <c r="C145" i="12"/>
  <c r="H144" i="12"/>
  <c r="D144" i="12" s="1"/>
  <c r="F144" i="12"/>
  <c r="E144" i="12"/>
  <c r="C144" i="12"/>
  <c r="H143" i="12"/>
  <c r="F143" i="12"/>
  <c r="E143" i="12"/>
  <c r="D143" i="12" s="1"/>
  <c r="C143" i="12"/>
  <c r="H142" i="12"/>
  <c r="F142" i="12"/>
  <c r="E142" i="12"/>
  <c r="D142" i="12" s="1"/>
  <c r="C142" i="12"/>
  <c r="H141" i="12"/>
  <c r="F141" i="12"/>
  <c r="E141" i="12"/>
  <c r="D141" i="12" s="1"/>
  <c r="C141" i="12"/>
  <c r="H140" i="12"/>
  <c r="F140" i="12"/>
  <c r="E140" i="12"/>
  <c r="D140" i="12" s="1"/>
  <c r="C140" i="12"/>
  <c r="H139" i="12"/>
  <c r="F139" i="12"/>
  <c r="E139" i="12"/>
  <c r="D139" i="12" s="1"/>
  <c r="C139" i="12"/>
  <c r="F138" i="12"/>
  <c r="H138" i="12" s="1"/>
  <c r="E138" i="12"/>
  <c r="D138" i="12" s="1"/>
  <c r="C138" i="12"/>
  <c r="F137" i="12"/>
  <c r="H137" i="12" s="1"/>
  <c r="E137" i="12"/>
  <c r="D137" i="12" s="1"/>
  <c r="C137" i="12"/>
  <c r="F136" i="12"/>
  <c r="H136" i="12" s="1"/>
  <c r="D136" i="12" s="1"/>
  <c r="E136" i="12"/>
  <c r="C136" i="12"/>
  <c r="F135" i="12"/>
  <c r="H135" i="12" s="1"/>
  <c r="D135" i="12" s="1"/>
  <c r="E135" i="12"/>
  <c r="C135" i="12"/>
  <c r="F134" i="12"/>
  <c r="H134" i="12" s="1"/>
  <c r="D134" i="12" s="1"/>
  <c r="E134" i="12"/>
  <c r="C134" i="12"/>
  <c r="F133" i="12"/>
  <c r="H133" i="12" s="1"/>
  <c r="D133" i="12" s="1"/>
  <c r="E133" i="12"/>
  <c r="C133" i="12"/>
  <c r="H132" i="12"/>
  <c r="D132" i="12" s="1"/>
  <c r="F132" i="12"/>
  <c r="E132" i="12"/>
  <c r="C132" i="12"/>
  <c r="H131" i="12"/>
  <c r="F131" i="12"/>
  <c r="E131" i="12"/>
  <c r="D131" i="12"/>
  <c r="C131" i="12"/>
  <c r="H130" i="12"/>
  <c r="F130" i="12"/>
  <c r="E130" i="12"/>
  <c r="D130" i="12" s="1"/>
  <c r="C130" i="12"/>
  <c r="H129" i="12"/>
  <c r="F129" i="12"/>
  <c r="E129" i="12"/>
  <c r="D129" i="12" s="1"/>
  <c r="C129" i="12"/>
  <c r="H128" i="12"/>
  <c r="F128" i="12"/>
  <c r="E128" i="12"/>
  <c r="D128" i="12" s="1"/>
  <c r="C128" i="12"/>
  <c r="H127" i="12"/>
  <c r="F127" i="12"/>
  <c r="E127" i="12"/>
  <c r="D127" i="12" s="1"/>
  <c r="C127" i="12"/>
  <c r="F126" i="12"/>
  <c r="H126" i="12" s="1"/>
  <c r="E126" i="12"/>
  <c r="D126" i="12" s="1"/>
  <c r="C126" i="12"/>
  <c r="F125" i="12"/>
  <c r="H125" i="12" s="1"/>
  <c r="E125" i="12"/>
  <c r="D125" i="12" s="1"/>
  <c r="C125" i="12"/>
  <c r="F124" i="12"/>
  <c r="H124" i="12" s="1"/>
  <c r="E124" i="12"/>
  <c r="C124" i="12"/>
  <c r="F123" i="12"/>
  <c r="H123" i="12" s="1"/>
  <c r="D123" i="12" s="1"/>
  <c r="E123" i="12"/>
  <c r="C123" i="12"/>
  <c r="F122" i="12"/>
  <c r="H122" i="12" s="1"/>
  <c r="E122" i="12"/>
  <c r="D122" i="12" s="1"/>
  <c r="C122" i="12"/>
  <c r="F121" i="12"/>
  <c r="H121" i="12" s="1"/>
  <c r="D121" i="12" s="1"/>
  <c r="E121" i="12"/>
  <c r="C121" i="12"/>
  <c r="H120" i="12"/>
  <c r="D120" i="12" s="1"/>
  <c r="F120" i="12"/>
  <c r="E120" i="12"/>
  <c r="C120" i="12"/>
  <c r="F119" i="12"/>
  <c r="H119" i="12" s="1"/>
  <c r="D119" i="12" s="1"/>
  <c r="E119" i="12"/>
  <c r="C119" i="12"/>
  <c r="H118" i="12"/>
  <c r="F118" i="12"/>
  <c r="E118" i="12"/>
  <c r="D118" i="12" s="1"/>
  <c r="C118" i="12"/>
  <c r="H117" i="12"/>
  <c r="F117" i="12"/>
  <c r="E117" i="12"/>
  <c r="D117" i="12" s="1"/>
  <c r="C117" i="12"/>
  <c r="F116" i="12"/>
  <c r="H116" i="12" s="1"/>
  <c r="E116" i="12"/>
  <c r="D116" i="12" s="1"/>
  <c r="C116" i="12"/>
  <c r="H115" i="12"/>
  <c r="F115" i="12"/>
  <c r="E115" i="12"/>
  <c r="D115" i="12" s="1"/>
  <c r="C115" i="12"/>
  <c r="F114" i="12"/>
  <c r="H114" i="12" s="1"/>
  <c r="D114" i="12" s="1"/>
  <c r="E114" i="12"/>
  <c r="C114" i="12"/>
  <c r="F113" i="12"/>
  <c r="H113" i="12" s="1"/>
  <c r="E113" i="12"/>
  <c r="D113" i="12" s="1"/>
  <c r="C113" i="12"/>
  <c r="F112" i="12"/>
  <c r="H112" i="12" s="1"/>
  <c r="D112" i="12" s="1"/>
  <c r="E112" i="12"/>
  <c r="C112" i="12"/>
  <c r="F111" i="12"/>
  <c r="H111" i="12" s="1"/>
  <c r="D111" i="12" s="1"/>
  <c r="E111" i="12"/>
  <c r="C111" i="12"/>
  <c r="F110" i="12"/>
  <c r="H110" i="12" s="1"/>
  <c r="D110" i="12" s="1"/>
  <c r="E110" i="12"/>
  <c r="C110" i="12"/>
  <c r="F109" i="12"/>
  <c r="H109" i="12" s="1"/>
  <c r="D109" i="12" s="1"/>
  <c r="E109" i="12"/>
  <c r="C109" i="12"/>
  <c r="H108" i="12"/>
  <c r="D108" i="12" s="1"/>
  <c r="F108" i="12"/>
  <c r="E108" i="12"/>
  <c r="C108" i="12"/>
  <c r="F107" i="12"/>
  <c r="H107" i="12" s="1"/>
  <c r="E107" i="12"/>
  <c r="C107" i="12"/>
  <c r="H106" i="12"/>
  <c r="F106" i="12"/>
  <c r="E106" i="12"/>
  <c r="D106" i="12" s="1"/>
  <c r="C106" i="12"/>
  <c r="F105" i="12"/>
  <c r="H105" i="12" s="1"/>
  <c r="E105" i="12"/>
  <c r="C105" i="12"/>
  <c r="F104" i="12"/>
  <c r="H104" i="12" s="1"/>
  <c r="E104" i="12"/>
  <c r="C104" i="12"/>
  <c r="F102" i="12"/>
  <c r="H102" i="12" s="1"/>
  <c r="F101" i="12"/>
  <c r="H101" i="12" s="1"/>
  <c r="E101" i="12"/>
  <c r="F100" i="12"/>
  <c r="H100" i="12" s="1"/>
  <c r="E100" i="12"/>
  <c r="B100" i="12"/>
  <c r="A4" i="12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2" i="9"/>
  <c r="D23" i="9" s="1"/>
  <c r="D24" i="9" s="1"/>
  <c r="D25" i="9" s="1"/>
  <c r="D26" i="9" s="1"/>
  <c r="D27" i="9" s="1"/>
  <c r="D28" i="9" s="1"/>
  <c r="D18" i="9"/>
  <c r="D19" i="9" s="1"/>
  <c r="D20" i="9" s="1"/>
  <c r="D21" i="9" s="1"/>
  <c r="D14" i="9"/>
  <c r="D15" i="9" s="1"/>
  <c r="D16" i="9" s="1"/>
  <c r="D13" i="9"/>
  <c r="L8" i="7"/>
  <c r="B72" i="2"/>
  <c r="B71" i="2"/>
  <c r="B70" i="2"/>
  <c r="B69" i="2"/>
  <c r="B53" i="2"/>
  <c r="B52" i="2"/>
  <c r="T51" i="10"/>
  <c r="O51" i="10"/>
  <c r="N51" i="10"/>
  <c r="H51" i="10"/>
  <c r="B51" i="10"/>
  <c r="AA33" i="10"/>
  <c r="T33" i="10"/>
  <c r="Q33" i="10"/>
  <c r="P33" i="10"/>
  <c r="P51" i="10" s="1"/>
  <c r="O33" i="10"/>
  <c r="N33" i="10"/>
  <c r="H33" i="10"/>
  <c r="E33" i="10"/>
  <c r="D33" i="10"/>
  <c r="C33" i="10"/>
  <c r="B33" i="10"/>
  <c r="AA15" i="10"/>
  <c r="Z15" i="10"/>
  <c r="Z33" i="10" s="1"/>
  <c r="Y15" i="10"/>
  <c r="Y33" i="10" s="1"/>
  <c r="X15" i="10"/>
  <c r="W15" i="10"/>
  <c r="W33" i="10" s="1"/>
  <c r="V15" i="10"/>
  <c r="U15" i="10"/>
  <c r="U33" i="10" s="1"/>
  <c r="T15" i="10"/>
  <c r="S15" i="10"/>
  <c r="S33" i="10" s="1"/>
  <c r="R15" i="10"/>
  <c r="Q15" i="10"/>
  <c r="P15" i="10"/>
  <c r="O15" i="10"/>
  <c r="N15" i="10"/>
  <c r="M15" i="10"/>
  <c r="M33" i="10" s="1"/>
  <c r="L15" i="10"/>
  <c r="K15" i="10"/>
  <c r="K33" i="10" s="1"/>
  <c r="J15" i="10"/>
  <c r="J33" i="10" s="1"/>
  <c r="I15" i="10"/>
  <c r="I33" i="10" s="1"/>
  <c r="H15" i="10"/>
  <c r="G15" i="10"/>
  <c r="G33" i="10" s="1"/>
  <c r="F15" i="10"/>
  <c r="F33" i="10" s="1"/>
  <c r="E15" i="10"/>
  <c r="D15" i="10"/>
  <c r="C15" i="10"/>
  <c r="B15" i="10"/>
  <c r="E3" i="7"/>
  <c r="G7" i="9"/>
  <c r="G6" i="9"/>
  <c r="G8" i="9" s="1"/>
  <c r="G4" i="9"/>
  <c r="G3" i="9"/>
  <c r="G2" i="9"/>
  <c r="D104" i="12" l="1"/>
  <c r="D105" i="12"/>
  <c r="P4" i="12"/>
  <c r="P13" i="12"/>
  <c r="P14" i="12" s="1"/>
  <c r="P15" i="12" s="1"/>
  <c r="P16" i="12" s="1"/>
  <c r="P17" i="12" s="1"/>
  <c r="P18" i="12" s="1"/>
  <c r="P19" i="12" s="1"/>
  <c r="P20" i="12" s="1"/>
  <c r="P21" i="12" s="1"/>
  <c r="P22" i="12" s="1"/>
  <c r="P23" i="12" s="1"/>
  <c r="P24" i="12" s="1"/>
  <c r="G7" i="12"/>
  <c r="I7" i="12" s="1"/>
  <c r="J4" i="12"/>
  <c r="D4" i="12"/>
  <c r="D101" i="12"/>
  <c r="D100" i="12"/>
  <c r="D124" i="12"/>
  <c r="D107" i="12"/>
  <c r="G5" i="9"/>
  <c r="G9" i="9" s="1"/>
  <c r="I51" i="10"/>
  <c r="G51" i="10"/>
  <c r="J51" i="10"/>
  <c r="W51" i="10"/>
  <c r="M51" i="10"/>
  <c r="F51" i="10"/>
  <c r="S51" i="10"/>
  <c r="U51" i="10"/>
  <c r="K51" i="10"/>
  <c r="Y51" i="10"/>
  <c r="Z51" i="10"/>
  <c r="C16" i="10"/>
  <c r="R33" i="10"/>
  <c r="B16" i="10"/>
  <c r="Z16" i="10"/>
  <c r="Z17" i="10" s="1"/>
  <c r="V33" i="10"/>
  <c r="C51" i="10"/>
  <c r="AA51" i="10"/>
  <c r="D51" i="10"/>
  <c r="X33" i="10"/>
  <c r="E51" i="10"/>
  <c r="L33" i="10"/>
  <c r="B34" i="10" s="1"/>
  <c r="Q51" i="10"/>
  <c r="B7" i="9"/>
  <c r="B3" i="9"/>
  <c r="B4" i="9"/>
  <c r="B2" i="9"/>
  <c r="M7" i="12" l="1"/>
  <c r="O7" i="12" s="1"/>
  <c r="P7" i="12" s="1"/>
  <c r="J7" i="12"/>
  <c r="E102" i="12" s="1"/>
  <c r="D102" i="12" s="1"/>
  <c r="A7" i="12"/>
  <c r="C7" i="12" s="1"/>
  <c r="D7" i="12" s="1"/>
  <c r="C102" i="12"/>
  <c r="B6" i="9"/>
  <c r="B8" i="9" s="1"/>
  <c r="B5" i="9"/>
  <c r="N34" i="10"/>
  <c r="N35" i="10" s="1"/>
  <c r="O34" i="10"/>
  <c r="O35" i="10" s="1"/>
  <c r="T34" i="10"/>
  <c r="T35" i="10" s="1"/>
  <c r="G34" i="10"/>
  <c r="G35" i="10" s="1"/>
  <c r="H34" i="10"/>
  <c r="H35" i="10" s="1"/>
  <c r="F34" i="10"/>
  <c r="F35" i="10" s="1"/>
  <c r="Q34" i="10"/>
  <c r="Q35" i="10" s="1"/>
  <c r="S34" i="10"/>
  <c r="S35" i="10" s="1"/>
  <c r="AA34" i="10"/>
  <c r="AA35" i="10" s="1"/>
  <c r="I34" i="10"/>
  <c r="I35" i="10" s="1"/>
  <c r="M34" i="10"/>
  <c r="M35" i="10" s="1"/>
  <c r="K34" i="10"/>
  <c r="K35" i="10" s="1"/>
  <c r="E34" i="10"/>
  <c r="E35" i="10" s="1"/>
  <c r="C34" i="10"/>
  <c r="J34" i="10"/>
  <c r="J35" i="10" s="1"/>
  <c r="Y34" i="10"/>
  <c r="Y35" i="10" s="1"/>
  <c r="P34" i="10"/>
  <c r="P35" i="10" s="1"/>
  <c r="W34" i="10"/>
  <c r="W35" i="10" s="1"/>
  <c r="Z34" i="10"/>
  <c r="Z35" i="10" s="1"/>
  <c r="D34" i="10"/>
  <c r="D35" i="10" s="1"/>
  <c r="U34" i="10"/>
  <c r="U35" i="10" s="1"/>
  <c r="V51" i="10"/>
  <c r="V34" i="10"/>
  <c r="V35" i="10" s="1"/>
  <c r="I16" i="10"/>
  <c r="I17" i="10" s="1"/>
  <c r="E16" i="10"/>
  <c r="E17" i="10" s="1"/>
  <c r="Q16" i="10"/>
  <c r="Q17" i="10" s="1"/>
  <c r="T16" i="10"/>
  <c r="T17" i="10" s="1"/>
  <c r="P16" i="10"/>
  <c r="P17" i="10" s="1"/>
  <c r="U16" i="10"/>
  <c r="U17" i="10" s="1"/>
  <c r="D16" i="10"/>
  <c r="D17" i="10" s="1"/>
  <c r="H16" i="10"/>
  <c r="H17" i="10" s="1"/>
  <c r="M16" i="10"/>
  <c r="M17" i="10" s="1"/>
  <c r="V16" i="10"/>
  <c r="V17" i="10" s="1"/>
  <c r="R51" i="10"/>
  <c r="R34" i="10"/>
  <c r="R35" i="10" s="1"/>
  <c r="R16" i="10"/>
  <c r="R17" i="10" s="1"/>
  <c r="C17" i="10"/>
  <c r="Y16" i="10"/>
  <c r="Y17" i="10" s="1"/>
  <c r="X16" i="10"/>
  <c r="X17" i="10" s="1"/>
  <c r="AA16" i="10"/>
  <c r="AA17" i="10" s="1"/>
  <c r="G16" i="10"/>
  <c r="G17" i="10" s="1"/>
  <c r="N16" i="10"/>
  <c r="N17" i="10" s="1"/>
  <c r="L51" i="10"/>
  <c r="L34" i="10"/>
  <c r="L35" i="10" s="1"/>
  <c r="F16" i="10"/>
  <c r="F17" i="10" s="1"/>
  <c r="X51" i="10"/>
  <c r="X34" i="10"/>
  <c r="X35" i="10" s="1"/>
  <c r="K16" i="10"/>
  <c r="K17" i="10" s="1"/>
  <c r="W16" i="10"/>
  <c r="W17" i="10" s="1"/>
  <c r="J16" i="10"/>
  <c r="J17" i="10" s="1"/>
  <c r="S16" i="10"/>
  <c r="S17" i="10" s="1"/>
  <c r="L16" i="10"/>
  <c r="L17" i="10" s="1"/>
  <c r="O16" i="10"/>
  <c r="O17" i="10" s="1"/>
  <c r="F148" i="9"/>
  <c r="H148" i="9" s="1"/>
  <c r="E148" i="9"/>
  <c r="C148" i="9"/>
  <c r="F147" i="9"/>
  <c r="H147" i="9" s="1"/>
  <c r="D147" i="9" s="1"/>
  <c r="E147" i="9"/>
  <c r="C147" i="9"/>
  <c r="F146" i="9"/>
  <c r="H146" i="9" s="1"/>
  <c r="E146" i="9"/>
  <c r="C146" i="9"/>
  <c r="F145" i="9"/>
  <c r="H145" i="9" s="1"/>
  <c r="E145" i="9"/>
  <c r="D145" i="9" s="1"/>
  <c r="C145" i="9"/>
  <c r="F144" i="9"/>
  <c r="H144" i="9" s="1"/>
  <c r="D144" i="9" s="1"/>
  <c r="E144" i="9"/>
  <c r="C144" i="9"/>
  <c r="F143" i="9"/>
  <c r="H143" i="9" s="1"/>
  <c r="E143" i="9"/>
  <c r="C143" i="9"/>
  <c r="F142" i="9"/>
  <c r="H142" i="9" s="1"/>
  <c r="E142" i="9"/>
  <c r="C142" i="9"/>
  <c r="F141" i="9"/>
  <c r="H141" i="9" s="1"/>
  <c r="E141" i="9"/>
  <c r="C141" i="9"/>
  <c r="F140" i="9"/>
  <c r="H140" i="9" s="1"/>
  <c r="E140" i="9"/>
  <c r="C140" i="9"/>
  <c r="F139" i="9"/>
  <c r="H139" i="9" s="1"/>
  <c r="E139" i="9"/>
  <c r="C139" i="9"/>
  <c r="F138" i="9"/>
  <c r="H138" i="9" s="1"/>
  <c r="E138" i="9"/>
  <c r="C138" i="9"/>
  <c r="F137" i="9"/>
  <c r="H137" i="9" s="1"/>
  <c r="E137" i="9"/>
  <c r="C137" i="9"/>
  <c r="F136" i="9"/>
  <c r="H136" i="9" s="1"/>
  <c r="E136" i="9"/>
  <c r="C136" i="9"/>
  <c r="F135" i="9"/>
  <c r="H135" i="9" s="1"/>
  <c r="E135" i="9"/>
  <c r="C135" i="9"/>
  <c r="F134" i="9"/>
  <c r="H134" i="9" s="1"/>
  <c r="E134" i="9"/>
  <c r="C134" i="9"/>
  <c r="F133" i="9"/>
  <c r="H133" i="9" s="1"/>
  <c r="E133" i="9"/>
  <c r="C133" i="9"/>
  <c r="F132" i="9"/>
  <c r="H132" i="9" s="1"/>
  <c r="E132" i="9"/>
  <c r="C132" i="9"/>
  <c r="F131" i="9"/>
  <c r="H131" i="9" s="1"/>
  <c r="E131" i="9"/>
  <c r="C131" i="9"/>
  <c r="F130" i="9"/>
  <c r="H130" i="9" s="1"/>
  <c r="E130" i="9"/>
  <c r="C130" i="9"/>
  <c r="F129" i="9"/>
  <c r="H129" i="9" s="1"/>
  <c r="E129" i="9"/>
  <c r="C129" i="9"/>
  <c r="F128" i="9"/>
  <c r="H128" i="9" s="1"/>
  <c r="E128" i="9"/>
  <c r="C128" i="9"/>
  <c r="F127" i="9"/>
  <c r="H127" i="9" s="1"/>
  <c r="E127" i="9"/>
  <c r="C127" i="9"/>
  <c r="F126" i="9"/>
  <c r="H126" i="9" s="1"/>
  <c r="E126" i="9"/>
  <c r="C126" i="9"/>
  <c r="F125" i="9"/>
  <c r="H125" i="9" s="1"/>
  <c r="E125" i="9"/>
  <c r="C125" i="9"/>
  <c r="F124" i="9"/>
  <c r="H124" i="9" s="1"/>
  <c r="E124" i="9"/>
  <c r="C124" i="9"/>
  <c r="F123" i="9"/>
  <c r="H123" i="9" s="1"/>
  <c r="E123" i="9"/>
  <c r="C123" i="9"/>
  <c r="F122" i="9"/>
  <c r="H122" i="9" s="1"/>
  <c r="E122" i="9"/>
  <c r="C122" i="9"/>
  <c r="F121" i="9"/>
  <c r="H121" i="9" s="1"/>
  <c r="E121" i="9"/>
  <c r="C121" i="9"/>
  <c r="F120" i="9"/>
  <c r="H120" i="9" s="1"/>
  <c r="E120" i="9"/>
  <c r="C120" i="9"/>
  <c r="F119" i="9"/>
  <c r="H119" i="9" s="1"/>
  <c r="E119" i="9"/>
  <c r="C119" i="9"/>
  <c r="F118" i="9"/>
  <c r="H118" i="9" s="1"/>
  <c r="E118" i="9"/>
  <c r="C118" i="9"/>
  <c r="F117" i="9"/>
  <c r="H117" i="9" s="1"/>
  <c r="E117" i="9"/>
  <c r="C117" i="9"/>
  <c r="F116" i="9"/>
  <c r="H116" i="9" s="1"/>
  <c r="E116" i="9"/>
  <c r="C116" i="9"/>
  <c r="F115" i="9"/>
  <c r="H115" i="9" s="1"/>
  <c r="E115" i="9"/>
  <c r="C115" i="9"/>
  <c r="F114" i="9"/>
  <c r="H114" i="9" s="1"/>
  <c r="E114" i="9"/>
  <c r="C114" i="9"/>
  <c r="F113" i="9"/>
  <c r="H113" i="9" s="1"/>
  <c r="D113" i="9" s="1"/>
  <c r="E113" i="9"/>
  <c r="C113" i="9"/>
  <c r="F112" i="9"/>
  <c r="H112" i="9" s="1"/>
  <c r="E112" i="9"/>
  <c r="C112" i="9"/>
  <c r="F111" i="9"/>
  <c r="H111" i="9" s="1"/>
  <c r="E111" i="9"/>
  <c r="D111" i="9" s="1"/>
  <c r="C111" i="9"/>
  <c r="F110" i="9"/>
  <c r="H110" i="9" s="1"/>
  <c r="E110" i="9"/>
  <c r="C110" i="9"/>
  <c r="F109" i="9"/>
  <c r="H109" i="9" s="1"/>
  <c r="E109" i="9"/>
  <c r="C109" i="9"/>
  <c r="F108" i="9"/>
  <c r="H108" i="9" s="1"/>
  <c r="E108" i="9"/>
  <c r="C108" i="9"/>
  <c r="F107" i="9"/>
  <c r="H107" i="9" s="1"/>
  <c r="E107" i="9"/>
  <c r="C107" i="9"/>
  <c r="F106" i="9"/>
  <c r="H106" i="9" s="1"/>
  <c r="E106" i="9"/>
  <c r="C106" i="9"/>
  <c r="F105" i="9"/>
  <c r="H105" i="9" s="1"/>
  <c r="E105" i="9"/>
  <c r="C105" i="9"/>
  <c r="F104" i="9"/>
  <c r="H104" i="9" s="1"/>
  <c r="E104" i="9"/>
  <c r="C104" i="9"/>
  <c r="F103" i="9"/>
  <c r="H103" i="9" s="1"/>
  <c r="E103" i="9"/>
  <c r="D103" i="9" s="1"/>
  <c r="C103" i="9"/>
  <c r="F102" i="9"/>
  <c r="H102" i="9" s="1"/>
  <c r="E102" i="9"/>
  <c r="C102" i="9"/>
  <c r="F101" i="9"/>
  <c r="H101" i="9" s="1"/>
  <c r="E101" i="9"/>
  <c r="C101" i="9"/>
  <c r="F100" i="9"/>
  <c r="H100" i="9" s="1"/>
  <c r="E100" i="9"/>
  <c r="C100" i="9"/>
  <c r="B100" i="9"/>
  <c r="B51" i="2"/>
  <c r="C103" i="12" l="1"/>
  <c r="C100" i="12"/>
  <c r="D146" i="9"/>
  <c r="D112" i="9"/>
  <c r="D128" i="9"/>
  <c r="D105" i="9"/>
  <c r="D109" i="9"/>
  <c r="D136" i="9"/>
  <c r="D120" i="9"/>
  <c r="D148" i="9"/>
  <c r="B9" i="9"/>
  <c r="R52" i="10"/>
  <c r="R53" i="10" s="1"/>
  <c r="C35" i="10"/>
  <c r="B35" i="10" s="1"/>
  <c r="B36" i="10"/>
  <c r="L52" i="10"/>
  <c r="L53" i="10" s="1"/>
  <c r="B17" i="10"/>
  <c r="B52" i="10"/>
  <c r="B18" i="10"/>
  <c r="D102" i="9"/>
  <c r="D117" i="9"/>
  <c r="D101" i="9"/>
  <c r="D126" i="9"/>
  <c r="D131" i="9"/>
  <c r="D134" i="9"/>
  <c r="D139" i="9"/>
  <c r="D142" i="9"/>
  <c r="D118" i="9"/>
  <c r="D104" i="9"/>
  <c r="D110" i="9"/>
  <c r="D116" i="9"/>
  <c r="D121" i="9"/>
  <c r="D124" i="9"/>
  <c r="D129" i="9"/>
  <c r="D132" i="9"/>
  <c r="D137" i="9"/>
  <c r="D140" i="9"/>
  <c r="D125" i="9"/>
  <c r="D133" i="9"/>
  <c r="D141" i="9"/>
  <c r="D106" i="9"/>
  <c r="D115" i="9"/>
  <c r="D123" i="9"/>
  <c r="D108" i="9"/>
  <c r="D114" i="9"/>
  <c r="D119" i="9"/>
  <c r="D122" i="9"/>
  <c r="D127" i="9"/>
  <c r="D130" i="9"/>
  <c r="D135" i="9"/>
  <c r="D138" i="9"/>
  <c r="D143" i="9"/>
  <c r="D100" i="9"/>
  <c r="D107" i="9"/>
  <c r="B100" i="4"/>
  <c r="L7" i="7"/>
  <c r="L6" i="7"/>
  <c r="L5" i="7"/>
  <c r="H126" i="4"/>
  <c r="H127" i="4"/>
  <c r="H128" i="4"/>
  <c r="H129" i="4"/>
  <c r="H130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03" i="4"/>
  <c r="H102" i="4"/>
  <c r="H101" i="4"/>
  <c r="F102" i="4"/>
  <c r="E102" i="4"/>
  <c r="C102" i="4"/>
  <c r="K3" i="7"/>
  <c r="F103" i="4"/>
  <c r="E103" i="4"/>
  <c r="C103" i="4"/>
  <c r="F105" i="4"/>
  <c r="E105" i="4"/>
  <c r="C105" i="4"/>
  <c r="F101" i="4"/>
  <c r="E101" i="4"/>
  <c r="C101" i="4"/>
  <c r="F103" i="12" l="1"/>
  <c r="H103" i="12" s="1"/>
  <c r="D103" i="12" s="1"/>
  <c r="O52" i="10"/>
  <c r="O53" i="10" s="1"/>
  <c r="N52" i="10"/>
  <c r="N53" i="10" s="1"/>
  <c r="P52" i="10"/>
  <c r="P53" i="10" s="1"/>
  <c r="T52" i="10"/>
  <c r="T53" i="10" s="1"/>
  <c r="H52" i="10"/>
  <c r="H53" i="10" s="1"/>
  <c r="D52" i="10"/>
  <c r="D53" i="10" s="1"/>
  <c r="Z52" i="10"/>
  <c r="Z53" i="10" s="1"/>
  <c r="W52" i="10"/>
  <c r="W53" i="10" s="1"/>
  <c r="E52" i="10"/>
  <c r="E53" i="10" s="1"/>
  <c r="Q52" i="10"/>
  <c r="Q53" i="10" s="1"/>
  <c r="I52" i="10"/>
  <c r="I53" i="10" s="1"/>
  <c r="M52" i="10"/>
  <c r="M53" i="10" s="1"/>
  <c r="G52" i="10"/>
  <c r="G53" i="10" s="1"/>
  <c r="C52" i="10"/>
  <c r="J52" i="10"/>
  <c r="J53" i="10" s="1"/>
  <c r="S52" i="10"/>
  <c r="S53" i="10" s="1"/>
  <c r="AA52" i="10"/>
  <c r="AA53" i="10" s="1"/>
  <c r="U52" i="10"/>
  <c r="U53" i="10" s="1"/>
  <c r="Y52" i="10"/>
  <c r="Y53" i="10" s="1"/>
  <c r="K52" i="10"/>
  <c r="K53" i="10" s="1"/>
  <c r="F52" i="10"/>
  <c r="F53" i="10" s="1"/>
  <c r="V52" i="10"/>
  <c r="V53" i="10" s="1"/>
  <c r="X52" i="10"/>
  <c r="X53" i="10" s="1"/>
  <c r="L10" i="7"/>
  <c r="L9" i="7"/>
  <c r="F104" i="4"/>
  <c r="E104" i="4"/>
  <c r="C104" i="4"/>
  <c r="F106" i="4"/>
  <c r="E106" i="4"/>
  <c r="C106" i="4"/>
  <c r="F107" i="4"/>
  <c r="E107" i="4"/>
  <c r="C107" i="4"/>
  <c r="L3" i="7"/>
  <c r="L4" i="7"/>
  <c r="F108" i="4"/>
  <c r="E108" i="4"/>
  <c r="C108" i="4"/>
  <c r="B54" i="10" l="1"/>
  <c r="C53" i="10"/>
  <c r="S4" i="7"/>
  <c r="S5" i="7"/>
  <c r="S6" i="7"/>
  <c r="S7" i="7"/>
  <c r="S8" i="7"/>
  <c r="S9" i="7"/>
  <c r="S10" i="7"/>
  <c r="S11" i="7"/>
  <c r="S12" i="7"/>
  <c r="S13" i="7"/>
  <c r="S14" i="7"/>
  <c r="S15" i="7"/>
  <c r="S16" i="7"/>
  <c r="S17" i="7"/>
  <c r="S18" i="7"/>
  <c r="S19" i="7"/>
  <c r="S20" i="7"/>
  <c r="S3" i="7"/>
  <c r="D104" i="4"/>
  <c r="C100" i="4"/>
  <c r="M3" i="7"/>
  <c r="O51" i="7"/>
  <c r="Q51" i="7" s="1"/>
  <c r="N51" i="7"/>
  <c r="M51" i="7" s="1"/>
  <c r="O50" i="7"/>
  <c r="Q50" i="7" s="1"/>
  <c r="N50" i="7"/>
  <c r="M50" i="7" s="1"/>
  <c r="O49" i="7"/>
  <c r="Q49" i="7" s="1"/>
  <c r="N49" i="7"/>
  <c r="M49" i="7" s="1"/>
  <c r="O48" i="7"/>
  <c r="Q48" i="7" s="1"/>
  <c r="N48" i="7"/>
  <c r="M48" i="7" s="1"/>
  <c r="O47" i="7"/>
  <c r="Q47" i="7" s="1"/>
  <c r="N47" i="7"/>
  <c r="M47" i="7" s="1"/>
  <c r="O46" i="7"/>
  <c r="Q46" i="7" s="1"/>
  <c r="N46" i="7"/>
  <c r="M46" i="7" s="1"/>
  <c r="O45" i="7"/>
  <c r="Q45" i="7" s="1"/>
  <c r="N45" i="7"/>
  <c r="M45" i="7" s="1"/>
  <c r="O44" i="7"/>
  <c r="Q44" i="7" s="1"/>
  <c r="N44" i="7"/>
  <c r="M44" i="7"/>
  <c r="O43" i="7"/>
  <c r="Q43" i="7" s="1"/>
  <c r="N43" i="7"/>
  <c r="M43" i="7" s="1"/>
  <c r="O42" i="7"/>
  <c r="Q42" i="7" s="1"/>
  <c r="N42" i="7"/>
  <c r="M42" i="7" s="1"/>
  <c r="O41" i="7"/>
  <c r="Q41" i="7" s="1"/>
  <c r="N41" i="7"/>
  <c r="M41" i="7" s="1"/>
  <c r="O40" i="7"/>
  <c r="Q40" i="7" s="1"/>
  <c r="N40" i="7"/>
  <c r="M40" i="7" s="1"/>
  <c r="O39" i="7"/>
  <c r="Q39" i="7" s="1"/>
  <c r="N39" i="7"/>
  <c r="M39" i="7" s="1"/>
  <c r="O38" i="7"/>
  <c r="Q38" i="7" s="1"/>
  <c r="N38" i="7"/>
  <c r="M38" i="7" s="1"/>
  <c r="O37" i="7"/>
  <c r="Q37" i="7" s="1"/>
  <c r="N37" i="7"/>
  <c r="M37" i="7" s="1"/>
  <c r="O36" i="7"/>
  <c r="Q36" i="7" s="1"/>
  <c r="N36" i="7"/>
  <c r="M36" i="7" s="1"/>
  <c r="O35" i="7"/>
  <c r="Q35" i="7" s="1"/>
  <c r="N35" i="7"/>
  <c r="M35" i="7" s="1"/>
  <c r="O34" i="7"/>
  <c r="Q34" i="7" s="1"/>
  <c r="N34" i="7"/>
  <c r="M34" i="7" s="1"/>
  <c r="O33" i="7"/>
  <c r="Q33" i="7" s="1"/>
  <c r="N33" i="7"/>
  <c r="M33" i="7" s="1"/>
  <c r="O32" i="7"/>
  <c r="Q32" i="7" s="1"/>
  <c r="N32" i="7"/>
  <c r="M32" i="7"/>
  <c r="O31" i="7"/>
  <c r="Q31" i="7" s="1"/>
  <c r="N31" i="7"/>
  <c r="M31" i="7" s="1"/>
  <c r="O30" i="7"/>
  <c r="Q30" i="7" s="1"/>
  <c r="N30" i="7"/>
  <c r="M30" i="7" s="1"/>
  <c r="O29" i="7"/>
  <c r="Q29" i="7" s="1"/>
  <c r="N29" i="7"/>
  <c r="M29" i="7" s="1"/>
  <c r="O28" i="7"/>
  <c r="Q28" i="7" s="1"/>
  <c r="N28" i="7"/>
  <c r="M28" i="7" s="1"/>
  <c r="O27" i="7"/>
  <c r="Q27" i="7" s="1"/>
  <c r="N27" i="7"/>
  <c r="M27" i="7" s="1"/>
  <c r="O26" i="7"/>
  <c r="Q26" i="7" s="1"/>
  <c r="N26" i="7"/>
  <c r="M26" i="7" s="1"/>
  <c r="O25" i="7"/>
  <c r="Q25" i="7" s="1"/>
  <c r="N25" i="7"/>
  <c r="M25" i="7" s="1"/>
  <c r="O24" i="7"/>
  <c r="Q24" i="7" s="1"/>
  <c r="N24" i="7"/>
  <c r="M24" i="7" s="1"/>
  <c r="O23" i="7"/>
  <c r="Q23" i="7" s="1"/>
  <c r="N23" i="7"/>
  <c r="M23" i="7" s="1"/>
  <c r="O22" i="7"/>
  <c r="Q22" i="7" s="1"/>
  <c r="N22" i="7"/>
  <c r="M22" i="7" s="1"/>
  <c r="O21" i="7"/>
  <c r="Q21" i="7" s="1"/>
  <c r="N21" i="7"/>
  <c r="M21" i="7" s="1"/>
  <c r="O20" i="7"/>
  <c r="Q20" i="7" s="1"/>
  <c r="N20" i="7"/>
  <c r="M20" i="7"/>
  <c r="O19" i="7"/>
  <c r="Q19" i="7" s="1"/>
  <c r="N19" i="7"/>
  <c r="M19" i="7" s="1"/>
  <c r="O18" i="7"/>
  <c r="Q18" i="7" s="1"/>
  <c r="N18" i="7"/>
  <c r="M18" i="7" s="1"/>
  <c r="O17" i="7"/>
  <c r="Q17" i="7" s="1"/>
  <c r="N17" i="7"/>
  <c r="M17" i="7" s="1"/>
  <c r="O16" i="7"/>
  <c r="Q16" i="7" s="1"/>
  <c r="N16" i="7"/>
  <c r="M16" i="7" s="1"/>
  <c r="O15" i="7"/>
  <c r="Q15" i="7" s="1"/>
  <c r="N15" i="7"/>
  <c r="M15" i="7" s="1"/>
  <c r="O14" i="7"/>
  <c r="Q14" i="7" s="1"/>
  <c r="N14" i="7"/>
  <c r="M14" i="7" s="1"/>
  <c r="O13" i="7"/>
  <c r="Q13" i="7" s="1"/>
  <c r="N13" i="7"/>
  <c r="M13" i="7" s="1"/>
  <c r="O12" i="7"/>
  <c r="Q12" i="7" s="1"/>
  <c r="N12" i="7"/>
  <c r="M12" i="7" s="1"/>
  <c r="O11" i="7"/>
  <c r="Q11" i="7" s="1"/>
  <c r="N11" i="7"/>
  <c r="M11" i="7" s="1"/>
  <c r="O10" i="7"/>
  <c r="Q10" i="7" s="1"/>
  <c r="N10" i="7"/>
  <c r="M10" i="7" s="1"/>
  <c r="O9" i="7"/>
  <c r="Q9" i="7" s="1"/>
  <c r="N9" i="7"/>
  <c r="M9" i="7" s="1"/>
  <c r="O8" i="7"/>
  <c r="Q8" i="7" s="1"/>
  <c r="N8" i="7"/>
  <c r="M8" i="7" s="1"/>
  <c r="O7" i="7"/>
  <c r="Q7" i="7" s="1"/>
  <c r="N7" i="7"/>
  <c r="M7" i="7" s="1"/>
  <c r="O6" i="7"/>
  <c r="Q6" i="7" s="1"/>
  <c r="N6" i="7"/>
  <c r="M6" i="7" s="1"/>
  <c r="O5" i="7"/>
  <c r="Q5" i="7" s="1"/>
  <c r="N5" i="7"/>
  <c r="M5" i="7" s="1"/>
  <c r="O4" i="7"/>
  <c r="Q4" i="7" s="1"/>
  <c r="N4" i="7"/>
  <c r="M4" i="7" s="1"/>
  <c r="O3" i="7"/>
  <c r="Q3" i="7" s="1"/>
  <c r="N3" i="7"/>
  <c r="B53" i="10" l="1"/>
  <c r="U10" i="1"/>
  <c r="N51" i="2"/>
  <c r="O51" i="2"/>
  <c r="G3" i="7"/>
  <c r="H3" i="7" s="1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Z33" i="2"/>
  <c r="Z51" i="2" s="1"/>
  <c r="X33" i="2"/>
  <c r="V33" i="2"/>
  <c r="V51" i="2" s="1"/>
  <c r="T33" i="2"/>
  <c r="R33" i="2"/>
  <c r="R51" i="2" s="1"/>
  <c r="P33" i="2"/>
  <c r="O33" i="2"/>
  <c r="N33" i="2"/>
  <c r="L33" i="2"/>
  <c r="L51" i="2" s="1"/>
  <c r="J33" i="2"/>
  <c r="H33" i="2"/>
  <c r="H51" i="2" s="1"/>
  <c r="F33" i="2"/>
  <c r="F51" i="2" s="1"/>
  <c r="D33" i="2"/>
  <c r="D51" i="2" s="1"/>
  <c r="B33" i="2"/>
  <c r="B15" i="2"/>
  <c r="C15" i="2"/>
  <c r="C33" i="2" s="1"/>
  <c r="D15" i="2"/>
  <c r="E15" i="2"/>
  <c r="E33" i="2" s="1"/>
  <c r="F15" i="2"/>
  <c r="G15" i="2"/>
  <c r="G33" i="2" s="1"/>
  <c r="H15" i="2"/>
  <c r="I15" i="2"/>
  <c r="I33" i="2" s="1"/>
  <c r="J15" i="2"/>
  <c r="K15" i="2"/>
  <c r="K33" i="2" s="1"/>
  <c r="L15" i="2"/>
  <c r="M15" i="2"/>
  <c r="M33" i="2" s="1"/>
  <c r="N15" i="2"/>
  <c r="O15" i="2"/>
  <c r="P15" i="2"/>
  <c r="Q15" i="2"/>
  <c r="Q33" i="2" s="1"/>
  <c r="R15" i="2"/>
  <c r="S15" i="2"/>
  <c r="S33" i="2" s="1"/>
  <c r="T15" i="2"/>
  <c r="U15" i="2"/>
  <c r="U33" i="2" s="1"/>
  <c r="V15" i="2"/>
  <c r="W15" i="2"/>
  <c r="W33" i="2" s="1"/>
  <c r="X15" i="2"/>
  <c r="Y15" i="2"/>
  <c r="Y33" i="2" s="1"/>
  <c r="Z15" i="2"/>
  <c r="AA15" i="2"/>
  <c r="AA33" i="2" s="1"/>
  <c r="U4" i="1"/>
  <c r="F4" i="1" s="1"/>
  <c r="AA51" i="2" l="1"/>
  <c r="W51" i="2"/>
  <c r="S51" i="2"/>
  <c r="K51" i="2"/>
  <c r="G51" i="2"/>
  <c r="B34" i="2"/>
  <c r="P34" i="2" s="1"/>
  <c r="P35" i="2" s="1"/>
  <c r="C51" i="2"/>
  <c r="Y51" i="2"/>
  <c r="U51" i="2"/>
  <c r="Q51" i="2"/>
  <c r="M51" i="2"/>
  <c r="I51" i="2"/>
  <c r="E51" i="2"/>
  <c r="AA52" i="2" s="1"/>
  <c r="AA53" i="2" s="1"/>
  <c r="O34" i="2"/>
  <c r="O35" i="2" s="1"/>
  <c r="B16" i="2"/>
  <c r="X16" i="2" s="1"/>
  <c r="J51" i="2"/>
  <c r="T51" i="2"/>
  <c r="X51" i="2"/>
  <c r="P51" i="2"/>
  <c r="H34" i="2"/>
  <c r="H35" i="2" s="1"/>
  <c r="AA16" i="2"/>
  <c r="D16" i="2"/>
  <c r="I16" i="2"/>
  <c r="Y16" i="2"/>
  <c r="N16" i="2"/>
  <c r="G16" i="2"/>
  <c r="W16" i="2"/>
  <c r="F100" i="4"/>
  <c r="H100" i="4" s="1"/>
  <c r="E100" i="4"/>
  <c r="D101" i="4"/>
  <c r="X17" i="2" l="1"/>
  <c r="C25" i="8" s="1"/>
  <c r="E25" i="8" s="1"/>
  <c r="B25" i="8"/>
  <c r="W17" i="2"/>
  <c r="C24" i="8" s="1"/>
  <c r="E24" i="8" s="1"/>
  <c r="B24" i="8"/>
  <c r="Y17" i="2"/>
  <c r="C26" i="8" s="1"/>
  <c r="E26" i="8" s="1"/>
  <c r="B26" i="8"/>
  <c r="AA17" i="2"/>
  <c r="C28" i="8" s="1"/>
  <c r="E28" i="8" s="1"/>
  <c r="B28" i="8"/>
  <c r="W34" i="2"/>
  <c r="W35" i="2" s="1"/>
  <c r="S16" i="2"/>
  <c r="C16" i="2"/>
  <c r="J16" i="2"/>
  <c r="U16" i="2"/>
  <c r="E16" i="2"/>
  <c r="T16" i="2"/>
  <c r="D34" i="2"/>
  <c r="Z34" i="2"/>
  <c r="Z35" i="2" s="1"/>
  <c r="I34" i="2"/>
  <c r="I35" i="2" s="1"/>
  <c r="Q34" i="2"/>
  <c r="Q35" i="2" s="1"/>
  <c r="Y34" i="2"/>
  <c r="Y35" i="2" s="1"/>
  <c r="N34" i="2"/>
  <c r="N35" i="2" s="1"/>
  <c r="G34" i="2"/>
  <c r="G35" i="2" s="1"/>
  <c r="G17" i="2"/>
  <c r="C8" i="8" s="1"/>
  <c r="E8" i="8" s="1"/>
  <c r="B8" i="8"/>
  <c r="D17" i="2"/>
  <c r="C5" i="8" s="1"/>
  <c r="E5" i="8" s="1"/>
  <c r="B5" i="8"/>
  <c r="F16" i="2"/>
  <c r="H16" i="2"/>
  <c r="V34" i="2"/>
  <c r="V35" i="2" s="1"/>
  <c r="X34" i="2"/>
  <c r="X35" i="2" s="1"/>
  <c r="C34" i="2"/>
  <c r="C35" i="2" s="1"/>
  <c r="S34" i="2"/>
  <c r="S35" i="2" s="1"/>
  <c r="AA34" i="2"/>
  <c r="AA35" i="2" s="1"/>
  <c r="N17" i="2"/>
  <c r="C15" i="8" s="1"/>
  <c r="E15" i="8" s="1"/>
  <c r="B15" i="8"/>
  <c r="I17" i="2"/>
  <c r="C10" i="8" s="1"/>
  <c r="E10" i="8" s="1"/>
  <c r="B10" i="8"/>
  <c r="T34" i="2"/>
  <c r="T35" i="2" s="1"/>
  <c r="O16" i="2"/>
  <c r="V16" i="2"/>
  <c r="Q16" i="2"/>
  <c r="P16" i="2"/>
  <c r="K16" i="2"/>
  <c r="R16" i="2"/>
  <c r="Z16" i="2"/>
  <c r="M16" i="2"/>
  <c r="L16" i="2"/>
  <c r="R34" i="2"/>
  <c r="R35" i="2" s="1"/>
  <c r="L34" i="2"/>
  <c r="L35" i="2" s="1"/>
  <c r="F34" i="2"/>
  <c r="F35" i="2" s="1"/>
  <c r="E34" i="2"/>
  <c r="E35" i="2" s="1"/>
  <c r="M34" i="2"/>
  <c r="M35" i="2" s="1"/>
  <c r="U34" i="2"/>
  <c r="U35" i="2" s="1"/>
  <c r="J34" i="2"/>
  <c r="J35" i="2" s="1"/>
  <c r="K34" i="2"/>
  <c r="K35" i="2" s="1"/>
  <c r="K52" i="2"/>
  <c r="K53" i="2" s="1"/>
  <c r="Y52" i="2"/>
  <c r="Y53" i="2" s="1"/>
  <c r="P52" i="2"/>
  <c r="P53" i="2" s="1"/>
  <c r="Q52" i="2"/>
  <c r="Q53" i="2" s="1"/>
  <c r="O52" i="2"/>
  <c r="O53" i="2" s="1"/>
  <c r="R52" i="2"/>
  <c r="R53" i="2" s="1"/>
  <c r="W52" i="2"/>
  <c r="W53" i="2" s="1"/>
  <c r="U52" i="2"/>
  <c r="U53" i="2" s="1"/>
  <c r="L52" i="2"/>
  <c r="L53" i="2" s="1"/>
  <c r="G52" i="2"/>
  <c r="G53" i="2" s="1"/>
  <c r="E52" i="2"/>
  <c r="E53" i="2" s="1"/>
  <c r="Z52" i="2"/>
  <c r="Z53" i="2" s="1"/>
  <c r="N52" i="2"/>
  <c r="N53" i="2" s="1"/>
  <c r="S52" i="2"/>
  <c r="S53" i="2" s="1"/>
  <c r="C52" i="2"/>
  <c r="M52" i="2"/>
  <c r="M53" i="2" s="1"/>
  <c r="X52" i="2"/>
  <c r="X53" i="2" s="1"/>
  <c r="H52" i="2"/>
  <c r="H53" i="2" s="1"/>
  <c r="J52" i="2"/>
  <c r="J53" i="2" s="1"/>
  <c r="I52" i="2"/>
  <c r="I53" i="2" s="1"/>
  <c r="T52" i="2"/>
  <c r="T53" i="2" s="1"/>
  <c r="D52" i="2"/>
  <c r="D53" i="2" s="1"/>
  <c r="F52" i="2"/>
  <c r="F53" i="2" s="1"/>
  <c r="V52" i="2"/>
  <c r="V53" i="2" s="1"/>
  <c r="D100" i="4"/>
  <c r="D102" i="4"/>
  <c r="C53" i="2" l="1"/>
  <c r="B54" i="2"/>
  <c r="V17" i="2"/>
  <c r="C23" i="8" s="1"/>
  <c r="E23" i="8" s="1"/>
  <c r="B23" i="8"/>
  <c r="H17" i="2"/>
  <c r="C9" i="8" s="1"/>
  <c r="E9" i="8" s="1"/>
  <c r="B9" i="8"/>
  <c r="B36" i="2"/>
  <c r="D35" i="2"/>
  <c r="B35" i="2" s="1"/>
  <c r="J17" i="2"/>
  <c r="C11" i="8" s="1"/>
  <c r="E11" i="8" s="1"/>
  <c r="B11" i="8"/>
  <c r="L17" i="2"/>
  <c r="C13" i="8" s="1"/>
  <c r="E13" i="8" s="1"/>
  <c r="B13" i="8"/>
  <c r="K17" i="2"/>
  <c r="C12" i="8" s="1"/>
  <c r="E12" i="8" s="1"/>
  <c r="B12" i="8"/>
  <c r="O17" i="2"/>
  <c r="C16" i="8" s="1"/>
  <c r="E16" i="8" s="1"/>
  <c r="B16" i="8"/>
  <c r="F17" i="2"/>
  <c r="C7" i="8" s="1"/>
  <c r="E7" i="8" s="1"/>
  <c r="B7" i="8"/>
  <c r="T17" i="2"/>
  <c r="C21" i="8" s="1"/>
  <c r="E21" i="8" s="1"/>
  <c r="B21" i="8"/>
  <c r="C17" i="2"/>
  <c r="B4" i="8"/>
  <c r="B18" i="2"/>
  <c r="P17" i="2"/>
  <c r="C17" i="8" s="1"/>
  <c r="E17" i="8" s="1"/>
  <c r="B17" i="8"/>
  <c r="E17" i="2"/>
  <c r="E6" i="8" s="1"/>
  <c r="B6" i="8"/>
  <c r="S17" i="2"/>
  <c r="C20" i="8" s="1"/>
  <c r="E20" i="8" s="1"/>
  <c r="B20" i="8"/>
  <c r="R17" i="2"/>
  <c r="C19" i="8" s="1"/>
  <c r="E19" i="8" s="1"/>
  <c r="B19" i="8"/>
  <c r="M17" i="2"/>
  <c r="C14" i="8" s="1"/>
  <c r="E14" i="8" s="1"/>
  <c r="B14" i="8"/>
  <c r="Z17" i="2"/>
  <c r="C27" i="8" s="1"/>
  <c r="E27" i="8" s="1"/>
  <c r="B27" i="8"/>
  <c r="Q17" i="2"/>
  <c r="C18" i="8" s="1"/>
  <c r="E18" i="8" s="1"/>
  <c r="B18" i="8"/>
  <c r="U17" i="2"/>
  <c r="C22" i="8" s="1"/>
  <c r="E22" i="8" s="1"/>
  <c r="B22" i="8"/>
  <c r="D103" i="4"/>
  <c r="H14" i="8" l="1"/>
  <c r="C4" i="8"/>
  <c r="B17" i="2"/>
  <c r="C99" i="5"/>
  <c r="E4" i="8" l="1"/>
  <c r="F148" i="4"/>
  <c r="H148" i="4" s="1"/>
  <c r="F147" i="4"/>
  <c r="H147" i="4" s="1"/>
  <c r="F146" i="4"/>
  <c r="H146" i="4" s="1"/>
  <c r="F145" i="4"/>
  <c r="H145" i="4" s="1"/>
  <c r="F144" i="4"/>
  <c r="H144" i="4" s="1"/>
  <c r="F143" i="4"/>
  <c r="H143" i="4" s="1"/>
  <c r="F142" i="4"/>
  <c r="H142" i="4" s="1"/>
  <c r="F141" i="4"/>
  <c r="H141" i="4" s="1"/>
  <c r="F140" i="4"/>
  <c r="H140" i="4" s="1"/>
  <c r="F139" i="4"/>
  <c r="H139" i="4" s="1"/>
  <c r="F138" i="4"/>
  <c r="H138" i="4" s="1"/>
  <c r="F137" i="4"/>
  <c r="H137" i="4" s="1"/>
  <c r="F136" i="4"/>
  <c r="H136" i="4" s="1"/>
  <c r="F135" i="4"/>
  <c r="H135" i="4" s="1"/>
  <c r="F134" i="4"/>
  <c r="H134" i="4" s="1"/>
  <c r="F133" i="4"/>
  <c r="H133" i="4" s="1"/>
  <c r="F132" i="4"/>
  <c r="H132" i="4" s="1"/>
  <c r="F131" i="4"/>
  <c r="H131" i="4" s="1"/>
  <c r="F130" i="4"/>
  <c r="F129" i="4"/>
  <c r="F128" i="4"/>
  <c r="F127" i="4"/>
  <c r="F126" i="4"/>
  <c r="F125" i="4"/>
  <c r="F124" i="4"/>
  <c r="F123" i="4"/>
  <c r="F122" i="4"/>
  <c r="F121" i="4"/>
  <c r="F120" i="4"/>
  <c r="F119" i="4"/>
  <c r="F118" i="4"/>
  <c r="F117" i="4"/>
  <c r="F116" i="4"/>
  <c r="F115" i="4"/>
  <c r="F114" i="4"/>
  <c r="F113" i="4"/>
  <c r="F112" i="4"/>
  <c r="F111" i="4"/>
  <c r="F110" i="4"/>
  <c r="F109" i="4"/>
  <c r="D108" i="4" l="1"/>
  <c r="D107" i="4"/>
  <c r="D106" i="4"/>
  <c r="D105" i="4"/>
  <c r="E148" i="4" l="1"/>
  <c r="D148" i="4" s="1"/>
  <c r="E147" i="4"/>
  <c r="D147" i="4" s="1"/>
  <c r="E146" i="4"/>
  <c r="D146" i="4" s="1"/>
  <c r="E145" i="4"/>
  <c r="D145" i="4" s="1"/>
  <c r="E144" i="4"/>
  <c r="D144" i="4" s="1"/>
  <c r="E143" i="4"/>
  <c r="D143" i="4" s="1"/>
  <c r="E142" i="4"/>
  <c r="D142" i="4" s="1"/>
  <c r="E141" i="4"/>
  <c r="D141" i="4" s="1"/>
  <c r="E140" i="4"/>
  <c r="D140" i="4" s="1"/>
  <c r="E139" i="4"/>
  <c r="D139" i="4" s="1"/>
  <c r="E138" i="4"/>
  <c r="D138" i="4" s="1"/>
  <c r="E137" i="4"/>
  <c r="D137" i="4" s="1"/>
  <c r="E136" i="4"/>
  <c r="D136" i="4" s="1"/>
  <c r="E135" i="4"/>
  <c r="D135" i="4" s="1"/>
  <c r="E134" i="4"/>
  <c r="D134" i="4" s="1"/>
  <c r="E133" i="4"/>
  <c r="D133" i="4" s="1"/>
  <c r="E132" i="4"/>
  <c r="D132" i="4" s="1"/>
  <c r="E131" i="4"/>
  <c r="D131" i="4" s="1"/>
  <c r="E130" i="4"/>
  <c r="D130" i="4" s="1"/>
  <c r="E129" i="4"/>
  <c r="D129" i="4" s="1"/>
  <c r="E128" i="4"/>
  <c r="D128" i="4" s="1"/>
  <c r="E127" i="4"/>
  <c r="D127" i="4" s="1"/>
  <c r="E126" i="4"/>
  <c r="D126" i="4" s="1"/>
  <c r="E125" i="4"/>
  <c r="D125" i="4" s="1"/>
  <c r="E124" i="4"/>
  <c r="D124" i="4" s="1"/>
  <c r="E123" i="4"/>
  <c r="D123" i="4" s="1"/>
  <c r="E122" i="4"/>
  <c r="D122" i="4" s="1"/>
  <c r="E121" i="4"/>
  <c r="D121" i="4" s="1"/>
  <c r="E120" i="4"/>
  <c r="D120" i="4" s="1"/>
  <c r="E119" i="4"/>
  <c r="D119" i="4" s="1"/>
  <c r="E118" i="4"/>
  <c r="D118" i="4" s="1"/>
  <c r="E117" i="4"/>
  <c r="D117" i="4" s="1"/>
  <c r="E116" i="4"/>
  <c r="D116" i="4" s="1"/>
  <c r="E115" i="4"/>
  <c r="D115" i="4" s="1"/>
  <c r="E114" i="4"/>
  <c r="D114" i="4" s="1"/>
  <c r="E113" i="4"/>
  <c r="D113" i="4" s="1"/>
  <c r="E112" i="4"/>
  <c r="D112" i="4" s="1"/>
  <c r="E111" i="4"/>
  <c r="D111" i="4" s="1"/>
  <c r="E110" i="4"/>
  <c r="D110" i="4" s="1"/>
  <c r="E109" i="4"/>
  <c r="D109" i="4" s="1"/>
  <c r="C148" i="4"/>
  <c r="C147" i="4" l="1"/>
  <c r="C146" i="4"/>
  <c r="C145" i="4"/>
  <c r="C144" i="4"/>
  <c r="C143" i="4"/>
  <c r="C142" i="4"/>
  <c r="C141" i="4"/>
  <c r="C140" i="4"/>
  <c r="C139" i="4"/>
  <c r="C138" i="4"/>
  <c r="C137" i="4"/>
  <c r="C136" i="4" l="1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A4" i="1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Balaguer, Ryan</author>
  </authors>
  <commentList>
    <comment ref="B16" authorId="0" shapeId="0" xr:uid="{A1407CF1-374D-45A9-AB24-17050B0DF94F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SHARES
</t>
        </r>
      </text>
    </comment>
    <comment ref="B17" authorId="0" shapeId="0" xr:uid="{BBD49DB7-B498-4E68-A256-D33EDA5BE3AA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</t>
        </r>
      </text>
    </comment>
    <comment ref="B18" authorId="0" shapeId="0" xr:uid="{5D62E29C-EA04-47D3-AB9D-D989699B389E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 SHARES PERCENT</t>
        </r>
      </text>
    </comment>
    <comment ref="B34" authorId="0" shapeId="0" xr:uid="{A59381F7-D22A-44AB-BEAD-A41059205339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SHARES
</t>
        </r>
      </text>
    </comment>
    <comment ref="B35" authorId="0" shapeId="0" xr:uid="{002A6A8B-A7A2-47A6-9D20-4414A4628E3B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</t>
        </r>
      </text>
    </comment>
    <comment ref="B36" authorId="0" shapeId="0" xr:uid="{3404864F-0AF3-438A-A1A1-BA93E0D2337A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 SHARES PERCENT</t>
        </r>
      </text>
    </comment>
    <comment ref="B52" authorId="0" shapeId="0" xr:uid="{E38C659C-4832-4E1D-845C-0FF7838FB3B8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SHARES
</t>
        </r>
      </text>
    </comment>
    <comment ref="B53" authorId="0" shapeId="0" xr:uid="{D5128BE1-B438-4B82-BF82-63A02B39FCF3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</t>
        </r>
      </text>
    </comment>
    <comment ref="B54" authorId="0" shapeId="0" xr:uid="{BEE411A7-47C2-4163-92FE-DCE7C9A48386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 SHARES PERCENT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Balaguer, Ryan</author>
  </authors>
  <commentList>
    <comment ref="B16" authorId="0" shapeId="0" xr:uid="{DBD67DDC-B9D2-45F6-A39D-6257FA325135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SHARES
</t>
        </r>
      </text>
    </comment>
    <comment ref="B17" authorId="0" shapeId="0" xr:uid="{8E982E21-8239-49E7-9785-52809F20C4FE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</t>
        </r>
      </text>
    </comment>
    <comment ref="B18" authorId="0" shapeId="0" xr:uid="{37B016AF-A45C-4008-890E-D4A275348B4C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 SHARES PERCENT</t>
        </r>
      </text>
    </comment>
    <comment ref="B34" authorId="0" shapeId="0" xr:uid="{C477323C-5C95-4C74-90F9-7A1C97FDF891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SHARES
</t>
        </r>
      </text>
    </comment>
    <comment ref="B35" authorId="0" shapeId="0" xr:uid="{4A597FC4-34B8-44CE-A5EE-417CCA0B6360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</t>
        </r>
      </text>
    </comment>
    <comment ref="B36" authorId="0" shapeId="0" xr:uid="{7B40135B-53CB-43CF-BB4A-1AA8EEC6143D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 SHARES PERCENT</t>
        </r>
      </text>
    </comment>
    <comment ref="B52" authorId="0" shapeId="0" xr:uid="{7F708A87-12D6-4684-9DCE-A5968457ECD2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SHARES
</t>
        </r>
      </text>
    </comment>
    <comment ref="B53" authorId="0" shapeId="0" xr:uid="{09696B12-4055-4DF2-BB74-8FB470271383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</t>
        </r>
      </text>
    </comment>
    <comment ref="B54" authorId="0" shapeId="0" xr:uid="{0FE6E06B-70DE-451B-BBE3-4C3E0FC3C8EE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 SHARES PERCENT</t>
        </r>
      </text>
    </comment>
  </commentList>
</comments>
</file>

<file path=xl/sharedStrings.xml><?xml version="1.0" encoding="utf-8"?>
<sst xmlns="http://schemas.openxmlformats.org/spreadsheetml/2006/main" count="499" uniqueCount="120">
  <si>
    <t>ryan</t>
  </si>
  <si>
    <t>Savings</t>
  </si>
  <si>
    <t>Revenue</t>
  </si>
  <si>
    <t>Borrower</t>
  </si>
  <si>
    <t>DATE of CUTOFF</t>
  </si>
  <si>
    <t>TOTAL</t>
  </si>
  <si>
    <t>vince</t>
  </si>
  <si>
    <t>Total</t>
  </si>
  <si>
    <t>no. of list</t>
  </si>
  <si>
    <t>qrow</t>
  </si>
  <si>
    <t>Combobox</t>
  </si>
  <si>
    <t>Total Principal</t>
  </si>
  <si>
    <t>Total Interest</t>
  </si>
  <si>
    <t>Date</t>
  </si>
  <si>
    <t>Principal</t>
  </si>
  <si>
    <t>Interest</t>
  </si>
  <si>
    <t>Remaining Int</t>
  </si>
  <si>
    <t>rrow</t>
  </si>
  <si>
    <t>Interest Paid</t>
  </si>
  <si>
    <t>kenneth</t>
  </si>
  <si>
    <t>rubin</t>
  </si>
  <si>
    <t>ken</t>
  </si>
  <si>
    <t>gian</t>
  </si>
  <si>
    <t>donque</t>
  </si>
  <si>
    <t>bernard</t>
  </si>
  <si>
    <t>gina</t>
  </si>
  <si>
    <t>rowel</t>
  </si>
  <si>
    <t>leo j.</t>
  </si>
  <si>
    <t>emman r.</t>
  </si>
  <si>
    <t>jeff</t>
  </si>
  <si>
    <t>rommel c.</t>
  </si>
  <si>
    <t>guilly</t>
  </si>
  <si>
    <t>edward</t>
  </si>
  <si>
    <t>kc</t>
  </si>
  <si>
    <t>paulo</t>
  </si>
  <si>
    <t>karen</t>
  </si>
  <si>
    <t>roldan</t>
  </si>
  <si>
    <t>mark c.</t>
  </si>
  <si>
    <t>hazel</t>
  </si>
  <si>
    <t>kero</t>
  </si>
  <si>
    <t>gef</t>
  </si>
  <si>
    <t>second</t>
  </si>
  <si>
    <t>fourth</t>
  </si>
  <si>
    <t>alvin</t>
  </si>
  <si>
    <t>gwgw</t>
  </si>
  <si>
    <t>gugu</t>
  </si>
  <si>
    <t>PROFIT</t>
  </si>
  <si>
    <t>2019 - 1st Half</t>
  </si>
  <si>
    <t>2019 - 2nd Half</t>
  </si>
  <si>
    <t>2013 - 2nd Half</t>
  </si>
  <si>
    <t>yrow</t>
  </si>
  <si>
    <t>arow</t>
  </si>
  <si>
    <t>2014 - 1st Half</t>
  </si>
  <si>
    <t>2014 - 2nd Half</t>
  </si>
  <si>
    <t>ON HAND</t>
  </si>
  <si>
    <t>ON BANK</t>
  </si>
  <si>
    <t>BANK 2</t>
  </si>
  <si>
    <t>BANK 3</t>
  </si>
  <si>
    <t>GCASH</t>
  </si>
  <si>
    <t>TOTAL MONEY IN POSSESSION</t>
  </si>
  <si>
    <t>Cutoff</t>
  </si>
  <si>
    <t>Percent Share</t>
  </si>
  <si>
    <t>Profit for 2013 2nd half</t>
  </si>
  <si>
    <t>Profit for 2014 2nd half</t>
  </si>
  <si>
    <t>PROFIT OVERVIEW</t>
  </si>
  <si>
    <t>Shareholders</t>
  </si>
  <si>
    <t>Profit Per Share</t>
  </si>
  <si>
    <t>Deductions</t>
  </si>
  <si>
    <t>Take Home</t>
  </si>
  <si>
    <t>TOTAL MONEY IN LENT</t>
  </si>
  <si>
    <t>KFC LENT MONEY</t>
  </si>
  <si>
    <t>2/28/205</t>
  </si>
  <si>
    <t>Total Percent Share</t>
  </si>
  <si>
    <t>Total Profit</t>
  </si>
  <si>
    <t>sroww</t>
  </si>
  <si>
    <t>Year(addy)</t>
  </si>
  <si>
    <t>Members(addcsav)</t>
  </si>
  <si>
    <t>TOTAL MONEY IN OTHER INVESTMENT</t>
  </si>
  <si>
    <t>CURRENT CUT-OFF DATE</t>
  </si>
  <si>
    <t>KFC TOTAL ASSETS</t>
  </si>
  <si>
    <t>KFC MONEY IN POSSESSION</t>
  </si>
  <si>
    <t>SAVINGS DATA</t>
  </si>
  <si>
    <t>aa</t>
  </si>
  <si>
    <t>bb</t>
  </si>
  <si>
    <t>cc</t>
  </si>
  <si>
    <t>Remaining BAL</t>
  </si>
  <si>
    <t>Received INT</t>
  </si>
  <si>
    <t>Utang 1</t>
  </si>
  <si>
    <t>Utang 2</t>
  </si>
  <si>
    <t>Paid Principal</t>
  </si>
  <si>
    <t>Add Principal</t>
  </si>
  <si>
    <t>Initial Principal</t>
  </si>
  <si>
    <t>Paid Interest</t>
  </si>
  <si>
    <t>Principal Remaining</t>
  </si>
  <si>
    <t>DATE OF CUT-OFF</t>
  </si>
  <si>
    <t>PROFIT----------&gt;</t>
  </si>
  <si>
    <t>Recieved Principal</t>
  </si>
  <si>
    <t>dd</t>
  </si>
  <si>
    <t>SAVINGS</t>
  </si>
  <si>
    <t>SHAREHOLDERS</t>
  </si>
  <si>
    <t>BORROWERS</t>
  </si>
  <si>
    <t>PRINCIPAL</t>
  </si>
  <si>
    <t>INTEREST</t>
  </si>
  <si>
    <t>EVERY CUT-OFF</t>
  </si>
  <si>
    <t>Date Cut-off</t>
  </si>
  <si>
    <t>Juan uno</t>
  </si>
  <si>
    <t>Juan dos</t>
  </si>
  <si>
    <t>PAID</t>
  </si>
  <si>
    <t>Ryan 1</t>
  </si>
  <si>
    <t>ONGOING</t>
  </si>
  <si>
    <t>STATUS</t>
  </si>
  <si>
    <t>Borrowers</t>
  </si>
  <si>
    <t>Received Int</t>
  </si>
  <si>
    <t>PROFITS</t>
  </si>
  <si>
    <t>josie</t>
  </si>
  <si>
    <t>juan</t>
  </si>
  <si>
    <t>trillanes</t>
  </si>
  <si>
    <t>Ryan 2</t>
  </si>
  <si>
    <t>bong go</t>
  </si>
  <si>
    <t>bong rev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</si>
</sst>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d\-mmm\-yy;@"/>
    <numFmt numFmtId="165" formatCode="[$-409]d\-mmm;@"/>
  </numFmts>
  <fonts count="29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1"/>
      <name val="Calibri"/>
      <family val="2"/>
      <scheme val="minor"/>
    </font>
    <font>
      <sz val="18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4"/>
      <color theme="8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20"/>
      <color rgb="FF000000"/>
      <name val="Calibri"/>
      <family val="2"/>
    </font>
    <font>
      <b/>
      <sz val="18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rgb="FFFFFFFF"/>
      <name val="Calibri"/>
      <family val="2"/>
      <scheme val="minor"/>
    </font>
    <font>
      <sz val="20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rgb="FF00FF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.5"/>
      <color theme="0"/>
      <name val="Calibri"/>
      <family val="2"/>
      <scheme val="minor"/>
    </font>
  </fonts>
  <fills count="42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33CC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rgb="FFFF3B3B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-0.499984740745262"/>
        <bgColor indexed="64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33">
    <xf numFmtId="0" fontId="0" fillId="0" borderId="0" xfId="0"/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/>
    <xf numFmtId="0" fontId="0" fillId="0" borderId="1" xfId="0" applyBorder="1"/>
    <xf numFmtId="0" fontId="0" fillId="4" borderId="1" xfId="0" applyFill="1" applyBorder="1"/>
    <xf numFmtId="0" fontId="2" fillId="4" borderId="1" xfId="0" applyFont="1" applyFill="1" applyBorder="1" applyAlignment="1">
      <alignment horizontal="center"/>
    </xf>
    <xf numFmtId="164" fontId="2" fillId="4" borderId="1" xfId="0" applyNumberFormat="1" applyFont="1" applyFill="1" applyBorder="1" applyAlignment="1">
      <alignment horizontal="center"/>
    </xf>
    <xf numFmtId="0" fontId="0" fillId="5" borderId="0" xfId="0" applyFill="1"/>
    <xf numFmtId="164" fontId="0" fillId="0" borderId="0" xfId="0" applyNumberFormat="1"/>
    <xf numFmtId="0" fontId="0" fillId="4" borderId="2" xfId="0" applyFill="1" applyBorder="1"/>
    <xf numFmtId="164" fontId="0" fillId="0" borderId="1" xfId="0" applyNumberFormat="1" applyBorder="1"/>
    <xf numFmtId="164" fontId="0" fillId="4" borderId="1" xfId="0" applyNumberFormat="1" applyFill="1" applyBorder="1"/>
    <xf numFmtId="0" fontId="0" fillId="6" borderId="1" xfId="0" applyFill="1" applyBorder="1"/>
    <xf numFmtId="0" fontId="0" fillId="4" borderId="0" xfId="0" applyFill="1"/>
    <xf numFmtId="0" fontId="0" fillId="7" borderId="0" xfId="0" applyFill="1"/>
    <xf numFmtId="22" fontId="0" fillId="0" borderId="1" xfId="0" applyNumberFormat="1" applyBorder="1"/>
    <xf numFmtId="0" fontId="0" fillId="8" borderId="1" xfId="0" applyFill="1" applyBorder="1"/>
    <xf numFmtId="0" fontId="0" fillId="9" borderId="1" xfId="0" applyFill="1" applyBorder="1"/>
    <xf numFmtId="22" fontId="0" fillId="4" borderId="1" xfId="0" applyNumberFormat="1" applyFill="1" applyBorder="1"/>
    <xf numFmtId="0" fontId="1" fillId="3" borderId="4" xfId="0" applyFont="1" applyFill="1" applyBorder="1"/>
    <xf numFmtId="0" fontId="3" fillId="7" borderId="1" xfId="0" applyFont="1" applyFill="1" applyBorder="1"/>
    <xf numFmtId="0" fontId="0" fillId="7" borderId="1" xfId="0" applyFill="1" applyBorder="1"/>
    <xf numFmtId="0" fontId="2" fillId="5" borderId="5" xfId="0" applyFont="1" applyFill="1" applyBorder="1" applyAlignment="1">
      <alignment horizontal="center" vertical="center"/>
    </xf>
    <xf numFmtId="0" fontId="0" fillId="10" borderId="0" xfId="0" applyFill="1"/>
    <xf numFmtId="0" fontId="0" fillId="11" borderId="0" xfId="0" applyFill="1"/>
    <xf numFmtId="164" fontId="2" fillId="2" borderId="6" xfId="0" applyNumberFormat="1" applyFont="1" applyFill="1" applyBorder="1" applyAlignment="1">
      <alignment horizontal="center"/>
    </xf>
    <xf numFmtId="164" fontId="2" fillId="2" borderId="7" xfId="0" applyNumberFormat="1" applyFont="1" applyFill="1" applyBorder="1" applyAlignment="1">
      <alignment horizontal="center"/>
    </xf>
    <xf numFmtId="164" fontId="2" fillId="2" borderId="8" xfId="0" applyNumberFormat="1" applyFont="1" applyFill="1" applyBorder="1" applyAlignment="1">
      <alignment horizontal="center"/>
    </xf>
    <xf numFmtId="0" fontId="0" fillId="11" borderId="1" xfId="0" applyFill="1" applyBorder="1"/>
    <xf numFmtId="0" fontId="0" fillId="12" borderId="0" xfId="0" applyFill="1"/>
    <xf numFmtId="0" fontId="0" fillId="12" borderId="0" xfId="0" applyFill="1" applyAlignment="1">
      <alignment wrapText="1"/>
    </xf>
    <xf numFmtId="0" fontId="0" fillId="13" borderId="0" xfId="0" applyFill="1"/>
    <xf numFmtId="164" fontId="2" fillId="14" borderId="6" xfId="0" applyNumberFormat="1" applyFont="1" applyFill="1" applyBorder="1" applyAlignment="1">
      <alignment horizontal="center"/>
    </xf>
    <xf numFmtId="164" fontId="2" fillId="14" borderId="7" xfId="0" applyNumberFormat="1" applyFont="1" applyFill="1" applyBorder="1" applyAlignment="1">
      <alignment horizontal="center"/>
    </xf>
    <xf numFmtId="0" fontId="2" fillId="0" borderId="0" xfId="0" applyFont="1"/>
    <xf numFmtId="0" fontId="2" fillId="0" borderId="0" xfId="0" applyFont="1" applyBorder="1"/>
    <xf numFmtId="0" fontId="2" fillId="15" borderId="3" xfId="0" applyNumberFormat="1" applyFont="1" applyFill="1" applyBorder="1" applyAlignment="1">
      <alignment horizontal="center" vertical="center"/>
    </xf>
    <xf numFmtId="0" fontId="2" fillId="15" borderId="17" xfId="0" applyNumberFormat="1" applyFont="1" applyFill="1" applyBorder="1" applyAlignment="1">
      <alignment horizontal="center" vertical="center"/>
    </xf>
    <xf numFmtId="10" fontId="0" fillId="16" borderId="1" xfId="0" applyNumberFormat="1" applyFill="1" applyBorder="1"/>
    <xf numFmtId="4" fontId="0" fillId="0" borderId="1" xfId="0" applyNumberFormat="1" applyBorder="1"/>
    <xf numFmtId="0" fontId="0" fillId="0" borderId="0" xfId="0" applyAlignment="1">
      <alignment horizontal="center" vertical="center"/>
    </xf>
    <xf numFmtId="0" fontId="10" fillId="21" borderId="1" xfId="0" applyFont="1" applyFill="1" applyBorder="1" applyAlignment="1">
      <alignment horizontal="center" vertical="center"/>
    </xf>
    <xf numFmtId="0" fontId="2" fillId="21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1" fillId="3" borderId="19" xfId="0" applyFont="1" applyFill="1" applyBorder="1"/>
    <xf numFmtId="164" fontId="2" fillId="4" borderId="20" xfId="0" applyNumberFormat="1" applyFont="1" applyFill="1" applyBorder="1" applyAlignment="1">
      <alignment horizontal="center"/>
    </xf>
    <xf numFmtId="0" fontId="2" fillId="5" borderId="20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4" fontId="0" fillId="0" borderId="22" xfId="0" applyNumberFormat="1" applyBorder="1"/>
    <xf numFmtId="10" fontId="0" fillId="16" borderId="22" xfId="0" applyNumberFormat="1" applyFill="1" applyBorder="1"/>
    <xf numFmtId="4" fontId="2" fillId="18" borderId="23" xfId="0" applyNumberFormat="1" applyFont="1" applyFill="1" applyBorder="1"/>
    <xf numFmtId="4" fontId="2" fillId="18" borderId="24" xfId="0" applyNumberFormat="1" applyFont="1" applyFill="1" applyBorder="1"/>
    <xf numFmtId="4" fontId="0" fillId="0" borderId="25" xfId="0" applyNumberFormat="1" applyBorder="1"/>
    <xf numFmtId="4" fontId="0" fillId="0" borderId="26" xfId="0" applyNumberFormat="1" applyBorder="1"/>
    <xf numFmtId="0" fontId="10" fillId="21" borderId="27" xfId="0" applyFont="1" applyFill="1" applyBorder="1" applyAlignment="1">
      <alignment horizontal="center" vertical="center"/>
    </xf>
    <xf numFmtId="0" fontId="2" fillId="21" borderId="27" xfId="0" applyFont="1" applyFill="1" applyBorder="1" applyAlignment="1">
      <alignment horizontal="center" vertical="center"/>
    </xf>
    <xf numFmtId="0" fontId="10" fillId="21" borderId="29" xfId="0" applyFont="1" applyFill="1" applyBorder="1" applyAlignment="1">
      <alignment horizontal="center" vertical="center"/>
    </xf>
    <xf numFmtId="4" fontId="0" fillId="0" borderId="30" xfId="0" applyNumberFormat="1" applyBorder="1"/>
    <xf numFmtId="4" fontId="0" fillId="0" borderId="18" xfId="0" applyNumberFormat="1" applyBorder="1"/>
    <xf numFmtId="10" fontId="0" fillId="16" borderId="18" xfId="0" applyNumberFormat="1" applyFill="1" applyBorder="1"/>
    <xf numFmtId="4" fontId="2" fillId="18" borderId="31" xfId="0" applyNumberFormat="1" applyFont="1" applyFill="1" applyBorder="1"/>
    <xf numFmtId="0" fontId="2" fillId="0" borderId="3" xfId="0" applyFont="1" applyBorder="1" applyAlignment="1">
      <alignment horizontal="center" vertical="center"/>
    </xf>
    <xf numFmtId="4" fontId="0" fillId="17" borderId="32" xfId="0" applyNumberFormat="1" applyFill="1" applyBorder="1"/>
    <xf numFmtId="4" fontId="0" fillId="17" borderId="20" xfId="0" applyNumberFormat="1" applyFill="1" applyBorder="1"/>
    <xf numFmtId="4" fontId="0" fillId="11" borderId="20" xfId="0" applyNumberFormat="1" applyFill="1" applyBorder="1"/>
    <xf numFmtId="4" fontId="9" fillId="20" borderId="20" xfId="0" applyNumberFormat="1" applyFont="1" applyFill="1" applyBorder="1"/>
    <xf numFmtId="4" fontId="9" fillId="19" borderId="21" xfId="0" applyNumberFormat="1" applyFont="1" applyFill="1" applyBorder="1"/>
    <xf numFmtId="10" fontId="0" fillId="0" borderId="1" xfId="0" applyNumberFormat="1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/>
    </xf>
    <xf numFmtId="0" fontId="2" fillId="22" borderId="1" xfId="0" applyFont="1" applyFill="1" applyBorder="1" applyAlignment="1">
      <alignment horizontal="center" vertical="center"/>
    </xf>
    <xf numFmtId="0" fontId="0" fillId="23" borderId="0" xfId="0" applyFill="1"/>
    <xf numFmtId="0" fontId="2" fillId="22" borderId="2" xfId="0" applyFont="1" applyFill="1" applyBorder="1" applyAlignment="1">
      <alignment horizontal="center" vertical="center"/>
    </xf>
    <xf numFmtId="4" fontId="0" fillId="0" borderId="2" xfId="0" applyNumberFormat="1" applyBorder="1" applyAlignment="1">
      <alignment horizontal="center" vertical="center"/>
    </xf>
    <xf numFmtId="0" fontId="0" fillId="23" borderId="0" xfId="0" applyFill="1" applyAlignment="1">
      <alignment horizontal="center" vertical="center"/>
    </xf>
    <xf numFmtId="0" fontId="0" fillId="17" borderId="0" xfId="0" applyFill="1" applyAlignment="1">
      <alignment vertical="center"/>
    </xf>
    <xf numFmtId="4" fontId="0" fillId="17" borderId="0" xfId="0" applyNumberFormat="1" applyFill="1" applyAlignment="1">
      <alignment vertical="center"/>
    </xf>
    <xf numFmtId="4" fontId="2" fillId="22" borderId="18" xfId="0" applyNumberFormat="1" applyFont="1" applyFill="1" applyBorder="1"/>
    <xf numFmtId="4" fontId="2" fillId="22" borderId="1" xfId="0" applyNumberFormat="1" applyFont="1" applyFill="1" applyBorder="1"/>
    <xf numFmtId="4" fontId="2" fillId="22" borderId="22" xfId="0" applyNumberFormat="1" applyFont="1" applyFill="1" applyBorder="1"/>
    <xf numFmtId="4" fontId="2" fillId="22" borderId="0" xfId="0" applyNumberFormat="1" applyFont="1" applyFill="1"/>
    <xf numFmtId="0" fontId="0" fillId="13" borderId="0" xfId="0" applyFill="1" applyBorder="1"/>
    <xf numFmtId="0" fontId="0" fillId="5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2" xfId="0" applyBorder="1"/>
    <xf numFmtId="0" fontId="0" fillId="0" borderId="7" xfId="0" applyBorder="1" applyAlignment="1">
      <alignment horizontal="center" vertical="center"/>
    </xf>
    <xf numFmtId="0" fontId="0" fillId="0" borderId="7" xfId="0" applyBorder="1"/>
    <xf numFmtId="0" fontId="0" fillId="0" borderId="40" xfId="0" applyBorder="1"/>
    <xf numFmtId="0" fontId="0" fillId="0" borderId="23" xfId="0" applyBorder="1"/>
    <xf numFmtId="0" fontId="0" fillId="0" borderId="24" xfId="0" applyBorder="1"/>
    <xf numFmtId="0" fontId="0" fillId="0" borderId="0" xfId="0" applyFill="1"/>
    <xf numFmtId="0" fontId="0" fillId="0" borderId="1" xfId="0" applyFill="1" applyBorder="1"/>
    <xf numFmtId="0" fontId="0" fillId="5" borderId="1" xfId="0" applyFill="1" applyBorder="1"/>
    <xf numFmtId="0" fontId="0" fillId="0" borderId="18" xfId="0" applyFill="1" applyBorder="1"/>
    <xf numFmtId="0" fontId="0" fillId="0" borderId="18" xfId="0" applyBorder="1"/>
    <xf numFmtId="10" fontId="19" fillId="24" borderId="0" xfId="0" applyNumberFormat="1" applyFont="1" applyFill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24" borderId="0" xfId="0" applyFill="1"/>
    <xf numFmtId="0" fontId="0" fillId="4" borderId="25" xfId="0" applyFill="1" applyBorder="1"/>
    <xf numFmtId="164" fontId="0" fillId="0" borderId="25" xfId="0" applyNumberFormat="1" applyBorder="1"/>
    <xf numFmtId="0" fontId="0" fillId="0" borderId="25" xfId="0" applyBorder="1"/>
    <xf numFmtId="0" fontId="0" fillId="0" borderId="25" xfId="0" applyFill="1" applyBorder="1"/>
    <xf numFmtId="0" fontId="0" fillId="0" borderId="2" xfId="0" applyFill="1" applyBorder="1"/>
    <xf numFmtId="0" fontId="0" fillId="0" borderId="2" xfId="0" applyBorder="1"/>
    <xf numFmtId="0" fontId="0" fillId="4" borderId="18" xfId="0" applyFill="1" applyBorder="1"/>
    <xf numFmtId="0" fontId="0" fillId="0" borderId="0" xfId="0" applyFill="1" applyBorder="1"/>
    <xf numFmtId="0" fontId="0" fillId="4" borderId="0" xfId="0" applyFill="1" applyBorder="1"/>
    <xf numFmtId="0" fontId="0" fillId="5" borderId="0" xfId="0" applyFill="1" applyBorder="1"/>
    <xf numFmtId="0" fontId="0" fillId="24" borderId="1" xfId="0" applyFill="1" applyBorder="1"/>
    <xf numFmtId="0" fontId="0" fillId="24" borderId="2" xfId="0" applyFill="1" applyBorder="1"/>
    <xf numFmtId="0" fontId="0" fillId="24" borderId="0" xfId="0" applyFill="1" applyBorder="1"/>
    <xf numFmtId="164" fontId="0" fillId="0" borderId="18" xfId="0" applyNumberFormat="1" applyBorder="1"/>
    <xf numFmtId="0" fontId="0" fillId="4" borderId="23" xfId="0" applyFill="1" applyBorder="1"/>
    <xf numFmtId="164" fontId="2" fillId="4" borderId="25" xfId="0" applyNumberFormat="1" applyFont="1" applyFill="1" applyBorder="1" applyAlignment="1">
      <alignment horizontal="center"/>
    </xf>
    <xf numFmtId="0" fontId="0" fillId="24" borderId="7" xfId="0" applyFill="1" applyBorder="1"/>
    <xf numFmtId="0" fontId="0" fillId="24" borderId="22" xfId="0" applyFill="1" applyBorder="1"/>
    <xf numFmtId="0" fontId="0" fillId="25" borderId="1" xfId="0" applyFill="1" applyBorder="1"/>
    <xf numFmtId="0" fontId="0" fillId="18" borderId="22" xfId="0" applyFill="1" applyBorder="1"/>
    <xf numFmtId="0" fontId="0" fillId="18" borderId="24" xfId="0" applyFill="1" applyBorder="1"/>
    <xf numFmtId="0" fontId="4" fillId="26" borderId="1" xfId="0" applyFont="1" applyFill="1" applyBorder="1"/>
    <xf numFmtId="0" fontId="4" fillId="27" borderId="1" xfId="0" applyFont="1" applyFill="1" applyBorder="1"/>
    <xf numFmtId="0" fontId="0" fillId="28" borderId="1" xfId="0" applyFill="1" applyBorder="1"/>
    <xf numFmtId="0" fontId="0" fillId="3" borderId="22" xfId="0" applyFill="1" applyBorder="1"/>
    <xf numFmtId="0" fontId="0" fillId="11" borderId="7" xfId="0" applyFill="1" applyBorder="1"/>
    <xf numFmtId="0" fontId="2" fillId="7" borderId="28" xfId="0" applyFont="1" applyFill="1" applyBorder="1" applyAlignment="1">
      <alignment horizontal="center" vertical="center"/>
    </xf>
    <xf numFmtId="165" fontId="0" fillId="0" borderId="0" xfId="0" applyNumberFormat="1" applyFill="1" applyBorder="1" applyAlignment="1">
      <alignment horizontal="center" vertical="center"/>
    </xf>
    <xf numFmtId="0" fontId="0" fillId="0" borderId="0" xfId="0" applyNumberFormat="1" applyFill="1" applyBorder="1" applyAlignment="1">
      <alignment horizontal="center" vertical="center"/>
    </xf>
    <xf numFmtId="4" fontId="20" fillId="0" borderId="0" xfId="0" applyNumberFormat="1" applyFont="1" applyFill="1" applyBorder="1" applyAlignment="1">
      <alignment horizontal="center" vertical="center"/>
    </xf>
    <xf numFmtId="10" fontId="19" fillId="0" borderId="0" xfId="0" applyNumberFormat="1" applyFont="1" applyFill="1" applyBorder="1" applyAlignment="1">
      <alignment horizontal="center" vertical="center"/>
    </xf>
    <xf numFmtId="0" fontId="2" fillId="0" borderId="0" xfId="0" applyFont="1" applyFill="1" applyBorder="1"/>
    <xf numFmtId="16" fontId="0" fillId="0" borderId="0" xfId="0" applyNumberFormat="1" applyFill="1" applyBorder="1" applyAlignment="1">
      <alignment horizontal="center" vertical="center"/>
    </xf>
    <xf numFmtId="16" fontId="2" fillId="0" borderId="0" xfId="0" applyNumberFormat="1" applyFont="1" applyFill="1" applyBorder="1"/>
    <xf numFmtId="0" fontId="20" fillId="0" borderId="0" xfId="0" applyFont="1" applyFill="1" applyBorder="1"/>
    <xf numFmtId="4" fontId="20" fillId="0" borderId="0" xfId="0" applyNumberFormat="1" applyFont="1" applyFill="1" applyBorder="1"/>
    <xf numFmtId="10" fontId="19" fillId="0" borderId="0" xfId="0" applyNumberFormat="1" applyFont="1" applyFill="1" applyBorder="1"/>
    <xf numFmtId="0" fontId="0" fillId="32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165" fontId="0" fillId="33" borderId="1" xfId="0" applyNumberFormat="1" applyFill="1" applyBorder="1" applyAlignment="1">
      <alignment horizontal="center" vertical="center"/>
    </xf>
    <xf numFmtId="0" fontId="0" fillId="34" borderId="1" xfId="0" applyFill="1" applyBorder="1" applyAlignment="1">
      <alignment horizontal="center" vertical="center"/>
    </xf>
    <xf numFmtId="0" fontId="0" fillId="0" borderId="1" xfId="0" applyNumberFormat="1" applyFill="1" applyBorder="1" applyAlignment="1">
      <alignment horizontal="center" vertical="center"/>
    </xf>
    <xf numFmtId="0" fontId="0" fillId="35" borderId="1" xfId="0" applyFill="1" applyBorder="1" applyAlignment="1">
      <alignment horizontal="center" vertical="center"/>
    </xf>
    <xf numFmtId="4" fontId="20" fillId="38" borderId="1" xfId="0" applyNumberFormat="1" applyFont="1" applyFill="1" applyBorder="1" applyAlignment="1">
      <alignment horizontal="center" vertical="center"/>
    </xf>
    <xf numFmtId="4" fontId="20" fillId="37" borderId="1" xfId="0" applyNumberFormat="1" applyFont="1" applyFill="1" applyBorder="1" applyAlignment="1">
      <alignment horizontal="center" vertical="center"/>
    </xf>
    <xf numFmtId="10" fontId="19" fillId="36" borderId="1" xfId="0" applyNumberFormat="1" applyFont="1" applyFill="1" applyBorder="1" applyAlignment="1">
      <alignment horizontal="center" vertical="center"/>
    </xf>
    <xf numFmtId="0" fontId="0" fillId="6" borderId="0" xfId="0" applyFill="1"/>
    <xf numFmtId="165" fontId="0" fillId="31" borderId="7" xfId="0" applyNumberFormat="1" applyFill="1" applyBorder="1" applyAlignment="1">
      <alignment horizontal="center" vertical="center"/>
    </xf>
    <xf numFmtId="165" fontId="2" fillId="31" borderId="40" xfId="0" applyNumberFormat="1" applyFont="1" applyFill="1" applyBorder="1" applyAlignment="1">
      <alignment horizontal="center" vertical="center"/>
    </xf>
    <xf numFmtId="0" fontId="13" fillId="0" borderId="41" xfId="0" applyFont="1" applyBorder="1" applyAlignment="1">
      <alignment horizontal="left" vertical="center"/>
    </xf>
    <xf numFmtId="0" fontId="13" fillId="0" borderId="42" xfId="0" applyFont="1" applyBorder="1" applyAlignment="1">
      <alignment horizontal="left" vertical="center"/>
    </xf>
    <xf numFmtId="0" fontId="13" fillId="0" borderId="1" xfId="0" applyFont="1" applyBorder="1" applyAlignment="1">
      <alignment horizontal="left" vertical="center"/>
    </xf>
    <xf numFmtId="0" fontId="13" fillId="0" borderId="1" xfId="0" applyFont="1" applyFill="1" applyBorder="1" applyAlignment="1">
      <alignment horizontal="left" vertical="center"/>
    </xf>
    <xf numFmtId="0" fontId="13" fillId="0" borderId="2" xfId="0" applyFont="1" applyFill="1" applyBorder="1" applyAlignment="1">
      <alignment horizontal="left" vertical="center"/>
    </xf>
    <xf numFmtId="0" fontId="13" fillId="0" borderId="0" xfId="0" applyFont="1" applyFill="1" applyBorder="1" applyAlignment="1">
      <alignment horizontal="left" vertical="center"/>
    </xf>
    <xf numFmtId="0" fontId="13" fillId="0" borderId="0" xfId="0" applyFont="1" applyBorder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3" fillId="5" borderId="1" xfId="0" applyFont="1" applyFill="1" applyBorder="1" applyAlignment="1">
      <alignment horizontal="left" vertical="center"/>
    </xf>
    <xf numFmtId="0" fontId="13" fillId="0" borderId="22" xfId="0" applyFont="1" applyBorder="1" applyAlignment="1">
      <alignment horizontal="left" vertical="center"/>
    </xf>
    <xf numFmtId="0" fontId="7" fillId="26" borderId="7" xfId="0" applyFont="1" applyFill="1" applyBorder="1" applyAlignment="1">
      <alignment horizontal="left" vertical="center"/>
    </xf>
    <xf numFmtId="0" fontId="7" fillId="26" borderId="1" xfId="0" applyFont="1" applyFill="1" applyBorder="1" applyAlignment="1">
      <alignment horizontal="left" vertical="center"/>
    </xf>
    <xf numFmtId="0" fontId="7" fillId="27" borderId="7" xfId="0" applyFont="1" applyFill="1" applyBorder="1" applyAlignment="1">
      <alignment horizontal="left" vertical="center"/>
    </xf>
    <xf numFmtId="0" fontId="7" fillId="27" borderId="1" xfId="0" applyFont="1" applyFill="1" applyBorder="1" applyAlignment="1">
      <alignment horizontal="left" vertical="center"/>
    </xf>
    <xf numFmtId="0" fontId="23" fillId="12" borderId="7" xfId="0" applyFont="1" applyFill="1" applyBorder="1" applyAlignment="1">
      <alignment horizontal="left" vertical="center"/>
    </xf>
    <xf numFmtId="0" fontId="23" fillId="12" borderId="1" xfId="0" applyFont="1" applyFill="1" applyBorder="1" applyAlignment="1">
      <alignment horizontal="left" vertical="center"/>
    </xf>
    <xf numFmtId="0" fontId="13" fillId="29" borderId="7" xfId="0" applyFont="1" applyFill="1" applyBorder="1" applyAlignment="1">
      <alignment horizontal="left" vertical="center"/>
    </xf>
    <xf numFmtId="0" fontId="13" fillId="29" borderId="1" xfId="0" applyFont="1" applyFill="1" applyBorder="1" applyAlignment="1">
      <alignment horizontal="left" vertical="center"/>
    </xf>
    <xf numFmtId="0" fontId="13" fillId="30" borderId="7" xfId="0" applyFont="1" applyFill="1" applyBorder="1" applyAlignment="1">
      <alignment horizontal="left" vertical="center"/>
    </xf>
    <xf numFmtId="0" fontId="13" fillId="30" borderId="1" xfId="0" applyFont="1" applyFill="1" applyBorder="1" applyAlignment="1">
      <alignment horizontal="left" vertical="center"/>
    </xf>
    <xf numFmtId="0" fontId="24" fillId="39" borderId="7" xfId="0" applyFont="1" applyFill="1" applyBorder="1" applyAlignment="1">
      <alignment horizontal="left" vertical="center"/>
    </xf>
    <xf numFmtId="0" fontId="24" fillId="39" borderId="1" xfId="0" applyFont="1" applyFill="1" applyBorder="1" applyAlignment="1">
      <alignment horizontal="left" vertical="center"/>
    </xf>
    <xf numFmtId="0" fontId="13" fillId="0" borderId="43" xfId="0" applyFont="1" applyBorder="1" applyAlignment="1">
      <alignment horizontal="left" vertical="center"/>
    </xf>
    <xf numFmtId="0" fontId="13" fillId="0" borderId="18" xfId="0" applyFont="1" applyBorder="1" applyAlignment="1">
      <alignment horizontal="left" vertical="center"/>
    </xf>
    <xf numFmtId="0" fontId="13" fillId="5" borderId="6" xfId="0" applyFont="1" applyFill="1" applyBorder="1" applyAlignment="1">
      <alignment horizontal="left" vertical="center"/>
    </xf>
    <xf numFmtId="0" fontId="14" fillId="4" borderId="3" xfId="0" applyFont="1" applyFill="1" applyBorder="1" applyAlignment="1">
      <alignment horizontal="center" vertical="center"/>
    </xf>
    <xf numFmtId="0" fontId="0" fillId="24" borderId="18" xfId="0" applyFill="1" applyBorder="1"/>
    <xf numFmtId="0" fontId="0" fillId="40" borderId="1" xfId="0" applyFont="1" applyFill="1" applyBorder="1" applyAlignment="1">
      <alignment horizontal="center" vertical="center"/>
    </xf>
    <xf numFmtId="0" fontId="0" fillId="0" borderId="22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23" xfId="0" applyFill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164" fontId="2" fillId="4" borderId="1" xfId="0" applyNumberFormat="1" applyFont="1" applyFill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164" fontId="0" fillId="0" borderId="25" xfId="0" applyNumberForma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9" fillId="12" borderId="6" xfId="0" applyFont="1" applyFill="1" applyBorder="1" applyAlignment="1">
      <alignment horizontal="center" vertical="center" wrapText="1"/>
    </xf>
    <xf numFmtId="0" fontId="13" fillId="24" borderId="0" xfId="0" applyFont="1" applyFill="1" applyAlignment="1">
      <alignment horizontal="left" vertical="center"/>
    </xf>
    <xf numFmtId="0" fontId="13" fillId="24" borderId="1" xfId="0" applyFont="1" applyFill="1" applyBorder="1" applyAlignment="1">
      <alignment horizontal="left" vertical="center"/>
    </xf>
    <xf numFmtId="0" fontId="0" fillId="0" borderId="24" xfId="0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165" fontId="0" fillId="5" borderId="7" xfId="0" applyNumberFormat="1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2" fillId="25" borderId="1" xfId="0" applyFont="1" applyFill="1" applyBorder="1" applyAlignment="1">
      <alignment horizontal="center" vertical="center"/>
    </xf>
    <xf numFmtId="0" fontId="26" fillId="17" borderId="3" xfId="0" applyFont="1" applyFill="1" applyBorder="1" applyAlignment="1">
      <alignment horizontal="center" vertical="center"/>
    </xf>
    <xf numFmtId="0" fontId="13" fillId="4" borderId="0" xfId="0" applyFont="1" applyFill="1" applyBorder="1" applyAlignment="1">
      <alignment horizontal="center" vertical="center"/>
    </xf>
    <xf numFmtId="0" fontId="0" fillId="40" borderId="8" xfId="0" applyFont="1" applyFill="1" applyBorder="1" applyAlignment="1">
      <alignment horizontal="center" vertical="center"/>
    </xf>
    <xf numFmtId="0" fontId="0" fillId="40" borderId="45" xfId="0" applyFont="1" applyFill="1" applyBorder="1" applyAlignment="1">
      <alignment horizontal="center" vertical="center"/>
    </xf>
    <xf numFmtId="0" fontId="2" fillId="25" borderId="45" xfId="0" applyFont="1" applyFill="1" applyBorder="1" applyAlignment="1">
      <alignment horizontal="center" vertical="center"/>
    </xf>
    <xf numFmtId="0" fontId="9" fillId="23" borderId="6" xfId="0" applyFont="1" applyFill="1" applyBorder="1" applyAlignment="1">
      <alignment horizontal="center" vertical="center" wrapText="1"/>
    </xf>
    <xf numFmtId="0" fontId="9" fillId="26" borderId="6" xfId="0" applyFont="1" applyFill="1" applyBorder="1" applyAlignment="1">
      <alignment horizontal="center" vertical="center" wrapText="1"/>
    </xf>
    <xf numFmtId="0" fontId="0" fillId="4" borderId="0" xfId="0" applyFont="1" applyFill="1" applyBorder="1" applyAlignment="1">
      <alignment horizontal="center" vertical="center"/>
    </xf>
    <xf numFmtId="0" fontId="9" fillId="12" borderId="1" xfId="0" applyFont="1" applyFill="1" applyBorder="1" applyAlignment="1">
      <alignment horizontal="center" vertical="center" wrapText="1"/>
    </xf>
    <xf numFmtId="0" fontId="13" fillId="18" borderId="1" xfId="0" applyFont="1" applyFill="1" applyBorder="1" applyAlignment="1">
      <alignment horizontal="center" vertical="center"/>
    </xf>
    <xf numFmtId="0" fontId="2" fillId="10" borderId="45" xfId="0" applyFont="1" applyFill="1" applyBorder="1" applyAlignment="1">
      <alignment horizontal="center" vertical="center"/>
    </xf>
    <xf numFmtId="0" fontId="25" fillId="41" borderId="6" xfId="0" applyFont="1" applyFill="1" applyBorder="1" applyAlignment="1">
      <alignment horizontal="center" vertical="center"/>
    </xf>
    <xf numFmtId="0" fontId="25" fillId="41" borderId="25" xfId="0" applyFont="1" applyFill="1" applyBorder="1" applyAlignment="1">
      <alignment horizontal="center" vertical="center"/>
    </xf>
    <xf numFmtId="0" fontId="25" fillId="41" borderId="26" xfId="0" applyFont="1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9" fillId="12" borderId="25" xfId="0" applyFont="1" applyFill="1" applyBorder="1" applyAlignment="1">
      <alignment horizontal="center" vertical="center" wrapText="1"/>
    </xf>
    <xf numFmtId="0" fontId="13" fillId="4" borderId="0" xfId="0" applyFont="1" applyFill="1" applyBorder="1" applyAlignment="1">
      <alignment horizontal="left" vertical="center"/>
    </xf>
    <xf numFmtId="0" fontId="13" fillId="4" borderId="0" xfId="0" applyFont="1" applyFill="1" applyAlignment="1">
      <alignment horizontal="left" vertical="center"/>
    </xf>
    <xf numFmtId="0" fontId="13" fillId="24" borderId="18" xfId="0" applyFont="1" applyFill="1" applyBorder="1" applyAlignment="1">
      <alignment horizontal="left" vertical="center"/>
    </xf>
    <xf numFmtId="0" fontId="13" fillId="24" borderId="47" xfId="0" applyFont="1" applyFill="1" applyBorder="1" applyAlignment="1">
      <alignment horizontal="left" vertical="center"/>
    </xf>
    <xf numFmtId="0" fontId="2" fillId="25" borderId="35" xfId="0" applyFont="1" applyFill="1" applyBorder="1" applyAlignment="1">
      <alignment horizontal="center" vertical="center"/>
    </xf>
    <xf numFmtId="0" fontId="9" fillId="26" borderId="48" xfId="0" applyFont="1" applyFill="1" applyBorder="1" applyAlignment="1">
      <alignment horizontal="center" vertical="center" wrapText="1"/>
    </xf>
    <xf numFmtId="0" fontId="13" fillId="5" borderId="46" xfId="0" applyFont="1" applyFill="1" applyBorder="1" applyAlignment="1">
      <alignment horizontal="center" vertical="center"/>
    </xf>
    <xf numFmtId="0" fontId="9" fillId="23" borderId="1" xfId="0" applyFont="1" applyFill="1" applyBorder="1" applyAlignment="1">
      <alignment horizontal="center" vertical="center" wrapText="1"/>
    </xf>
    <xf numFmtId="0" fontId="9" fillId="26" borderId="1" xfId="0" applyFont="1" applyFill="1" applyBorder="1" applyAlignment="1">
      <alignment horizontal="center" vertical="center" wrapText="1"/>
    </xf>
    <xf numFmtId="0" fontId="0" fillId="0" borderId="44" xfId="0" applyFill="1" applyBorder="1" applyAlignment="1">
      <alignment horizontal="center" vertical="center"/>
    </xf>
    <xf numFmtId="0" fontId="0" fillId="0" borderId="26" xfId="0" applyFill="1" applyBorder="1" applyAlignment="1">
      <alignment horizontal="center" vertical="center"/>
    </xf>
    <xf numFmtId="0" fontId="8" fillId="13" borderId="0" xfId="0" applyFont="1" applyFill="1" applyAlignment="1">
      <alignment horizontal="center" vertical="center"/>
    </xf>
    <xf numFmtId="0" fontId="8" fillId="13" borderId="0" xfId="0" applyFont="1" applyFill="1" applyBorder="1" applyAlignment="1">
      <alignment horizontal="center" vertical="center"/>
    </xf>
    <xf numFmtId="0" fontId="7" fillId="12" borderId="9" xfId="0" applyFont="1" applyFill="1" applyBorder="1" applyAlignment="1">
      <alignment horizontal="center" vertical="center"/>
    </xf>
    <xf numFmtId="0" fontId="7" fillId="12" borderId="10" xfId="0" applyFont="1" applyFill="1" applyBorder="1" applyAlignment="1">
      <alignment horizontal="center" vertical="center"/>
    </xf>
    <xf numFmtId="0" fontId="7" fillId="12" borderId="11" xfId="0" applyFont="1" applyFill="1" applyBorder="1" applyAlignment="1">
      <alignment horizontal="center" vertical="center"/>
    </xf>
    <xf numFmtId="0" fontId="7" fillId="12" borderId="4" xfId="0" applyFont="1" applyFill="1" applyBorder="1" applyAlignment="1">
      <alignment horizontal="center" vertical="center"/>
    </xf>
    <xf numFmtId="0" fontId="7" fillId="12" borderId="12" xfId="0" applyFont="1" applyFill="1" applyBorder="1" applyAlignment="1">
      <alignment horizontal="center" vertical="center"/>
    </xf>
    <xf numFmtId="0" fontId="7" fillId="12" borderId="13" xfId="0" applyFont="1" applyFill="1" applyBorder="1" applyAlignment="1">
      <alignment horizontal="center" vertical="center"/>
    </xf>
    <xf numFmtId="4" fontId="5" fillId="4" borderId="9" xfId="0" applyNumberFormat="1" applyFont="1" applyFill="1" applyBorder="1" applyAlignment="1">
      <alignment horizontal="center" vertical="center"/>
    </xf>
    <xf numFmtId="4" fontId="5" fillId="4" borderId="10" xfId="0" applyNumberFormat="1" applyFont="1" applyFill="1" applyBorder="1" applyAlignment="1">
      <alignment horizontal="center" vertical="center"/>
    </xf>
    <xf numFmtId="4" fontId="5" fillId="4" borderId="11" xfId="0" applyNumberFormat="1" applyFont="1" applyFill="1" applyBorder="1" applyAlignment="1">
      <alignment horizontal="center" vertical="center"/>
    </xf>
    <xf numFmtId="4" fontId="5" fillId="4" borderId="4" xfId="0" applyNumberFormat="1" applyFont="1" applyFill="1" applyBorder="1" applyAlignment="1">
      <alignment horizontal="center" vertical="center"/>
    </xf>
    <xf numFmtId="4" fontId="5" fillId="4" borderId="12" xfId="0" applyNumberFormat="1" applyFont="1" applyFill="1" applyBorder="1" applyAlignment="1">
      <alignment horizontal="center" vertical="center"/>
    </xf>
    <xf numFmtId="4" fontId="5" fillId="4" borderId="13" xfId="0" applyNumberFormat="1" applyFont="1" applyFill="1" applyBorder="1" applyAlignment="1">
      <alignment horizontal="center" vertical="center"/>
    </xf>
    <xf numFmtId="0" fontId="8" fillId="13" borderId="12" xfId="0" applyFont="1" applyFill="1" applyBorder="1" applyAlignment="1">
      <alignment horizontal="center" vertical="center"/>
    </xf>
    <xf numFmtId="0" fontId="4" fillId="12" borderId="14" xfId="0" applyFont="1" applyFill="1" applyBorder="1" applyAlignment="1">
      <alignment horizontal="center"/>
    </xf>
    <xf numFmtId="0" fontId="4" fillId="12" borderId="15" xfId="0" applyFont="1" applyFill="1" applyBorder="1" applyAlignment="1">
      <alignment horizontal="center"/>
    </xf>
    <xf numFmtId="0" fontId="4" fillId="12" borderId="16" xfId="0" applyFont="1" applyFill="1" applyBorder="1" applyAlignment="1">
      <alignment horizontal="center"/>
    </xf>
    <xf numFmtId="4" fontId="0" fillId="4" borderId="14" xfId="0" applyNumberFormat="1" applyFill="1" applyBorder="1" applyAlignment="1">
      <alignment horizontal="center"/>
    </xf>
    <xf numFmtId="4" fontId="0" fillId="4" borderId="15" xfId="0" applyNumberFormat="1" applyFill="1" applyBorder="1" applyAlignment="1">
      <alignment horizontal="center"/>
    </xf>
    <xf numFmtId="4" fontId="0" fillId="4" borderId="16" xfId="0" applyNumberFormat="1" applyFill="1" applyBorder="1" applyAlignment="1">
      <alignment horizontal="center"/>
    </xf>
    <xf numFmtId="0" fontId="7" fillId="12" borderId="9" xfId="0" applyFont="1" applyFill="1" applyBorder="1" applyAlignment="1">
      <alignment horizontal="center" vertical="center" wrapText="1"/>
    </xf>
    <xf numFmtId="0" fontId="7" fillId="12" borderId="10" xfId="0" applyFont="1" applyFill="1" applyBorder="1" applyAlignment="1">
      <alignment horizontal="center" vertical="center" wrapText="1"/>
    </xf>
    <xf numFmtId="0" fontId="7" fillId="12" borderId="11" xfId="0" applyFont="1" applyFill="1" applyBorder="1" applyAlignment="1">
      <alignment horizontal="center" vertical="center" wrapText="1"/>
    </xf>
    <xf numFmtId="0" fontId="7" fillId="12" borderId="33" xfId="0" applyFont="1" applyFill="1" applyBorder="1" applyAlignment="1">
      <alignment horizontal="center" vertical="center" wrapText="1"/>
    </xf>
    <xf numFmtId="0" fontId="7" fillId="12" borderId="0" xfId="0" applyFont="1" applyFill="1" applyBorder="1" applyAlignment="1">
      <alignment horizontal="center" vertical="center" wrapText="1"/>
    </xf>
    <xf numFmtId="0" fontId="7" fillId="12" borderId="34" xfId="0" applyFont="1" applyFill="1" applyBorder="1" applyAlignment="1">
      <alignment horizontal="center" vertical="center" wrapText="1"/>
    </xf>
    <xf numFmtId="0" fontId="7" fillId="12" borderId="4" xfId="0" applyFont="1" applyFill="1" applyBorder="1" applyAlignment="1">
      <alignment horizontal="center" vertical="center" wrapText="1"/>
    </xf>
    <xf numFmtId="0" fontId="7" fillId="12" borderId="12" xfId="0" applyFont="1" applyFill="1" applyBorder="1" applyAlignment="1">
      <alignment horizontal="center" vertical="center" wrapText="1"/>
    </xf>
    <xf numFmtId="0" fontId="7" fillId="12" borderId="13" xfId="0" applyFont="1" applyFill="1" applyBorder="1" applyAlignment="1">
      <alignment horizontal="center" vertical="center" wrapText="1"/>
    </xf>
    <xf numFmtId="4" fontId="5" fillId="4" borderId="33" xfId="0" applyNumberFormat="1" applyFont="1" applyFill="1" applyBorder="1" applyAlignment="1">
      <alignment horizontal="center" vertical="center"/>
    </xf>
    <xf numFmtId="4" fontId="5" fillId="4" borderId="0" xfId="0" applyNumberFormat="1" applyFont="1" applyFill="1" applyBorder="1" applyAlignment="1">
      <alignment horizontal="center" vertical="center"/>
    </xf>
    <xf numFmtId="4" fontId="5" fillId="4" borderId="34" xfId="0" applyNumberFormat="1" applyFont="1" applyFill="1" applyBorder="1" applyAlignment="1">
      <alignment horizontal="center" vertical="center"/>
    </xf>
    <xf numFmtId="0" fontId="8" fillId="4" borderId="0" xfId="0" applyFont="1" applyFill="1" applyBorder="1" applyAlignment="1">
      <alignment horizontal="center" vertical="center"/>
    </xf>
    <xf numFmtId="4" fontId="6" fillId="23" borderId="35" xfId="0" applyNumberFormat="1" applyFont="1" applyFill="1" applyBorder="1" applyAlignment="1">
      <alignment horizontal="center" vertical="center"/>
    </xf>
    <xf numFmtId="4" fontId="6" fillId="23" borderId="36" xfId="0" applyNumberFormat="1" applyFont="1" applyFill="1" applyBorder="1" applyAlignment="1">
      <alignment horizontal="center" vertical="center"/>
    </xf>
    <xf numFmtId="4" fontId="6" fillId="23" borderId="37" xfId="0" applyNumberFormat="1" applyFont="1" applyFill="1" applyBorder="1" applyAlignment="1">
      <alignment horizontal="center" vertical="center"/>
    </xf>
    <xf numFmtId="4" fontId="6" fillId="23" borderId="38" xfId="0" applyNumberFormat="1" applyFont="1" applyFill="1" applyBorder="1" applyAlignment="1">
      <alignment horizontal="center" vertical="center"/>
    </xf>
    <xf numFmtId="4" fontId="6" fillId="23" borderId="39" xfId="0" applyNumberFormat="1" applyFont="1" applyFill="1" applyBorder="1" applyAlignment="1">
      <alignment horizontal="center" vertical="center"/>
    </xf>
    <xf numFmtId="4" fontId="6" fillId="23" borderId="30" xfId="0" applyNumberFormat="1" applyFont="1" applyFill="1" applyBorder="1" applyAlignment="1">
      <alignment horizontal="center" vertical="center"/>
    </xf>
    <xf numFmtId="0" fontId="6" fillId="12" borderId="9" xfId="0" applyFont="1" applyFill="1" applyBorder="1" applyAlignment="1">
      <alignment horizontal="center" vertical="center"/>
    </xf>
    <xf numFmtId="0" fontId="6" fillId="12" borderId="10" xfId="0" applyFont="1" applyFill="1" applyBorder="1" applyAlignment="1">
      <alignment horizontal="center" vertical="center"/>
    </xf>
    <xf numFmtId="0" fontId="6" fillId="12" borderId="11" xfId="0" applyFont="1" applyFill="1" applyBorder="1" applyAlignment="1">
      <alignment horizontal="center" vertical="center"/>
    </xf>
    <xf numFmtId="0" fontId="6" fillId="12" borderId="4" xfId="0" applyFont="1" applyFill="1" applyBorder="1" applyAlignment="1">
      <alignment horizontal="center" vertical="center"/>
    </xf>
    <xf numFmtId="0" fontId="6" fillId="12" borderId="12" xfId="0" applyFont="1" applyFill="1" applyBorder="1" applyAlignment="1">
      <alignment horizontal="center" vertical="center"/>
    </xf>
    <xf numFmtId="0" fontId="6" fillId="12" borderId="13" xfId="0" applyFont="1" applyFill="1" applyBorder="1" applyAlignment="1">
      <alignment horizontal="center" vertical="center"/>
    </xf>
    <xf numFmtId="0" fontId="0" fillId="13" borderId="15" xfId="0" applyFill="1" applyBorder="1" applyAlignment="1">
      <alignment horizontal="center"/>
    </xf>
    <xf numFmtId="0" fontId="0" fillId="13" borderId="15" xfId="0" quotePrefix="1" applyFill="1" applyBorder="1" applyAlignment="1">
      <alignment horizontal="center"/>
    </xf>
    <xf numFmtId="0" fontId="15" fillId="11" borderId="9" xfId="0" applyFont="1" applyFill="1" applyBorder="1" applyAlignment="1">
      <alignment horizontal="center" vertical="center"/>
    </xf>
    <xf numFmtId="0" fontId="15" fillId="11" borderId="11" xfId="0" applyFont="1" applyFill="1" applyBorder="1" applyAlignment="1">
      <alignment horizontal="center" vertical="center"/>
    </xf>
    <xf numFmtId="0" fontId="15" fillId="11" borderId="4" xfId="0" applyFont="1" applyFill="1" applyBorder="1" applyAlignment="1">
      <alignment horizontal="center" vertical="center"/>
    </xf>
    <xf numFmtId="0" fontId="15" fillId="11" borderId="13" xfId="0" applyFont="1" applyFill="1" applyBorder="1" applyAlignment="1">
      <alignment horizontal="center" vertical="center"/>
    </xf>
    <xf numFmtId="4" fontId="13" fillId="0" borderId="9" xfId="0" applyNumberFormat="1" applyFont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3" fillId="0" borderId="13" xfId="0" applyFont="1" applyBorder="1" applyAlignment="1">
      <alignment horizontal="center" vertical="center"/>
    </xf>
    <xf numFmtId="0" fontId="17" fillId="20" borderId="9" xfId="0" applyFont="1" applyFill="1" applyBorder="1" applyAlignment="1">
      <alignment horizontal="center" vertical="center"/>
    </xf>
    <xf numFmtId="0" fontId="17" fillId="20" borderId="10" xfId="0" applyFont="1" applyFill="1" applyBorder="1" applyAlignment="1">
      <alignment horizontal="center" vertical="center"/>
    </xf>
    <xf numFmtId="0" fontId="17" fillId="20" borderId="11" xfId="0" applyFont="1" applyFill="1" applyBorder="1" applyAlignment="1">
      <alignment horizontal="center" vertical="center"/>
    </xf>
    <xf numFmtId="0" fontId="17" fillId="20" borderId="33" xfId="0" applyFont="1" applyFill="1" applyBorder="1" applyAlignment="1">
      <alignment horizontal="center" vertical="center"/>
    </xf>
    <xf numFmtId="0" fontId="17" fillId="20" borderId="0" xfId="0" applyFont="1" applyFill="1" applyBorder="1" applyAlignment="1">
      <alignment horizontal="center" vertical="center"/>
    </xf>
    <xf numFmtId="0" fontId="17" fillId="20" borderId="12" xfId="0" applyFont="1" applyFill="1" applyBorder="1" applyAlignment="1">
      <alignment horizontal="center" vertical="center"/>
    </xf>
    <xf numFmtId="0" fontId="17" fillId="20" borderId="13" xfId="0" applyFont="1" applyFill="1" applyBorder="1" applyAlignment="1">
      <alignment horizontal="center" vertical="center"/>
    </xf>
    <xf numFmtId="0" fontId="14" fillId="5" borderId="9" xfId="0" applyFont="1" applyFill="1" applyBorder="1" applyAlignment="1">
      <alignment horizontal="center" vertical="center"/>
    </xf>
    <xf numFmtId="0" fontId="14" fillId="5" borderId="10" xfId="0" applyFont="1" applyFill="1" applyBorder="1" applyAlignment="1">
      <alignment horizontal="center" vertical="center"/>
    </xf>
    <xf numFmtId="0" fontId="14" fillId="5" borderId="11" xfId="0" applyFont="1" applyFill="1" applyBorder="1" applyAlignment="1">
      <alignment horizontal="center" vertical="center"/>
    </xf>
    <xf numFmtId="0" fontId="14" fillId="5" borderId="4" xfId="0" applyFont="1" applyFill="1" applyBorder="1" applyAlignment="1">
      <alignment horizontal="center" vertical="center"/>
    </xf>
    <xf numFmtId="0" fontId="14" fillId="5" borderId="12" xfId="0" applyFont="1" applyFill="1" applyBorder="1" applyAlignment="1">
      <alignment horizontal="center" vertical="center"/>
    </xf>
    <xf numFmtId="0" fontId="14" fillId="5" borderId="13" xfId="0" applyFont="1" applyFill="1" applyBorder="1" applyAlignment="1">
      <alignment horizontal="center" vertical="center"/>
    </xf>
    <xf numFmtId="0" fontId="14" fillId="18" borderId="9" xfId="0" applyFont="1" applyFill="1" applyBorder="1" applyAlignment="1">
      <alignment horizontal="center" vertical="center"/>
    </xf>
    <xf numFmtId="0" fontId="14" fillId="18" borderId="10" xfId="0" applyFont="1" applyFill="1" applyBorder="1" applyAlignment="1">
      <alignment horizontal="center" vertical="center"/>
    </xf>
    <xf numFmtId="0" fontId="14" fillId="18" borderId="11" xfId="0" applyFont="1" applyFill="1" applyBorder="1" applyAlignment="1">
      <alignment horizontal="center" vertical="center"/>
    </xf>
    <xf numFmtId="0" fontId="14" fillId="18" borderId="4" xfId="0" applyFont="1" applyFill="1" applyBorder="1" applyAlignment="1">
      <alignment horizontal="center" vertical="center"/>
    </xf>
    <xf numFmtId="0" fontId="14" fillId="18" borderId="12" xfId="0" applyFont="1" applyFill="1" applyBorder="1" applyAlignment="1">
      <alignment horizontal="center" vertical="center"/>
    </xf>
    <xf numFmtId="0" fontId="14" fillId="18" borderId="13" xfId="0" applyFont="1" applyFill="1" applyBorder="1" applyAlignment="1">
      <alignment horizontal="center" vertical="center"/>
    </xf>
    <xf numFmtId="10" fontId="13" fillId="0" borderId="9" xfId="0" applyNumberFormat="1" applyFont="1" applyBorder="1" applyAlignment="1">
      <alignment horizontal="center" vertical="center"/>
    </xf>
    <xf numFmtId="10" fontId="13" fillId="0" borderId="11" xfId="0" applyNumberFormat="1" applyFont="1" applyBorder="1" applyAlignment="1">
      <alignment horizontal="center" vertical="center"/>
    </xf>
    <xf numFmtId="10" fontId="13" fillId="0" borderId="4" xfId="0" applyNumberFormat="1" applyFont="1" applyBorder="1" applyAlignment="1">
      <alignment horizontal="center" vertical="center"/>
    </xf>
    <xf numFmtId="10" fontId="13" fillId="0" borderId="13" xfId="0" applyNumberFormat="1" applyFont="1" applyBorder="1" applyAlignment="1">
      <alignment horizontal="center" vertical="center"/>
    </xf>
    <xf numFmtId="0" fontId="18" fillId="23" borderId="9" xfId="0" applyFont="1" applyFill="1" applyBorder="1" applyAlignment="1">
      <alignment horizontal="center" vertical="center"/>
    </xf>
    <xf numFmtId="0" fontId="18" fillId="23" borderId="10" xfId="0" applyFont="1" applyFill="1" applyBorder="1" applyAlignment="1">
      <alignment horizontal="center" vertical="center"/>
    </xf>
    <xf numFmtId="0" fontId="18" fillId="23" borderId="11" xfId="0" applyFont="1" applyFill="1" applyBorder="1" applyAlignment="1">
      <alignment horizontal="center" vertical="center"/>
    </xf>
    <xf numFmtId="0" fontId="22" fillId="4" borderId="9" xfId="0" applyFont="1" applyFill="1" applyBorder="1" applyAlignment="1">
      <alignment horizontal="center" vertical="center"/>
    </xf>
    <xf numFmtId="0" fontId="22" fillId="4" borderId="10" xfId="0" applyFont="1" applyFill="1" applyBorder="1" applyAlignment="1">
      <alignment horizontal="center" vertical="center"/>
    </xf>
    <xf numFmtId="0" fontId="22" fillId="4" borderId="11" xfId="0" applyFont="1" applyFill="1" applyBorder="1" applyAlignment="1">
      <alignment horizontal="center" vertical="center"/>
    </xf>
    <xf numFmtId="0" fontId="22" fillId="4" borderId="33" xfId="0" applyFont="1" applyFill="1" applyBorder="1" applyAlignment="1">
      <alignment horizontal="center" vertical="center"/>
    </xf>
    <xf numFmtId="0" fontId="22" fillId="4" borderId="0" xfId="0" applyFont="1" applyFill="1" applyBorder="1" applyAlignment="1">
      <alignment horizontal="center" vertical="center"/>
    </xf>
    <xf numFmtId="0" fontId="22" fillId="4" borderId="34" xfId="0" applyFont="1" applyFill="1" applyBorder="1" applyAlignment="1">
      <alignment horizontal="center" vertical="center"/>
    </xf>
    <xf numFmtId="0" fontId="22" fillId="4" borderId="4" xfId="0" applyFont="1" applyFill="1" applyBorder="1" applyAlignment="1">
      <alignment horizontal="center" vertical="center"/>
    </xf>
    <xf numFmtId="0" fontId="22" fillId="4" borderId="12" xfId="0" applyFont="1" applyFill="1" applyBorder="1" applyAlignment="1">
      <alignment horizontal="center" vertical="center"/>
    </xf>
    <xf numFmtId="0" fontId="22" fillId="4" borderId="13" xfId="0" applyFont="1" applyFill="1" applyBorder="1" applyAlignment="1">
      <alignment horizontal="center" vertical="center"/>
    </xf>
    <xf numFmtId="0" fontId="21" fillId="4" borderId="9" xfId="0" applyFont="1" applyFill="1" applyBorder="1" applyAlignment="1">
      <alignment horizontal="center" vertical="center"/>
    </xf>
    <xf numFmtId="0" fontId="21" fillId="4" borderId="10" xfId="0" applyFont="1" applyFill="1" applyBorder="1" applyAlignment="1">
      <alignment horizontal="center" vertical="center"/>
    </xf>
    <xf numFmtId="0" fontId="21" fillId="4" borderId="11" xfId="0" applyFont="1" applyFill="1" applyBorder="1" applyAlignment="1">
      <alignment horizontal="center" vertical="center"/>
    </xf>
    <xf numFmtId="0" fontId="21" fillId="4" borderId="4" xfId="0" applyFont="1" applyFill="1" applyBorder="1" applyAlignment="1">
      <alignment horizontal="center" vertical="center"/>
    </xf>
    <xf numFmtId="0" fontId="21" fillId="4" borderId="12" xfId="0" applyFont="1" applyFill="1" applyBorder="1" applyAlignment="1">
      <alignment horizontal="center" vertical="center"/>
    </xf>
    <xf numFmtId="0" fontId="21" fillId="4" borderId="13" xfId="0" applyFont="1" applyFill="1" applyBorder="1" applyAlignment="1">
      <alignment horizontal="center" vertical="center"/>
    </xf>
    <xf numFmtId="165" fontId="26" fillId="17" borderId="3" xfId="0" applyNumberFormat="1" applyFont="1" applyFill="1" applyBorder="1" applyAlignment="1">
      <alignment horizontal="center" vertical="center"/>
    </xf>
    <xf numFmtId="0" fontId="27" fillId="41" borderId="1" xfId="0" applyFont="1" applyFill="1" applyBorder="1" applyAlignment="1">
      <alignment horizontal="center" vertical="center"/>
    </xf>
    <xf numFmtId="4" fontId="9" fillId="41" borderId="1" xfId="0" applyNumberFormat="1" applyFont="1" applyFill="1" applyBorder="1" applyAlignment="1">
      <alignment horizontal="center" vertical="center"/>
    </xf>
    <xf numFmtId="0" fontId="9" fillId="41" borderId="1" xfId="0" applyFont="1" applyFill="1" applyBorder="1" applyAlignment="1">
      <alignment horizontal="center" vertical="center"/>
    </xf>
    <xf numFmtId="16" fontId="0" fillId="4" borderId="0" xfId="0" applyNumberFormat="1" applyFill="1" applyBorder="1" applyAlignment="1">
      <alignment horizontal="center" vertical="center"/>
    </xf>
    <xf numFmtId="0" fontId="23" fillId="12" borderId="49" xfId="0" applyFont="1" applyFill="1" applyBorder="1" applyAlignment="1">
      <alignment horizontal="center" vertical="center"/>
    </xf>
    <xf numFmtId="0" fontId="9" fillId="12" borderId="41" xfId="0" applyFont="1" applyFill="1" applyBorder="1" applyAlignment="1">
      <alignment horizontal="center" vertical="center" wrapText="1"/>
    </xf>
    <xf numFmtId="0" fontId="28" fillId="12" borderId="42" xfId="0" applyFont="1" applyFill="1" applyBorder="1" applyAlignment="1">
      <alignment horizontal="center" vertical="center" wrapText="1"/>
    </xf>
    <xf numFmtId="0" fontId="0" fillId="4" borderId="40" xfId="0" applyFill="1" applyBorder="1" applyAlignment="1">
      <alignment horizontal="center" vertical="center"/>
    </xf>
    <xf numFmtId="0" fontId="0" fillId="4" borderId="24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FF00"/>
      <color rgb="FF66FFFF"/>
      <color rgb="FFFF3B3B"/>
      <color rgb="FFFF33CC"/>
      <color rgb="FFFF5B5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jpeg"/><Relationship Id="rId4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77357</xdr:colOff>
      <xdr:row>7</xdr:row>
      <xdr:rowOff>85726</xdr:rowOff>
    </xdr:from>
    <xdr:ext cx="1940788" cy="1085850"/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2620532" y="1419226"/>
          <a:ext cx="1940788" cy="1085850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endParaRPr lang="en-US" sz="36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oneCellAnchor>
  <xdr:twoCellAnchor editAs="oneCell">
    <xdr:from>
      <xdr:col>1</xdr:col>
      <xdr:colOff>198676</xdr:colOff>
      <xdr:row>1</xdr:row>
      <xdr:rowOff>98506</xdr:rowOff>
    </xdr:from>
    <xdr:to>
      <xdr:col>4</xdr:col>
      <xdr:colOff>323850</xdr:colOff>
      <xdr:row>19</xdr:row>
      <xdr:rowOff>104775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9176" y="289006"/>
          <a:ext cx="1811099" cy="35590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14</xdr:row>
          <xdr:rowOff>180975</xdr:rowOff>
        </xdr:from>
        <xdr:to>
          <xdr:col>9</xdr:col>
          <xdr:colOff>219075</xdr:colOff>
          <xdr:row>16</xdr:row>
          <xdr:rowOff>180975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17</xdr:row>
          <xdr:rowOff>47625</xdr:rowOff>
        </xdr:from>
        <xdr:to>
          <xdr:col>9</xdr:col>
          <xdr:colOff>219075</xdr:colOff>
          <xdr:row>19</xdr:row>
          <xdr:rowOff>66675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371476</xdr:colOff>
      <xdr:row>6</xdr:row>
      <xdr:rowOff>28574</xdr:rowOff>
    </xdr:from>
    <xdr:to>
      <xdr:col>10</xdr:col>
      <xdr:colOff>247861</xdr:colOff>
      <xdr:row>14</xdr:row>
      <xdr:rowOff>85724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7901" y="1200149"/>
          <a:ext cx="3276810" cy="16478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200025</xdr:colOff>
          <xdr:row>6</xdr:row>
          <xdr:rowOff>114300</xdr:rowOff>
        </xdr:from>
        <xdr:to>
          <xdr:col>8</xdr:col>
          <xdr:colOff>466725</xdr:colOff>
          <xdr:row>12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476250</xdr:colOff>
      <xdr:row>0</xdr:row>
      <xdr:rowOff>66676</xdr:rowOff>
    </xdr:from>
    <xdr:to>
      <xdr:col>2</xdr:col>
      <xdr:colOff>442772</xdr:colOff>
      <xdr:row>1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EF66C7C-6980-4229-BEBB-DE6A949FCB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2075" y="66676"/>
          <a:ext cx="852347" cy="428624"/>
        </a:xfrm>
        <a:prstGeom prst="rect">
          <a:avLst/>
        </a:prstGeom>
      </xdr:spPr>
    </xdr:pic>
    <xdr:clientData/>
  </xdr:twoCellAnchor>
  <xdr:oneCellAnchor>
    <xdr:from>
      <xdr:col>5</xdr:col>
      <xdr:colOff>476250</xdr:colOff>
      <xdr:row>0</xdr:row>
      <xdr:rowOff>66676</xdr:rowOff>
    </xdr:from>
    <xdr:ext cx="852347" cy="428624"/>
    <xdr:pic>
      <xdr:nvPicPr>
        <xdr:cNvPr id="3" name="Picture 2">
          <a:extLst>
            <a:ext uri="{FF2B5EF4-FFF2-40B4-BE49-F238E27FC236}">
              <a16:creationId xmlns:a16="http://schemas.microsoft.com/office/drawing/2014/main" id="{5FABEF18-CD82-415D-A991-30F698EF47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2075" y="66676"/>
          <a:ext cx="852347" cy="428624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7</xdr:row>
      <xdr:rowOff>19050</xdr:rowOff>
    </xdr:from>
    <xdr:to>
      <xdr:col>1</xdr:col>
      <xdr:colOff>733425</xdr:colOff>
      <xdr:row>10</xdr:row>
      <xdr:rowOff>104775</xdr:rowOff>
    </xdr:to>
    <xdr:pic>
      <xdr:nvPicPr>
        <xdr:cNvPr id="2" name="Picture 1" descr="1,975,400+ People Icons Stock Illustrations, Royalty-Free Vector Graphics &amp;  Clip Art - iStock | People icons vector, Business people icons, Group of people  icons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6300" y="1371600"/>
          <a:ext cx="657225" cy="657225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219075</xdr:colOff>
      <xdr:row>7</xdr:row>
      <xdr:rowOff>9525</xdr:rowOff>
    </xdr:from>
    <xdr:to>
      <xdr:col>3</xdr:col>
      <xdr:colOff>76200</xdr:colOff>
      <xdr:row>10</xdr:row>
      <xdr:rowOff>95250</xdr:rowOff>
    </xdr:to>
    <xdr:pic>
      <xdr:nvPicPr>
        <xdr:cNvPr id="3" name="Picture 2" descr="1,975,400+ People Icons Stock Illustrations, Royalty-Free Vector Graphics &amp;  Clip Art - iStock | People icons vector, Business people icons, Group of people  icons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9275" y="1362075"/>
          <a:ext cx="657225" cy="657225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352425</xdr:colOff>
      <xdr:row>7</xdr:row>
      <xdr:rowOff>9525</xdr:rowOff>
    </xdr:from>
    <xdr:to>
      <xdr:col>4</xdr:col>
      <xdr:colOff>209550</xdr:colOff>
      <xdr:row>10</xdr:row>
      <xdr:rowOff>95250</xdr:rowOff>
    </xdr:to>
    <xdr:pic>
      <xdr:nvPicPr>
        <xdr:cNvPr id="4" name="Picture 3" descr="1,975,400+ People Icons Stock Illustrations, Royalty-Free Vector Graphics &amp;  Clip Art - iStock | People icons vector, Business people icons, Group of people  icons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52725" y="1362075"/>
          <a:ext cx="657225" cy="657225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447675</xdr:colOff>
      <xdr:row>7</xdr:row>
      <xdr:rowOff>9525</xdr:rowOff>
    </xdr:from>
    <xdr:to>
      <xdr:col>5</xdr:col>
      <xdr:colOff>304800</xdr:colOff>
      <xdr:row>10</xdr:row>
      <xdr:rowOff>95250</xdr:rowOff>
    </xdr:to>
    <xdr:pic>
      <xdr:nvPicPr>
        <xdr:cNvPr id="5" name="Picture 4" descr="1,975,400+ People Icons Stock Illustrations, Royalty-Free Vector Graphics &amp;  Clip Art - iStock | People icons vector, Business people icons, Group of people  icons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48075" y="1362075"/>
          <a:ext cx="657225" cy="657225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552450</xdr:colOff>
      <xdr:row>7</xdr:row>
      <xdr:rowOff>9525</xdr:rowOff>
    </xdr:from>
    <xdr:to>
      <xdr:col>6</xdr:col>
      <xdr:colOff>409575</xdr:colOff>
      <xdr:row>10</xdr:row>
      <xdr:rowOff>95250</xdr:rowOff>
    </xdr:to>
    <xdr:pic>
      <xdr:nvPicPr>
        <xdr:cNvPr id="6" name="Picture 5" descr="1,975,400+ People Icons Stock Illustrations, Royalty-Free Vector Graphics &amp;  Clip Art - iStock | People icons vector, Business people icons, Group of people  icons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52950" y="1362075"/>
          <a:ext cx="657225" cy="657225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733425</xdr:colOff>
      <xdr:row>7</xdr:row>
      <xdr:rowOff>0</xdr:rowOff>
    </xdr:from>
    <xdr:to>
      <xdr:col>7</xdr:col>
      <xdr:colOff>590550</xdr:colOff>
      <xdr:row>10</xdr:row>
      <xdr:rowOff>85725</xdr:rowOff>
    </xdr:to>
    <xdr:pic>
      <xdr:nvPicPr>
        <xdr:cNvPr id="7" name="Picture 6" descr="1,975,400+ People Icons Stock Illustrations, Royalty-Free Vector Graphics &amp;  Clip Art - iStock | People icons vector, Business people icons, Group of people  icons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34025" y="1352550"/>
          <a:ext cx="657225" cy="657225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85725</xdr:colOff>
      <xdr:row>7</xdr:row>
      <xdr:rowOff>0</xdr:rowOff>
    </xdr:from>
    <xdr:to>
      <xdr:col>8</xdr:col>
      <xdr:colOff>742950</xdr:colOff>
      <xdr:row>10</xdr:row>
      <xdr:rowOff>85725</xdr:rowOff>
    </xdr:to>
    <xdr:pic>
      <xdr:nvPicPr>
        <xdr:cNvPr id="8" name="Picture 7" descr="1,975,400+ People Icons Stock Illustrations, Royalty-Free Vector Graphics &amp;  Clip Art - iStock | People icons vector, Business people icons, Group of people  icons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86525" y="1352550"/>
          <a:ext cx="657225" cy="657225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110289</xdr:colOff>
      <xdr:row>11</xdr:row>
      <xdr:rowOff>114074</xdr:rowOff>
    </xdr:from>
    <xdr:to>
      <xdr:col>3</xdr:col>
      <xdr:colOff>481966</xdr:colOff>
      <xdr:row>17</xdr:row>
      <xdr:rowOff>142851</xdr:rowOff>
    </xdr:to>
    <xdr:pic>
      <xdr:nvPicPr>
        <xdr:cNvPr id="9" name="Picture 8" descr="Right arrow - Free arrows icons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3146601">
          <a:off x="1710489" y="2228624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357938</xdr:colOff>
      <xdr:row>11</xdr:row>
      <xdr:rowOff>18823</xdr:rowOff>
    </xdr:from>
    <xdr:to>
      <xdr:col>7</xdr:col>
      <xdr:colOff>729615</xdr:colOff>
      <xdr:row>17</xdr:row>
      <xdr:rowOff>47600</xdr:rowOff>
    </xdr:to>
    <xdr:pic>
      <xdr:nvPicPr>
        <xdr:cNvPr id="10" name="Picture 9" descr="Right arrow - Free arrows icons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7969746">
          <a:off x="5158538" y="2133373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167438</xdr:colOff>
      <xdr:row>11</xdr:row>
      <xdr:rowOff>66448</xdr:rowOff>
    </xdr:from>
    <xdr:to>
      <xdr:col>5</xdr:col>
      <xdr:colOff>539115</xdr:colOff>
      <xdr:row>17</xdr:row>
      <xdr:rowOff>95225</xdr:rowOff>
    </xdr:to>
    <xdr:pic>
      <xdr:nvPicPr>
        <xdr:cNvPr id="11" name="Picture 10" descr="Right arrow - Free arrows icons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3367838" y="2180998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361950</xdr:colOff>
      <xdr:row>26</xdr:row>
      <xdr:rowOff>0</xdr:rowOff>
    </xdr:from>
    <xdr:to>
      <xdr:col>2</xdr:col>
      <xdr:colOff>523875</xdr:colOff>
      <xdr:row>31</xdr:row>
      <xdr:rowOff>9525</xdr:rowOff>
    </xdr:to>
    <xdr:pic>
      <xdr:nvPicPr>
        <xdr:cNvPr id="12" name="Picture 11" descr="Philippine peso - Free business icons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2050" y="4991100"/>
          <a:ext cx="962025" cy="962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762000</xdr:colOff>
      <xdr:row>25</xdr:row>
      <xdr:rowOff>171450</xdr:rowOff>
    </xdr:from>
    <xdr:to>
      <xdr:col>4</xdr:col>
      <xdr:colOff>123825</xdr:colOff>
      <xdr:row>30</xdr:row>
      <xdr:rowOff>180975</xdr:rowOff>
    </xdr:to>
    <xdr:pic>
      <xdr:nvPicPr>
        <xdr:cNvPr id="13" name="Picture 12" descr="Philippine peso - Free business icons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62200" y="4972050"/>
          <a:ext cx="962025" cy="962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342900</xdr:colOff>
      <xdr:row>25</xdr:row>
      <xdr:rowOff>152400</xdr:rowOff>
    </xdr:from>
    <xdr:to>
      <xdr:col>5</xdr:col>
      <xdr:colOff>504825</xdr:colOff>
      <xdr:row>30</xdr:row>
      <xdr:rowOff>161925</xdr:rowOff>
    </xdr:to>
    <xdr:pic>
      <xdr:nvPicPr>
        <xdr:cNvPr id="14" name="Picture 13" descr="Philippine peso - Free business icons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43300" y="4953000"/>
          <a:ext cx="962025" cy="962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752475</xdr:colOff>
      <xdr:row>25</xdr:row>
      <xdr:rowOff>114300</xdr:rowOff>
    </xdr:from>
    <xdr:to>
      <xdr:col>7</xdr:col>
      <xdr:colOff>114300</xdr:colOff>
      <xdr:row>30</xdr:row>
      <xdr:rowOff>123825</xdr:rowOff>
    </xdr:to>
    <xdr:pic>
      <xdr:nvPicPr>
        <xdr:cNvPr id="15" name="Picture 14" descr="Philippine peso - Free business icons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52975" y="4914900"/>
          <a:ext cx="962025" cy="962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304800</xdr:colOff>
      <xdr:row>25</xdr:row>
      <xdr:rowOff>123825</xdr:rowOff>
    </xdr:from>
    <xdr:to>
      <xdr:col>8</xdr:col>
      <xdr:colOff>466725</xdr:colOff>
      <xdr:row>30</xdr:row>
      <xdr:rowOff>133350</xdr:rowOff>
    </xdr:to>
    <xdr:pic>
      <xdr:nvPicPr>
        <xdr:cNvPr id="16" name="Picture 15" descr="Philippine peso - Free business icons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05500" y="4924425"/>
          <a:ext cx="962025" cy="962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32</xdr:row>
      <xdr:rowOff>133122</xdr:rowOff>
    </xdr:from>
    <xdr:to>
      <xdr:col>2</xdr:col>
      <xdr:colOff>371677</xdr:colOff>
      <xdr:row>38</xdr:row>
      <xdr:rowOff>161899</xdr:rowOff>
    </xdr:to>
    <xdr:pic>
      <xdr:nvPicPr>
        <xdr:cNvPr id="19" name="Picture 18" descr="Right arrow - Free arrows icons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800100" y="6267222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456998</xdr:colOff>
      <xdr:row>32</xdr:row>
      <xdr:rowOff>133122</xdr:rowOff>
    </xdr:from>
    <xdr:to>
      <xdr:col>4</xdr:col>
      <xdr:colOff>28575</xdr:colOff>
      <xdr:row>38</xdr:row>
      <xdr:rowOff>161899</xdr:rowOff>
    </xdr:to>
    <xdr:pic>
      <xdr:nvPicPr>
        <xdr:cNvPr id="20" name="Picture 19" descr="Right arrow - Free arrows icons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2057198" y="6267222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190500</xdr:colOff>
      <xdr:row>32</xdr:row>
      <xdr:rowOff>133122</xdr:rowOff>
    </xdr:from>
    <xdr:to>
      <xdr:col>5</xdr:col>
      <xdr:colOff>562177</xdr:colOff>
      <xdr:row>38</xdr:row>
      <xdr:rowOff>161899</xdr:rowOff>
    </xdr:to>
    <xdr:pic>
      <xdr:nvPicPr>
        <xdr:cNvPr id="21" name="Picture 20" descr="Right arrow - Free arrows icons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3390900" y="6267222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733223</xdr:colOff>
      <xdr:row>32</xdr:row>
      <xdr:rowOff>133122</xdr:rowOff>
    </xdr:from>
    <xdr:to>
      <xdr:col>7</xdr:col>
      <xdr:colOff>304800</xdr:colOff>
      <xdr:row>38</xdr:row>
      <xdr:rowOff>161899</xdr:rowOff>
    </xdr:to>
    <xdr:pic>
      <xdr:nvPicPr>
        <xdr:cNvPr id="22" name="Picture 21" descr="Right arrow - Free arrows icons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4733723" y="6267222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428423</xdr:colOff>
      <xdr:row>32</xdr:row>
      <xdr:rowOff>133122</xdr:rowOff>
    </xdr:from>
    <xdr:to>
      <xdr:col>9</xdr:col>
      <xdr:colOff>0</xdr:colOff>
      <xdr:row>38</xdr:row>
      <xdr:rowOff>161899</xdr:rowOff>
    </xdr:to>
    <xdr:pic>
      <xdr:nvPicPr>
        <xdr:cNvPr id="23" name="Picture 22" descr="Right arrow - Free arrows icons">
          <a:extLst>
            <a:ext uri="{FF2B5EF4-FFF2-40B4-BE49-F238E27FC236}">
              <a16:creationId xmlns:a16="http://schemas.microsoft.com/office/drawing/2014/main" id="{00000000-0008-0000-09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6029123" y="6267222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19050</xdr:colOff>
      <xdr:row>48</xdr:row>
      <xdr:rowOff>180975</xdr:rowOff>
    </xdr:from>
    <xdr:to>
      <xdr:col>2</xdr:col>
      <xdr:colOff>104775</xdr:colOff>
      <xdr:row>53</xdr:row>
      <xdr:rowOff>114300</xdr:rowOff>
    </xdr:to>
    <xdr:pic>
      <xdr:nvPicPr>
        <xdr:cNvPr id="24" name="Picture 23" descr="Borrow - Free business and finance icons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9150" y="9382125"/>
          <a:ext cx="885825" cy="885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266700</xdr:colOff>
      <xdr:row>48</xdr:row>
      <xdr:rowOff>180975</xdr:rowOff>
    </xdr:from>
    <xdr:to>
      <xdr:col>3</xdr:col>
      <xdr:colOff>352425</xdr:colOff>
      <xdr:row>53</xdr:row>
      <xdr:rowOff>114300</xdr:rowOff>
    </xdr:to>
    <xdr:pic>
      <xdr:nvPicPr>
        <xdr:cNvPr id="28" name="Picture 27" descr="Borrow - Free business and finance icons">
          <a:extLst>
            <a:ext uri="{FF2B5EF4-FFF2-40B4-BE49-F238E27FC236}">
              <a16:creationId xmlns:a16="http://schemas.microsoft.com/office/drawing/2014/main" id="{00000000-0008-0000-09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66900" y="9382125"/>
          <a:ext cx="885825" cy="885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600075</xdr:colOff>
      <xdr:row>48</xdr:row>
      <xdr:rowOff>180975</xdr:rowOff>
    </xdr:from>
    <xdr:to>
      <xdr:col>4</xdr:col>
      <xdr:colOff>685800</xdr:colOff>
      <xdr:row>53</xdr:row>
      <xdr:rowOff>114300</xdr:rowOff>
    </xdr:to>
    <xdr:pic>
      <xdr:nvPicPr>
        <xdr:cNvPr id="29" name="Picture 28" descr="Borrow - Free business and finance icons">
          <a:extLst>
            <a:ext uri="{FF2B5EF4-FFF2-40B4-BE49-F238E27FC236}">
              <a16:creationId xmlns:a16="http://schemas.microsoft.com/office/drawing/2014/main" id="{00000000-0008-0000-09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00375" y="9382125"/>
          <a:ext cx="885825" cy="885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123825</xdr:colOff>
      <xdr:row>48</xdr:row>
      <xdr:rowOff>180975</xdr:rowOff>
    </xdr:from>
    <xdr:to>
      <xdr:col>6</xdr:col>
      <xdr:colOff>209550</xdr:colOff>
      <xdr:row>53</xdr:row>
      <xdr:rowOff>114300</xdr:rowOff>
    </xdr:to>
    <xdr:pic>
      <xdr:nvPicPr>
        <xdr:cNvPr id="30" name="Picture 29" descr="Borrow - Free business and finance icons"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24325" y="9382125"/>
          <a:ext cx="885825" cy="885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447675</xdr:colOff>
      <xdr:row>48</xdr:row>
      <xdr:rowOff>180975</xdr:rowOff>
    </xdr:from>
    <xdr:to>
      <xdr:col>7</xdr:col>
      <xdr:colOff>533400</xdr:colOff>
      <xdr:row>53</xdr:row>
      <xdr:rowOff>114300</xdr:rowOff>
    </xdr:to>
    <xdr:pic>
      <xdr:nvPicPr>
        <xdr:cNvPr id="31" name="Picture 30" descr="Borrow - Free business and finance icons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8275" y="9382125"/>
          <a:ext cx="885825" cy="885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704850</xdr:colOff>
      <xdr:row>48</xdr:row>
      <xdr:rowOff>180975</xdr:rowOff>
    </xdr:from>
    <xdr:to>
      <xdr:col>8</xdr:col>
      <xdr:colOff>790575</xdr:colOff>
      <xdr:row>53</xdr:row>
      <xdr:rowOff>114300</xdr:rowOff>
    </xdr:to>
    <xdr:pic>
      <xdr:nvPicPr>
        <xdr:cNvPr id="32" name="Picture 31" descr="Borrow - Free business and finance icons">
          <a:extLs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05550" y="9382125"/>
          <a:ext cx="885825" cy="885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55</xdr:row>
      <xdr:rowOff>152401</xdr:rowOff>
    </xdr:from>
    <xdr:to>
      <xdr:col>3</xdr:col>
      <xdr:colOff>371677</xdr:colOff>
      <xdr:row>61</xdr:row>
      <xdr:rowOff>181178</xdr:rowOff>
    </xdr:to>
    <xdr:pic>
      <xdr:nvPicPr>
        <xdr:cNvPr id="35" name="Picture 34" descr="Right arrow - Free arrows icons">
          <a:extLst>
            <a:ext uri="{FF2B5EF4-FFF2-40B4-BE49-F238E27FC236}">
              <a16:creationId xmlns:a16="http://schemas.microsoft.com/office/drawing/2014/main" id="{00000000-0008-0000-0900-00002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3146601">
          <a:off x="1600200" y="10687051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247649</xdr:colOff>
      <xdr:row>55</xdr:row>
      <xdr:rowOff>28575</xdr:rowOff>
    </xdr:from>
    <xdr:to>
      <xdr:col>7</xdr:col>
      <xdr:colOff>619326</xdr:colOff>
      <xdr:row>61</xdr:row>
      <xdr:rowOff>57352</xdr:rowOff>
    </xdr:to>
    <xdr:pic>
      <xdr:nvPicPr>
        <xdr:cNvPr id="36" name="Picture 35" descr="Right arrow - Free arrows icons">
          <a:extLst>
            <a:ext uri="{FF2B5EF4-FFF2-40B4-BE49-F238E27FC236}">
              <a16:creationId xmlns:a16="http://schemas.microsoft.com/office/drawing/2014/main" id="{00000000-0008-0000-0900-00002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7969746">
          <a:off x="5048249" y="10563225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57149</xdr:colOff>
      <xdr:row>55</xdr:row>
      <xdr:rowOff>47625</xdr:rowOff>
    </xdr:from>
    <xdr:to>
      <xdr:col>5</xdr:col>
      <xdr:colOff>428826</xdr:colOff>
      <xdr:row>61</xdr:row>
      <xdr:rowOff>76402</xdr:rowOff>
    </xdr:to>
    <xdr:pic>
      <xdr:nvPicPr>
        <xdr:cNvPr id="37" name="Picture 36" descr="Right arrow - Free arrows icons">
          <a:extLst>
            <a:ext uri="{FF2B5EF4-FFF2-40B4-BE49-F238E27FC236}">
              <a16:creationId xmlns:a16="http://schemas.microsoft.com/office/drawing/2014/main" id="{00000000-0008-0000-0900-00002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3257549" y="10582275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</xdr:col>
      <xdr:colOff>0</xdr:colOff>
      <xdr:row>5</xdr:row>
      <xdr:rowOff>123825</xdr:rowOff>
    </xdr:from>
    <xdr:ext cx="785023" cy="264560"/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900-000029000000}"/>
            </a:ext>
          </a:extLst>
        </xdr:cNvPr>
        <xdr:cNvSpPr txBox="1"/>
      </xdr:nvSpPr>
      <xdr:spPr>
        <a:xfrm>
          <a:off x="800100" y="1095375"/>
          <a:ext cx="78502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Member 2</a:t>
          </a:r>
        </a:p>
      </xdr:txBody>
    </xdr:sp>
    <xdr:clientData/>
  </xdr:oneCellAnchor>
  <xdr:oneCellAnchor>
    <xdr:from>
      <xdr:col>2</xdr:col>
      <xdr:colOff>180975</xdr:colOff>
      <xdr:row>5</xdr:row>
      <xdr:rowOff>123825</xdr:rowOff>
    </xdr:from>
    <xdr:ext cx="785023" cy="264560"/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900-00002A000000}"/>
            </a:ext>
          </a:extLst>
        </xdr:cNvPr>
        <xdr:cNvSpPr txBox="1"/>
      </xdr:nvSpPr>
      <xdr:spPr>
        <a:xfrm>
          <a:off x="1781175" y="1095375"/>
          <a:ext cx="78502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Member 2</a:t>
          </a:r>
        </a:p>
      </xdr:txBody>
    </xdr:sp>
    <xdr:clientData/>
  </xdr:oneCellAnchor>
  <xdr:oneCellAnchor>
    <xdr:from>
      <xdr:col>3</xdr:col>
      <xdr:colOff>285750</xdr:colOff>
      <xdr:row>5</xdr:row>
      <xdr:rowOff>123825</xdr:rowOff>
    </xdr:from>
    <xdr:ext cx="785023" cy="264560"/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900-00002B000000}"/>
            </a:ext>
          </a:extLst>
        </xdr:cNvPr>
        <xdr:cNvSpPr txBox="1"/>
      </xdr:nvSpPr>
      <xdr:spPr>
        <a:xfrm>
          <a:off x="2686050" y="1095375"/>
          <a:ext cx="78502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Member 3</a:t>
          </a:r>
        </a:p>
      </xdr:txBody>
    </xdr:sp>
    <xdr:clientData/>
  </xdr:oneCellAnchor>
  <xdr:oneCellAnchor>
    <xdr:from>
      <xdr:col>4</xdr:col>
      <xdr:colOff>390525</xdr:colOff>
      <xdr:row>5</xdr:row>
      <xdr:rowOff>123825</xdr:rowOff>
    </xdr:from>
    <xdr:ext cx="785023" cy="264560"/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900-00002C000000}"/>
            </a:ext>
          </a:extLst>
        </xdr:cNvPr>
        <xdr:cNvSpPr txBox="1"/>
      </xdr:nvSpPr>
      <xdr:spPr>
        <a:xfrm>
          <a:off x="3590925" y="1095375"/>
          <a:ext cx="78502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Member 4</a:t>
          </a:r>
        </a:p>
      </xdr:txBody>
    </xdr:sp>
    <xdr:clientData/>
  </xdr:oneCellAnchor>
  <xdr:oneCellAnchor>
    <xdr:from>
      <xdr:col>5</xdr:col>
      <xdr:colOff>466725</xdr:colOff>
      <xdr:row>5</xdr:row>
      <xdr:rowOff>123825</xdr:rowOff>
    </xdr:from>
    <xdr:ext cx="785023" cy="264560"/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900-00002D000000}"/>
            </a:ext>
          </a:extLst>
        </xdr:cNvPr>
        <xdr:cNvSpPr txBox="1"/>
      </xdr:nvSpPr>
      <xdr:spPr>
        <a:xfrm>
          <a:off x="4467225" y="1095375"/>
          <a:ext cx="78502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Member 5</a:t>
          </a:r>
        </a:p>
      </xdr:txBody>
    </xdr:sp>
    <xdr:clientData/>
  </xdr:oneCellAnchor>
  <xdr:oneCellAnchor>
    <xdr:from>
      <xdr:col>6</xdr:col>
      <xdr:colOff>666750</xdr:colOff>
      <xdr:row>5</xdr:row>
      <xdr:rowOff>123825</xdr:rowOff>
    </xdr:from>
    <xdr:ext cx="785023" cy="264560"/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900-00002E000000}"/>
            </a:ext>
          </a:extLst>
        </xdr:cNvPr>
        <xdr:cNvSpPr txBox="1"/>
      </xdr:nvSpPr>
      <xdr:spPr>
        <a:xfrm>
          <a:off x="5467350" y="1095375"/>
          <a:ext cx="78502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Member 6</a:t>
          </a:r>
        </a:p>
      </xdr:txBody>
    </xdr:sp>
    <xdr:clientData/>
  </xdr:oneCellAnchor>
  <xdr:oneCellAnchor>
    <xdr:from>
      <xdr:col>7</xdr:col>
      <xdr:colOff>790575</xdr:colOff>
      <xdr:row>5</xdr:row>
      <xdr:rowOff>123825</xdr:rowOff>
    </xdr:from>
    <xdr:ext cx="785023" cy="264560"/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900-00002F000000}"/>
            </a:ext>
          </a:extLst>
        </xdr:cNvPr>
        <xdr:cNvSpPr txBox="1"/>
      </xdr:nvSpPr>
      <xdr:spPr>
        <a:xfrm>
          <a:off x="6391275" y="1095375"/>
          <a:ext cx="78502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Member 7</a:t>
          </a:r>
        </a:p>
      </xdr:txBody>
    </xdr:sp>
    <xdr:clientData/>
  </xdr:oneCellAnchor>
  <xdr:oneCellAnchor>
    <xdr:from>
      <xdr:col>0</xdr:col>
      <xdr:colOff>695325</xdr:colOff>
      <xdr:row>47</xdr:row>
      <xdr:rowOff>85725</xdr:rowOff>
    </xdr:from>
    <xdr:ext cx="832151" cy="264560"/>
    <xdr:sp macro="" textlink="">
      <xdr:nvSpPr>
        <xdr:cNvPr id="49" name="TextBox 48">
          <a:extLst>
            <a:ext uri="{FF2B5EF4-FFF2-40B4-BE49-F238E27FC236}">
              <a16:creationId xmlns:a16="http://schemas.microsoft.com/office/drawing/2014/main" id="{00000000-0008-0000-0900-000031000000}"/>
            </a:ext>
          </a:extLst>
        </xdr:cNvPr>
        <xdr:cNvSpPr txBox="1"/>
      </xdr:nvSpPr>
      <xdr:spPr>
        <a:xfrm>
          <a:off x="695325" y="9124950"/>
          <a:ext cx="8321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Borrower 1</a:t>
          </a:r>
        </a:p>
      </xdr:txBody>
    </xdr:sp>
    <xdr:clientData/>
  </xdr:oneCellAnchor>
  <xdr:oneCellAnchor>
    <xdr:from>
      <xdr:col>2</xdr:col>
      <xdr:colOff>152400</xdr:colOff>
      <xdr:row>47</xdr:row>
      <xdr:rowOff>85725</xdr:rowOff>
    </xdr:from>
    <xdr:ext cx="832151" cy="264560"/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00000000-0008-0000-0900-000032000000}"/>
            </a:ext>
          </a:extLst>
        </xdr:cNvPr>
        <xdr:cNvSpPr txBox="1"/>
      </xdr:nvSpPr>
      <xdr:spPr>
        <a:xfrm>
          <a:off x="1752600" y="9124950"/>
          <a:ext cx="8321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Borrower 2</a:t>
          </a:r>
        </a:p>
      </xdr:txBody>
    </xdr:sp>
    <xdr:clientData/>
  </xdr:oneCellAnchor>
  <xdr:oneCellAnchor>
    <xdr:from>
      <xdr:col>3</xdr:col>
      <xdr:colOff>514350</xdr:colOff>
      <xdr:row>47</xdr:row>
      <xdr:rowOff>85725</xdr:rowOff>
    </xdr:from>
    <xdr:ext cx="832151" cy="264560"/>
    <xdr:sp macro="" textlink="">
      <xdr:nvSpPr>
        <xdr:cNvPr id="51" name="TextBox 50">
          <a:extLst>
            <a:ext uri="{FF2B5EF4-FFF2-40B4-BE49-F238E27FC236}">
              <a16:creationId xmlns:a16="http://schemas.microsoft.com/office/drawing/2014/main" id="{00000000-0008-0000-0900-000033000000}"/>
            </a:ext>
          </a:extLst>
        </xdr:cNvPr>
        <xdr:cNvSpPr txBox="1"/>
      </xdr:nvSpPr>
      <xdr:spPr>
        <a:xfrm>
          <a:off x="2914650" y="9124950"/>
          <a:ext cx="8321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Borrower 3</a:t>
          </a:r>
        </a:p>
      </xdr:txBody>
    </xdr:sp>
    <xdr:clientData/>
  </xdr:oneCellAnchor>
  <xdr:oneCellAnchor>
    <xdr:from>
      <xdr:col>5</xdr:col>
      <xdr:colOff>0</xdr:colOff>
      <xdr:row>47</xdr:row>
      <xdr:rowOff>85725</xdr:rowOff>
    </xdr:from>
    <xdr:ext cx="832151" cy="264560"/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00000000-0008-0000-0900-000034000000}"/>
            </a:ext>
          </a:extLst>
        </xdr:cNvPr>
        <xdr:cNvSpPr txBox="1"/>
      </xdr:nvSpPr>
      <xdr:spPr>
        <a:xfrm>
          <a:off x="4000500" y="9124950"/>
          <a:ext cx="8321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Borrower</a:t>
          </a:r>
          <a:r>
            <a:rPr lang="en-US" sz="1100" baseline="0"/>
            <a:t> 4</a:t>
          </a:r>
          <a:endParaRPr lang="en-US" sz="1100"/>
        </a:p>
      </xdr:txBody>
    </xdr:sp>
    <xdr:clientData/>
  </xdr:oneCellAnchor>
  <xdr:oneCellAnchor>
    <xdr:from>
      <xdr:col>6</xdr:col>
      <xdr:colOff>342900</xdr:colOff>
      <xdr:row>47</xdr:row>
      <xdr:rowOff>85725</xdr:rowOff>
    </xdr:from>
    <xdr:ext cx="832151" cy="264560"/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00000000-0008-0000-0900-000035000000}"/>
            </a:ext>
          </a:extLst>
        </xdr:cNvPr>
        <xdr:cNvSpPr txBox="1"/>
      </xdr:nvSpPr>
      <xdr:spPr>
        <a:xfrm>
          <a:off x="5143500" y="9124950"/>
          <a:ext cx="8321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Borrower 5</a:t>
          </a:r>
        </a:p>
      </xdr:txBody>
    </xdr:sp>
    <xdr:clientData/>
  </xdr:oneCellAnchor>
  <xdr:oneCellAnchor>
    <xdr:from>
      <xdr:col>7</xdr:col>
      <xdr:colOff>638175</xdr:colOff>
      <xdr:row>47</xdr:row>
      <xdr:rowOff>85725</xdr:rowOff>
    </xdr:from>
    <xdr:ext cx="832151" cy="264560"/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00000000-0008-0000-0900-000036000000}"/>
            </a:ext>
          </a:extLst>
        </xdr:cNvPr>
        <xdr:cNvSpPr txBox="1"/>
      </xdr:nvSpPr>
      <xdr:spPr>
        <a:xfrm>
          <a:off x="6238875" y="9124950"/>
          <a:ext cx="8321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Borrower 6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15AF7E-CF54-456D-AB84-DADA38A35ECA}">
  <sheetPr codeName="Sheet9"/>
  <dimension ref="A1:HF148"/>
  <sheetViews>
    <sheetView zoomScaleNormal="100" workbookViewId="0">
      <selection activeCell="Z11" sqref="Z11"/>
    </sheetView>
  </sheetViews>
  <sheetFormatPr defaultRowHeight="15" x14ac:dyDescent="0.25"/>
  <cols>
    <col min="1" max="5" width="14.7109375" style="41" customWidth="1"/>
    <col min="6" max="6" width="2.140625" style="103" customWidth="1"/>
    <col min="7" max="11" width="14.7109375" customWidth="1"/>
    <col min="12" max="12" width="2.140625" style="103" customWidth="1"/>
    <col min="13" max="17" width="14.7109375" customWidth="1"/>
    <col min="18" max="18" width="2.140625" style="103" customWidth="1"/>
    <col min="19" max="23" width="14.7109375" customWidth="1"/>
    <col min="24" max="24" width="2.28515625" customWidth="1"/>
    <col min="25" max="149" width="14.7109375" customWidth="1"/>
  </cols>
  <sheetData>
    <row r="1" spans="1:214" s="160" customFormat="1" ht="30.75" customHeight="1" thickBot="1" x14ac:dyDescent="0.3">
      <c r="A1" s="199" t="s">
        <v>105</v>
      </c>
      <c r="B1" s="200"/>
      <c r="C1" s="200"/>
      <c r="D1" s="200"/>
      <c r="E1" s="200"/>
      <c r="F1" s="192"/>
      <c r="G1" s="199" t="s">
        <v>106</v>
      </c>
      <c r="H1" s="200"/>
      <c r="I1" s="200"/>
      <c r="J1" s="200"/>
      <c r="K1" s="200"/>
      <c r="L1" s="218"/>
      <c r="M1" s="199" t="s">
        <v>108</v>
      </c>
      <c r="N1" s="200"/>
      <c r="O1" s="200"/>
      <c r="P1" s="200"/>
      <c r="Q1" s="200"/>
      <c r="R1" s="217"/>
      <c r="S1" s="199" t="s">
        <v>117</v>
      </c>
      <c r="T1" s="200"/>
      <c r="U1" s="200"/>
      <c r="V1" s="200"/>
      <c r="W1" s="200"/>
      <c r="X1" s="217"/>
      <c r="Y1" s="159"/>
      <c r="Z1" s="159"/>
      <c r="AA1" s="159"/>
      <c r="AB1" s="159"/>
      <c r="AC1" s="159"/>
      <c r="AD1" s="159"/>
      <c r="AE1" s="159"/>
      <c r="AF1" s="159"/>
      <c r="AG1" s="159"/>
      <c r="AH1" s="159"/>
      <c r="AI1" s="159"/>
      <c r="AJ1" s="159"/>
      <c r="AK1" s="159"/>
      <c r="AL1" s="159"/>
      <c r="AM1" s="159"/>
      <c r="AN1" s="159"/>
      <c r="AO1" s="159"/>
      <c r="AP1" s="159"/>
      <c r="AQ1" s="159"/>
      <c r="AR1" s="159"/>
      <c r="AS1" s="159"/>
      <c r="AT1" s="159"/>
      <c r="AU1" s="159"/>
      <c r="AV1" s="159"/>
      <c r="AW1" s="159"/>
      <c r="AX1" s="159"/>
      <c r="AY1" s="159"/>
      <c r="AZ1" s="159"/>
      <c r="BA1" s="159"/>
      <c r="BB1" s="159"/>
      <c r="BC1" s="159"/>
      <c r="BD1" s="159"/>
      <c r="BE1" s="159"/>
      <c r="BF1" s="159"/>
      <c r="BG1" s="159"/>
      <c r="BH1" s="159"/>
      <c r="BI1" s="159"/>
      <c r="BJ1" s="159"/>
      <c r="BK1" s="159"/>
      <c r="BL1" s="159"/>
      <c r="BM1" s="159"/>
      <c r="BN1" s="159"/>
      <c r="BO1" s="159"/>
      <c r="BP1" s="159"/>
      <c r="BQ1" s="159"/>
      <c r="BR1" s="159"/>
      <c r="BS1" s="159"/>
      <c r="BT1" s="159"/>
      <c r="BU1" s="159"/>
      <c r="BV1" s="159"/>
      <c r="BW1" s="159"/>
      <c r="BX1" s="159"/>
      <c r="BY1" s="159"/>
      <c r="BZ1" s="159"/>
      <c r="CA1" s="159"/>
      <c r="CB1" s="159"/>
      <c r="CC1" s="159"/>
      <c r="CD1" s="159"/>
      <c r="CE1" s="159"/>
      <c r="CF1" s="159"/>
      <c r="CG1" s="159"/>
      <c r="CH1" s="159"/>
      <c r="CI1" s="159"/>
      <c r="CJ1" s="159"/>
      <c r="CK1" s="159"/>
      <c r="CL1" s="159"/>
      <c r="CM1" s="159"/>
      <c r="CN1" s="159"/>
      <c r="CO1" s="159"/>
      <c r="CP1" s="159"/>
      <c r="CQ1" s="159"/>
      <c r="CR1" s="159"/>
      <c r="CS1" s="159"/>
      <c r="CT1" s="159"/>
      <c r="CU1" s="159"/>
      <c r="CV1" s="159"/>
      <c r="CW1" s="159"/>
      <c r="CX1" s="159"/>
      <c r="CY1" s="159"/>
      <c r="CZ1" s="159"/>
      <c r="DA1" s="159"/>
      <c r="DB1" s="159"/>
      <c r="DC1" s="159"/>
      <c r="DD1" s="159"/>
      <c r="DE1" s="159"/>
      <c r="DF1" s="159"/>
      <c r="DG1" s="159"/>
      <c r="DH1" s="159"/>
      <c r="DI1" s="159"/>
      <c r="DJ1" s="159"/>
      <c r="DK1" s="159"/>
      <c r="DL1" s="159"/>
      <c r="DM1" s="159"/>
      <c r="DN1" s="159"/>
      <c r="DO1" s="159"/>
      <c r="DP1" s="159"/>
      <c r="DQ1" s="159"/>
      <c r="DR1" s="159"/>
      <c r="DS1" s="159"/>
      <c r="DT1" s="159"/>
      <c r="DU1" s="159"/>
      <c r="DV1" s="159"/>
      <c r="DW1" s="159"/>
      <c r="DX1" s="159"/>
      <c r="DY1" s="159"/>
      <c r="DZ1" s="159"/>
      <c r="EA1" s="159"/>
      <c r="EB1" s="159"/>
      <c r="EC1" s="159"/>
      <c r="ED1" s="159"/>
      <c r="EE1" s="159"/>
      <c r="EF1" s="159"/>
      <c r="EG1" s="159"/>
      <c r="EH1" s="159"/>
      <c r="EI1" s="159"/>
      <c r="EJ1" s="159"/>
      <c r="EK1" s="159"/>
      <c r="EL1" s="159"/>
      <c r="EM1" s="159"/>
      <c r="EN1" s="159"/>
      <c r="EO1" s="159"/>
      <c r="EP1" s="159"/>
      <c r="EQ1" s="159"/>
      <c r="ER1" s="159"/>
      <c r="ES1" s="159"/>
      <c r="ET1" s="159"/>
      <c r="EU1" s="159"/>
      <c r="EV1" s="159"/>
      <c r="EW1" s="159"/>
      <c r="EX1" s="159"/>
      <c r="EY1" s="159"/>
      <c r="EZ1" s="159"/>
      <c r="FA1" s="159"/>
      <c r="FB1" s="159"/>
      <c r="FC1" s="159"/>
      <c r="FD1" s="159"/>
      <c r="FE1" s="159"/>
      <c r="FF1" s="159"/>
      <c r="FG1" s="159"/>
      <c r="FH1" s="159"/>
      <c r="FI1" s="159"/>
      <c r="FJ1" s="159"/>
      <c r="FK1" s="159"/>
      <c r="FL1" s="159"/>
      <c r="FM1" s="159"/>
      <c r="FN1" s="159"/>
      <c r="FO1" s="159"/>
      <c r="FP1" s="159"/>
    </row>
    <row r="2" spans="1:214" s="160" customFormat="1" ht="30.75" customHeight="1" x14ac:dyDescent="0.25">
      <c r="A2" s="215"/>
      <c r="B2" s="215"/>
      <c r="C2" s="215"/>
      <c r="D2" s="215"/>
      <c r="E2" s="215"/>
      <c r="F2" s="192"/>
      <c r="G2" s="215"/>
      <c r="H2" s="215"/>
      <c r="I2" s="215"/>
      <c r="J2" s="215"/>
      <c r="K2" s="215"/>
      <c r="L2" s="218"/>
      <c r="M2" s="215"/>
      <c r="N2" s="215"/>
      <c r="O2" s="215"/>
      <c r="P2" s="215"/>
      <c r="Q2" s="215"/>
      <c r="R2" s="217"/>
      <c r="S2" s="215"/>
      <c r="T2" s="215"/>
      <c r="U2" s="215"/>
      <c r="V2" s="215"/>
      <c r="W2" s="215"/>
      <c r="X2" s="217"/>
      <c r="Y2" s="159"/>
      <c r="Z2" s="159"/>
      <c r="AA2" s="159"/>
      <c r="AB2" s="159"/>
      <c r="AC2" s="159"/>
      <c r="AD2" s="159"/>
      <c r="AE2" s="159"/>
      <c r="AF2" s="159"/>
      <c r="AG2" s="159"/>
      <c r="AH2" s="159"/>
      <c r="AI2" s="159"/>
      <c r="AJ2" s="159"/>
      <c r="AK2" s="159"/>
      <c r="AL2" s="159"/>
      <c r="AM2" s="159"/>
      <c r="AN2" s="159"/>
      <c r="AO2" s="159"/>
      <c r="AP2" s="159"/>
      <c r="AQ2" s="159"/>
      <c r="AR2" s="159"/>
      <c r="AS2" s="159"/>
      <c r="AT2" s="159"/>
      <c r="AU2" s="159"/>
      <c r="AV2" s="159"/>
      <c r="AW2" s="159"/>
      <c r="AX2" s="159"/>
      <c r="AY2" s="159"/>
      <c r="AZ2" s="159"/>
      <c r="BA2" s="159"/>
      <c r="BB2" s="159"/>
      <c r="BC2" s="159"/>
      <c r="BD2" s="159"/>
      <c r="BE2" s="159"/>
      <c r="BF2" s="159"/>
      <c r="BG2" s="159"/>
      <c r="BH2" s="159"/>
      <c r="BI2" s="159"/>
      <c r="BJ2" s="159"/>
      <c r="BK2" s="159"/>
      <c r="BL2" s="159"/>
      <c r="BM2" s="159"/>
      <c r="BN2" s="159"/>
      <c r="BO2" s="159"/>
      <c r="BP2" s="159"/>
      <c r="BQ2" s="159"/>
      <c r="BR2" s="159"/>
      <c r="BS2" s="159"/>
      <c r="BT2" s="159"/>
      <c r="BU2" s="159"/>
      <c r="BV2" s="159"/>
      <c r="BW2" s="159"/>
      <c r="BX2" s="159"/>
      <c r="BY2" s="159"/>
      <c r="BZ2" s="159"/>
      <c r="CA2" s="159"/>
      <c r="CB2" s="159"/>
      <c r="CC2" s="159"/>
      <c r="CD2" s="159"/>
      <c r="CE2" s="159"/>
      <c r="CF2" s="159"/>
      <c r="CG2" s="159"/>
      <c r="CH2" s="159"/>
      <c r="CI2" s="159"/>
      <c r="CJ2" s="159"/>
      <c r="CK2" s="159"/>
      <c r="CL2" s="159"/>
      <c r="CM2" s="159"/>
      <c r="CN2" s="159"/>
      <c r="CO2" s="159"/>
      <c r="CP2" s="159"/>
      <c r="CQ2" s="159"/>
      <c r="CR2" s="159"/>
      <c r="CS2" s="159"/>
      <c r="CT2" s="159"/>
      <c r="CU2" s="159"/>
      <c r="CV2" s="159"/>
      <c r="CW2" s="159"/>
      <c r="CX2" s="159"/>
      <c r="CY2" s="159"/>
      <c r="CZ2" s="159"/>
      <c r="DA2" s="159"/>
      <c r="DB2" s="159"/>
      <c r="DC2" s="159"/>
      <c r="DD2" s="159"/>
      <c r="DE2" s="159"/>
      <c r="DF2" s="159"/>
      <c r="DG2" s="159"/>
      <c r="DH2" s="159"/>
      <c r="DI2" s="159"/>
      <c r="DJ2" s="159"/>
      <c r="DK2" s="159"/>
      <c r="DL2" s="159"/>
      <c r="DM2" s="159"/>
      <c r="DN2" s="159"/>
      <c r="DO2" s="159"/>
      <c r="DP2" s="159"/>
      <c r="DQ2" s="159"/>
      <c r="DR2" s="159"/>
      <c r="DS2" s="159"/>
      <c r="DT2" s="159"/>
      <c r="DU2" s="159"/>
      <c r="DV2" s="159"/>
      <c r="DW2" s="159"/>
      <c r="DX2" s="159"/>
      <c r="DY2" s="159"/>
      <c r="DZ2" s="159"/>
      <c r="EA2" s="159"/>
      <c r="EB2" s="159"/>
      <c r="EC2" s="159"/>
      <c r="ED2" s="159"/>
      <c r="EE2" s="159"/>
      <c r="EF2" s="159"/>
      <c r="EG2" s="159"/>
      <c r="EH2" s="159"/>
      <c r="EI2" s="159"/>
      <c r="EJ2" s="159"/>
      <c r="EK2" s="159"/>
      <c r="EL2" s="159"/>
      <c r="EM2" s="159"/>
      <c r="EN2" s="159"/>
      <c r="EO2" s="159"/>
      <c r="EP2" s="159"/>
      <c r="EQ2" s="159"/>
      <c r="ER2" s="159"/>
      <c r="ES2" s="159"/>
      <c r="ET2" s="159"/>
      <c r="EU2" s="159"/>
      <c r="EV2" s="159"/>
      <c r="EW2" s="159"/>
      <c r="EX2" s="159"/>
      <c r="EY2" s="159"/>
      <c r="EZ2" s="159"/>
      <c r="FA2" s="159"/>
      <c r="FB2" s="159"/>
      <c r="FC2" s="159"/>
      <c r="FD2" s="159"/>
      <c r="FE2" s="159"/>
      <c r="FF2" s="159"/>
      <c r="FG2" s="159"/>
      <c r="FH2" s="159"/>
      <c r="FI2" s="159"/>
      <c r="FJ2" s="159"/>
      <c r="FK2" s="159"/>
      <c r="FL2" s="159"/>
      <c r="FM2" s="159"/>
      <c r="FN2" s="159"/>
      <c r="FO2" s="159"/>
      <c r="FP2" s="159"/>
    </row>
    <row r="3" spans="1:214" s="160" customFormat="1" ht="30.75" customHeight="1" x14ac:dyDescent="0.25">
      <c r="A3" s="214" t="s">
        <v>91</v>
      </c>
      <c r="B3" s="214" t="s">
        <v>90</v>
      </c>
      <c r="C3" s="214" t="s">
        <v>96</v>
      </c>
      <c r="D3" s="214" t="s">
        <v>93</v>
      </c>
      <c r="E3" s="214" t="s">
        <v>110</v>
      </c>
      <c r="F3" s="192"/>
      <c r="G3" s="207" t="s">
        <v>91</v>
      </c>
      <c r="H3" s="207" t="s">
        <v>90</v>
      </c>
      <c r="I3" s="207" t="s">
        <v>96</v>
      </c>
      <c r="J3" s="207" t="s">
        <v>93</v>
      </c>
      <c r="K3" s="207" t="s">
        <v>110</v>
      </c>
      <c r="L3" s="192"/>
      <c r="M3" s="191" t="s">
        <v>91</v>
      </c>
      <c r="N3" s="191" t="s">
        <v>90</v>
      </c>
      <c r="O3" s="191" t="s">
        <v>96</v>
      </c>
      <c r="P3" s="191" t="s">
        <v>93</v>
      </c>
      <c r="Q3" s="214" t="s">
        <v>110</v>
      </c>
      <c r="R3" s="192"/>
      <c r="S3" s="191" t="s">
        <v>91</v>
      </c>
      <c r="T3" s="191" t="s">
        <v>90</v>
      </c>
      <c r="U3" s="191" t="s">
        <v>96</v>
      </c>
      <c r="V3" s="191" t="s">
        <v>93</v>
      </c>
      <c r="W3" s="214" t="s">
        <v>110</v>
      </c>
      <c r="X3" s="192"/>
      <c r="Y3" s="159"/>
      <c r="Z3" s="159"/>
      <c r="AA3" s="159"/>
      <c r="AB3" s="159"/>
      <c r="AC3" s="159"/>
      <c r="AD3" s="159"/>
      <c r="AE3" s="159"/>
      <c r="AF3" s="159"/>
      <c r="AG3" s="159"/>
      <c r="AH3" s="159"/>
      <c r="AI3" s="159"/>
      <c r="AJ3" s="159"/>
      <c r="AK3" s="159"/>
      <c r="AL3" s="159"/>
      <c r="AM3" s="159"/>
      <c r="AN3" s="159"/>
      <c r="AO3" s="159"/>
      <c r="AP3" s="159"/>
      <c r="AQ3" s="159"/>
      <c r="AR3" s="159"/>
      <c r="AS3" s="159"/>
      <c r="AT3" s="159"/>
      <c r="AU3" s="159"/>
      <c r="AV3" s="159"/>
      <c r="AW3" s="159"/>
      <c r="AX3" s="159"/>
      <c r="AY3" s="159"/>
      <c r="AZ3" s="159"/>
      <c r="BA3" s="159"/>
      <c r="BB3" s="159"/>
      <c r="BC3" s="159"/>
      <c r="BD3" s="159"/>
      <c r="BE3" s="159"/>
      <c r="BF3" s="159"/>
      <c r="BG3" s="159"/>
      <c r="BH3" s="159"/>
      <c r="BI3" s="159"/>
      <c r="BJ3" s="159"/>
      <c r="BK3" s="159"/>
      <c r="BL3" s="159"/>
      <c r="BM3" s="159"/>
      <c r="BN3" s="159"/>
      <c r="BO3" s="159"/>
      <c r="BP3" s="159"/>
      <c r="BQ3" s="159"/>
      <c r="BR3" s="159"/>
      <c r="BS3" s="159"/>
      <c r="BT3" s="159"/>
      <c r="BU3" s="159"/>
      <c r="BV3" s="159"/>
      <c r="BW3" s="159"/>
      <c r="BX3" s="159"/>
      <c r="BY3" s="159"/>
      <c r="BZ3" s="159"/>
      <c r="CA3" s="159"/>
      <c r="CB3" s="159"/>
      <c r="CC3" s="159"/>
      <c r="CD3" s="159"/>
      <c r="CE3" s="159"/>
      <c r="CF3" s="159"/>
      <c r="CG3" s="159"/>
      <c r="CH3" s="159"/>
      <c r="CI3" s="159"/>
      <c r="CJ3" s="159"/>
      <c r="CK3" s="159"/>
      <c r="CL3" s="159"/>
      <c r="CM3" s="159"/>
      <c r="CN3" s="159"/>
      <c r="CO3" s="159"/>
      <c r="CP3" s="159"/>
      <c r="CQ3" s="159"/>
      <c r="CR3" s="159"/>
      <c r="CS3" s="159"/>
      <c r="CT3" s="159"/>
      <c r="CU3" s="159"/>
      <c r="CV3" s="159"/>
      <c r="CW3" s="159"/>
      <c r="CX3" s="159"/>
      <c r="CY3" s="159"/>
      <c r="CZ3" s="159"/>
      <c r="DA3" s="159"/>
      <c r="DB3" s="159"/>
      <c r="DC3" s="159"/>
      <c r="DD3" s="159"/>
      <c r="DE3" s="159"/>
      <c r="DF3" s="159"/>
      <c r="DG3" s="159"/>
      <c r="DH3" s="159"/>
      <c r="DI3" s="159"/>
      <c r="DJ3" s="159"/>
      <c r="DK3" s="159"/>
      <c r="DL3" s="159"/>
      <c r="DM3" s="159"/>
      <c r="DN3" s="159"/>
      <c r="DO3" s="159"/>
      <c r="DP3" s="159"/>
      <c r="DQ3" s="159"/>
      <c r="DR3" s="159"/>
      <c r="DS3" s="159"/>
      <c r="DT3" s="159"/>
      <c r="DU3" s="159"/>
      <c r="DV3" s="159"/>
      <c r="DW3" s="159"/>
      <c r="DX3" s="159"/>
      <c r="DY3" s="159"/>
      <c r="DZ3" s="159"/>
      <c r="EA3" s="159"/>
      <c r="EB3" s="159"/>
      <c r="EC3" s="159"/>
      <c r="ED3" s="159"/>
      <c r="EE3" s="159"/>
      <c r="EF3" s="159"/>
      <c r="EG3" s="159"/>
      <c r="EH3" s="159"/>
      <c r="EI3" s="159"/>
      <c r="EJ3" s="159"/>
      <c r="EK3" s="159"/>
      <c r="EL3" s="159"/>
      <c r="EM3" s="159"/>
      <c r="EN3" s="159"/>
      <c r="EO3" s="159"/>
      <c r="EP3" s="159"/>
      <c r="EQ3" s="159"/>
      <c r="ER3" s="159"/>
      <c r="ES3" s="159"/>
      <c r="ET3" s="159"/>
      <c r="EU3" s="159"/>
      <c r="EV3" s="159"/>
      <c r="EW3" s="159"/>
      <c r="EX3" s="159"/>
      <c r="EY3" s="159"/>
      <c r="EZ3" s="159"/>
      <c r="FA3" s="159"/>
      <c r="FB3" s="159"/>
      <c r="FC3" s="159"/>
      <c r="FD3" s="159"/>
      <c r="FE3" s="159"/>
      <c r="FF3" s="159"/>
      <c r="FG3" s="159"/>
      <c r="FH3" s="159"/>
      <c r="FI3" s="159"/>
      <c r="FJ3" s="159"/>
      <c r="FK3" s="159"/>
      <c r="FL3" s="159"/>
      <c r="FM3" s="159"/>
      <c r="FN3" s="159"/>
      <c r="FO3" s="159"/>
      <c r="FP3" s="159"/>
    </row>
    <row r="4" spans="1:214" s="160" customFormat="1" ht="30.75" customHeight="1" x14ac:dyDescent="0.25">
      <c r="A4" s="180">
        <f>B10</f>
        <v>10000</v>
      </c>
      <c r="B4" s="180">
        <f>SUM(B11:B49)</f>
        <v>7000</v>
      </c>
      <c r="C4" s="180">
        <f>SUM(C10:C48)</f>
        <v>17000</v>
      </c>
      <c r="D4" s="198">
        <f>SUM(A4,B4) - C4</f>
        <v>0</v>
      </c>
      <c r="E4" s="208" t="s">
        <v>107</v>
      </c>
      <c r="F4" s="192"/>
      <c r="G4" s="180">
        <f>H10</f>
        <v>22000</v>
      </c>
      <c r="H4" s="180">
        <f>SUM(H11:H49)</f>
        <v>4000</v>
      </c>
      <c r="I4" s="180">
        <f>SUM(I10:I48)</f>
        <v>26000</v>
      </c>
      <c r="J4" s="198">
        <f>SUM(G4,H4) - I4</f>
        <v>0</v>
      </c>
      <c r="K4" s="208" t="s">
        <v>107</v>
      </c>
      <c r="L4" s="217"/>
      <c r="M4" s="201">
        <f>N10</f>
        <v>20000</v>
      </c>
      <c r="N4" s="202">
        <f>SUM(N11:N49)</f>
        <v>8000</v>
      </c>
      <c r="O4" s="202">
        <f>SUM(O10:O48)</f>
        <v>18000</v>
      </c>
      <c r="P4" s="219">
        <f>SUM(M4,N4) - O4</f>
        <v>10000</v>
      </c>
      <c r="Q4" s="221" t="s">
        <v>109</v>
      </c>
      <c r="R4" s="217"/>
      <c r="S4" s="201">
        <f>T10</f>
        <v>15000</v>
      </c>
      <c r="T4" s="202">
        <f>SUM(T11:T49)</f>
        <v>0</v>
      </c>
      <c r="U4" s="202">
        <f>SUM(U10:U48)</f>
        <v>10000</v>
      </c>
      <c r="V4" s="219">
        <f>SUM(S4,T4) - U4</f>
        <v>5000</v>
      </c>
      <c r="W4" s="221" t="s">
        <v>109</v>
      </c>
      <c r="X4" s="217"/>
      <c r="Y4" s="159"/>
      <c r="Z4" s="159"/>
      <c r="AA4" s="159"/>
      <c r="AB4" s="159"/>
      <c r="AC4" s="159"/>
      <c r="AD4" s="159"/>
      <c r="AE4" s="159"/>
      <c r="AF4" s="159"/>
      <c r="AG4" s="159"/>
      <c r="AH4" s="159"/>
      <c r="AI4" s="159"/>
      <c r="AJ4" s="159"/>
      <c r="AK4" s="159"/>
      <c r="AL4" s="159"/>
      <c r="AM4" s="159"/>
      <c r="AN4" s="159"/>
      <c r="AO4" s="159"/>
      <c r="AP4" s="159"/>
      <c r="AQ4" s="159"/>
      <c r="AR4" s="159"/>
      <c r="AS4" s="159"/>
      <c r="AT4" s="159"/>
      <c r="AU4" s="159"/>
      <c r="AV4" s="159"/>
      <c r="AW4" s="159"/>
      <c r="AX4" s="159"/>
      <c r="AY4" s="159"/>
      <c r="AZ4" s="159"/>
      <c r="BA4" s="159"/>
      <c r="BB4" s="159"/>
      <c r="BC4" s="159"/>
      <c r="BD4" s="159"/>
      <c r="BE4" s="159"/>
      <c r="BF4" s="159"/>
      <c r="BG4" s="159"/>
      <c r="BH4" s="159"/>
      <c r="BI4" s="159"/>
      <c r="BJ4" s="159"/>
      <c r="BK4" s="159"/>
      <c r="BL4" s="159"/>
      <c r="BM4" s="159"/>
      <c r="BN4" s="159"/>
      <c r="BO4" s="159"/>
      <c r="BP4" s="159"/>
      <c r="BQ4" s="159"/>
      <c r="BR4" s="159"/>
      <c r="BS4" s="159"/>
      <c r="BT4" s="159"/>
      <c r="BU4" s="159"/>
      <c r="BV4" s="159"/>
      <c r="BW4" s="159"/>
      <c r="BX4" s="159"/>
      <c r="BY4" s="159"/>
      <c r="BZ4" s="159"/>
      <c r="CA4" s="159"/>
      <c r="CB4" s="159"/>
      <c r="CC4" s="159"/>
      <c r="CD4" s="159"/>
      <c r="CE4" s="159"/>
      <c r="CF4" s="159"/>
      <c r="CG4" s="159"/>
      <c r="CH4" s="159"/>
      <c r="CI4" s="159"/>
      <c r="CJ4" s="159"/>
      <c r="CK4" s="159"/>
      <c r="CL4" s="159"/>
      <c r="CM4" s="159"/>
      <c r="CN4" s="159"/>
      <c r="CO4" s="159"/>
      <c r="CP4" s="159"/>
      <c r="CQ4" s="159"/>
      <c r="CR4" s="159"/>
      <c r="CS4" s="159"/>
      <c r="CT4" s="159"/>
      <c r="CU4" s="159"/>
      <c r="CV4" s="159"/>
      <c r="CW4" s="159"/>
      <c r="CX4" s="159"/>
      <c r="CY4" s="159"/>
      <c r="CZ4" s="159"/>
      <c r="DA4" s="159"/>
      <c r="DB4" s="159"/>
      <c r="DC4" s="159"/>
      <c r="DD4" s="159"/>
      <c r="DE4" s="159"/>
      <c r="DF4" s="159"/>
      <c r="DG4" s="159"/>
      <c r="DH4" s="159"/>
      <c r="DI4" s="159"/>
      <c r="DJ4" s="159"/>
      <c r="DK4" s="159"/>
      <c r="DL4" s="159"/>
      <c r="DM4" s="159"/>
      <c r="DN4" s="159"/>
      <c r="DO4" s="159"/>
      <c r="DP4" s="159"/>
      <c r="DQ4" s="159"/>
      <c r="DR4" s="159"/>
      <c r="DS4" s="159"/>
      <c r="DT4" s="159"/>
      <c r="DU4" s="159"/>
      <c r="DV4" s="159"/>
      <c r="DW4" s="159"/>
      <c r="DX4" s="159"/>
      <c r="DY4" s="159"/>
      <c r="DZ4" s="159"/>
      <c r="EA4" s="159"/>
      <c r="EB4" s="159"/>
      <c r="EC4" s="159"/>
      <c r="ED4" s="159"/>
      <c r="EE4" s="159"/>
      <c r="EF4" s="159"/>
      <c r="EG4" s="159"/>
      <c r="EH4" s="159"/>
      <c r="EI4" s="159"/>
      <c r="EJ4" s="159"/>
      <c r="EK4" s="159"/>
      <c r="EL4" s="159"/>
      <c r="EM4" s="159"/>
      <c r="EN4" s="159"/>
      <c r="EO4" s="159"/>
      <c r="EP4" s="159"/>
      <c r="EQ4" s="159"/>
      <c r="ER4" s="159"/>
      <c r="ES4" s="159"/>
      <c r="ET4" s="159"/>
      <c r="EU4" s="159"/>
      <c r="EV4" s="159"/>
      <c r="EW4" s="159"/>
      <c r="EX4" s="159"/>
      <c r="EY4" s="159"/>
      <c r="EZ4" s="159"/>
      <c r="FA4" s="159"/>
      <c r="FB4" s="159"/>
      <c r="FC4" s="159"/>
      <c r="FD4" s="159"/>
      <c r="FE4" s="159"/>
      <c r="FF4" s="159"/>
      <c r="FG4" s="159"/>
      <c r="FH4" s="159"/>
      <c r="FI4" s="159"/>
      <c r="FJ4" s="159"/>
      <c r="FK4" s="159"/>
      <c r="FL4" s="159"/>
      <c r="FM4" s="159"/>
      <c r="FN4" s="159"/>
      <c r="FO4" s="159"/>
      <c r="FP4" s="159"/>
    </row>
    <row r="5" spans="1:214" s="160" customFormat="1" ht="30.75" customHeight="1" x14ac:dyDescent="0.25">
      <c r="A5" s="216"/>
      <c r="B5" s="216"/>
      <c r="C5" s="216"/>
      <c r="D5" s="216"/>
      <c r="E5" s="216"/>
      <c r="F5" s="192"/>
      <c r="G5" s="206"/>
      <c r="H5" s="206"/>
      <c r="I5" s="206"/>
      <c r="J5" s="206"/>
      <c r="K5" s="200"/>
      <c r="L5" s="218"/>
      <c r="M5" s="206"/>
      <c r="N5" s="206"/>
      <c r="O5" s="206"/>
      <c r="P5" s="206"/>
      <c r="Q5" s="200"/>
      <c r="R5" s="217"/>
      <c r="S5" s="206"/>
      <c r="T5" s="206"/>
      <c r="U5" s="206"/>
      <c r="V5" s="206"/>
      <c r="W5" s="200"/>
      <c r="X5" s="217"/>
      <c r="Y5" s="159"/>
      <c r="Z5" s="159"/>
      <c r="AA5" s="159"/>
      <c r="AB5" s="159"/>
      <c r="AC5" s="159"/>
      <c r="AD5" s="159"/>
      <c r="AE5" s="159"/>
      <c r="AF5" s="159"/>
      <c r="AG5" s="159"/>
      <c r="AH5" s="159"/>
      <c r="AI5" s="159"/>
      <c r="AJ5" s="159"/>
      <c r="AK5" s="159"/>
      <c r="AL5" s="159"/>
      <c r="AM5" s="159"/>
      <c r="AN5" s="159"/>
      <c r="AO5" s="159"/>
      <c r="AP5" s="159"/>
      <c r="AQ5" s="159"/>
      <c r="AR5" s="159"/>
      <c r="AS5" s="159"/>
      <c r="AT5" s="159"/>
      <c r="AU5" s="159"/>
      <c r="AV5" s="159"/>
      <c r="AW5" s="159"/>
      <c r="AX5" s="159"/>
      <c r="AY5" s="159"/>
      <c r="AZ5" s="159"/>
      <c r="BA5" s="159"/>
      <c r="BB5" s="159"/>
      <c r="BC5" s="159"/>
      <c r="BD5" s="159"/>
      <c r="BE5" s="159"/>
      <c r="BF5" s="159"/>
      <c r="BG5" s="159"/>
      <c r="BH5" s="159"/>
      <c r="BI5" s="159"/>
      <c r="BJ5" s="159"/>
      <c r="BK5" s="159"/>
      <c r="BL5" s="159"/>
      <c r="BM5" s="159"/>
      <c r="BN5" s="159"/>
      <c r="BO5" s="159"/>
      <c r="BP5" s="159"/>
      <c r="BQ5" s="159"/>
      <c r="BR5" s="159"/>
      <c r="BS5" s="159"/>
      <c r="BT5" s="159"/>
      <c r="BU5" s="159"/>
      <c r="BV5" s="159"/>
      <c r="BW5" s="159"/>
      <c r="BX5" s="159"/>
      <c r="BY5" s="159"/>
      <c r="BZ5" s="159"/>
      <c r="CA5" s="159"/>
      <c r="CB5" s="159"/>
      <c r="CC5" s="159"/>
      <c r="CD5" s="159"/>
      <c r="CE5" s="159"/>
      <c r="CF5" s="159"/>
      <c r="CG5" s="159"/>
      <c r="CH5" s="159"/>
      <c r="CI5" s="159"/>
      <c r="CJ5" s="159"/>
      <c r="CK5" s="159"/>
      <c r="CL5" s="159"/>
      <c r="CM5" s="159"/>
      <c r="CN5" s="159"/>
      <c r="CO5" s="159"/>
      <c r="CP5" s="159"/>
      <c r="CQ5" s="159"/>
      <c r="CR5" s="159"/>
      <c r="CS5" s="159"/>
      <c r="CT5" s="159"/>
      <c r="CU5" s="159"/>
      <c r="CV5" s="159"/>
      <c r="CW5" s="159"/>
      <c r="CX5" s="159"/>
      <c r="CY5" s="159"/>
      <c r="CZ5" s="159"/>
      <c r="DA5" s="159"/>
      <c r="DB5" s="159"/>
      <c r="DC5" s="159"/>
      <c r="DD5" s="159"/>
      <c r="DE5" s="159"/>
      <c r="DF5" s="159"/>
      <c r="DG5" s="159"/>
      <c r="DH5" s="159"/>
      <c r="DI5" s="159"/>
      <c r="DJ5" s="159"/>
      <c r="DK5" s="159"/>
      <c r="DL5" s="159"/>
      <c r="DM5" s="159"/>
      <c r="DN5" s="159"/>
      <c r="DO5" s="159"/>
      <c r="DP5" s="159"/>
      <c r="DQ5" s="159"/>
      <c r="DR5" s="159"/>
      <c r="DS5" s="159"/>
      <c r="DT5" s="159"/>
      <c r="DU5" s="159"/>
      <c r="DV5" s="159"/>
      <c r="DW5" s="159"/>
      <c r="DX5" s="159"/>
      <c r="DY5" s="159"/>
      <c r="DZ5" s="159"/>
      <c r="EA5" s="159"/>
      <c r="EB5" s="159"/>
      <c r="EC5" s="159"/>
      <c r="ED5" s="159"/>
      <c r="EE5" s="159"/>
      <c r="EF5" s="159"/>
      <c r="EG5" s="159"/>
      <c r="EH5" s="159"/>
      <c r="EI5" s="159"/>
      <c r="EJ5" s="159"/>
      <c r="EK5" s="159"/>
      <c r="EL5" s="159"/>
      <c r="EM5" s="159"/>
      <c r="EN5" s="159"/>
      <c r="EO5" s="159"/>
      <c r="EP5" s="159"/>
      <c r="EQ5" s="159"/>
      <c r="ER5" s="159"/>
      <c r="ES5" s="159"/>
      <c r="ET5" s="159"/>
      <c r="EU5" s="159"/>
      <c r="EV5" s="159"/>
      <c r="EW5" s="159"/>
      <c r="EX5" s="159"/>
      <c r="EY5" s="159"/>
      <c r="EZ5" s="159"/>
      <c r="FA5" s="159"/>
      <c r="FB5" s="159"/>
      <c r="FC5" s="159"/>
      <c r="FD5" s="159"/>
      <c r="FE5" s="159"/>
      <c r="FF5" s="159"/>
      <c r="FG5" s="159"/>
      <c r="FH5" s="159"/>
      <c r="FI5" s="159"/>
      <c r="FJ5" s="159"/>
      <c r="FK5" s="159"/>
      <c r="FL5" s="159"/>
      <c r="FM5" s="159"/>
      <c r="FN5" s="159"/>
      <c r="FO5" s="159"/>
      <c r="FP5" s="159"/>
    </row>
    <row r="6" spans="1:214" s="160" customFormat="1" ht="30.75" customHeight="1" x14ac:dyDescent="0.25">
      <c r="A6" s="204" t="s">
        <v>15</v>
      </c>
      <c r="B6" s="204" t="s">
        <v>86</v>
      </c>
      <c r="C6" s="204" t="s">
        <v>16</v>
      </c>
      <c r="D6" s="205" t="s">
        <v>85</v>
      </c>
      <c r="E6" s="214" t="s">
        <v>110</v>
      </c>
      <c r="F6" s="192"/>
      <c r="G6" s="222" t="s">
        <v>15</v>
      </c>
      <c r="H6" s="222" t="s">
        <v>86</v>
      </c>
      <c r="I6" s="222" t="s">
        <v>16</v>
      </c>
      <c r="J6" s="223" t="s">
        <v>85</v>
      </c>
      <c r="K6" s="207" t="s">
        <v>110</v>
      </c>
      <c r="L6" s="217"/>
      <c r="M6" s="204" t="s">
        <v>15</v>
      </c>
      <c r="N6" s="204" t="s">
        <v>86</v>
      </c>
      <c r="O6" s="204" t="s">
        <v>16</v>
      </c>
      <c r="P6" s="220" t="s">
        <v>85</v>
      </c>
      <c r="Q6" s="214" t="s">
        <v>110</v>
      </c>
      <c r="R6" s="217"/>
      <c r="S6" s="204" t="s">
        <v>15</v>
      </c>
      <c r="T6" s="204" t="s">
        <v>86</v>
      </c>
      <c r="U6" s="204" t="s">
        <v>16</v>
      </c>
      <c r="V6" s="220" t="s">
        <v>85</v>
      </c>
      <c r="W6" s="214" t="s">
        <v>110</v>
      </c>
      <c r="X6" s="217"/>
      <c r="Y6" s="159"/>
      <c r="Z6" s="159"/>
      <c r="AA6" s="159"/>
      <c r="AB6" s="159"/>
      <c r="AC6" s="159"/>
      <c r="AD6" s="159"/>
      <c r="AE6" s="159"/>
      <c r="AF6" s="159"/>
      <c r="AG6" s="159"/>
      <c r="AH6" s="159"/>
      <c r="AI6" s="159"/>
      <c r="AJ6" s="159"/>
      <c r="AK6" s="159"/>
      <c r="AL6" s="159"/>
      <c r="AM6" s="159"/>
      <c r="AN6" s="159"/>
      <c r="AO6" s="159"/>
      <c r="AP6" s="159"/>
      <c r="AQ6" s="159"/>
      <c r="AR6" s="159"/>
      <c r="AS6" s="159"/>
      <c r="AT6" s="159"/>
      <c r="AU6" s="159"/>
      <c r="AV6" s="159"/>
      <c r="AW6" s="159"/>
      <c r="AX6" s="159"/>
      <c r="AY6" s="159"/>
      <c r="AZ6" s="159"/>
      <c r="BA6" s="159"/>
      <c r="BB6" s="159"/>
      <c r="BC6" s="159"/>
      <c r="BD6" s="159"/>
      <c r="BE6" s="159"/>
      <c r="BF6" s="159"/>
      <c r="BG6" s="159"/>
      <c r="BH6" s="159"/>
      <c r="BI6" s="159"/>
      <c r="BJ6" s="159"/>
      <c r="BK6" s="159"/>
      <c r="BL6" s="159"/>
      <c r="BM6" s="159"/>
      <c r="BN6" s="159"/>
      <c r="BO6" s="159"/>
      <c r="BP6" s="159"/>
      <c r="BQ6" s="159"/>
      <c r="BR6" s="159"/>
      <c r="BS6" s="159"/>
      <c r="BT6" s="159"/>
      <c r="BU6" s="159"/>
      <c r="BV6" s="159"/>
      <c r="BW6" s="159"/>
      <c r="BX6" s="159"/>
      <c r="BY6" s="159"/>
      <c r="BZ6" s="159"/>
      <c r="CA6" s="159"/>
      <c r="CB6" s="159"/>
      <c r="CC6" s="159"/>
      <c r="CD6" s="159"/>
      <c r="CE6" s="159"/>
      <c r="CF6" s="159"/>
      <c r="CG6" s="159"/>
      <c r="CH6" s="159"/>
      <c r="CI6" s="159"/>
      <c r="CJ6" s="159"/>
      <c r="CK6" s="159"/>
      <c r="CL6" s="159"/>
      <c r="CM6" s="159"/>
      <c r="CN6" s="159"/>
      <c r="CO6" s="159"/>
      <c r="CP6" s="159"/>
      <c r="CQ6" s="159"/>
      <c r="CR6" s="159"/>
      <c r="CS6" s="159"/>
      <c r="CT6" s="159"/>
      <c r="CU6" s="159"/>
      <c r="CV6" s="159"/>
      <c r="CW6" s="159"/>
      <c r="CX6" s="159"/>
      <c r="CY6" s="159"/>
      <c r="CZ6" s="159"/>
      <c r="DA6" s="159"/>
      <c r="DB6" s="159"/>
      <c r="DC6" s="159"/>
      <c r="DD6" s="159"/>
      <c r="DE6" s="159"/>
      <c r="DF6" s="159"/>
      <c r="DG6" s="159"/>
      <c r="DH6" s="159"/>
      <c r="DI6" s="159"/>
      <c r="DJ6" s="159"/>
      <c r="DK6" s="159"/>
      <c r="DL6" s="159"/>
      <c r="DM6" s="159"/>
      <c r="DN6" s="159"/>
      <c r="DO6" s="159"/>
      <c r="DP6" s="159"/>
      <c r="DQ6" s="159"/>
      <c r="DR6" s="159"/>
      <c r="DS6" s="159"/>
      <c r="DT6" s="159"/>
      <c r="DU6" s="159"/>
      <c r="DV6" s="159"/>
      <c r="DW6" s="159"/>
      <c r="DX6" s="159"/>
      <c r="DY6" s="159"/>
      <c r="DZ6" s="159"/>
      <c r="EA6" s="159"/>
      <c r="EB6" s="159"/>
      <c r="EC6" s="159"/>
      <c r="ED6" s="159"/>
      <c r="EE6" s="159"/>
      <c r="EF6" s="159"/>
      <c r="EG6" s="159"/>
      <c r="EH6" s="159"/>
      <c r="EI6" s="159"/>
      <c r="EJ6" s="159"/>
      <c r="EK6" s="159"/>
      <c r="EL6" s="159"/>
      <c r="EM6" s="159"/>
      <c r="EN6" s="159"/>
      <c r="EO6" s="159"/>
      <c r="EP6" s="159"/>
      <c r="EQ6" s="159"/>
      <c r="ER6" s="159"/>
      <c r="ES6" s="159"/>
      <c r="ET6" s="159"/>
      <c r="EU6" s="159"/>
      <c r="EV6" s="159"/>
      <c r="EW6" s="159"/>
      <c r="EX6" s="159"/>
      <c r="EY6" s="159"/>
      <c r="EZ6" s="159"/>
      <c r="FA6" s="159"/>
      <c r="FB6" s="159"/>
      <c r="FC6" s="159"/>
      <c r="FD6" s="159"/>
      <c r="FE6" s="159"/>
      <c r="FF6" s="159"/>
      <c r="FG6" s="159"/>
      <c r="FH6" s="159"/>
      <c r="FI6" s="159"/>
      <c r="FJ6" s="159"/>
      <c r="FK6" s="159"/>
      <c r="FL6" s="159"/>
      <c r="FM6" s="159"/>
      <c r="FN6" s="159"/>
      <c r="FO6" s="159"/>
      <c r="FP6" s="159"/>
    </row>
    <row r="7" spans="1:214" s="160" customFormat="1" ht="30.75" customHeight="1" x14ac:dyDescent="0.25">
      <c r="A7" s="180">
        <f>SUM(D10:D43)</f>
        <v>3615</v>
      </c>
      <c r="B7" s="180">
        <f>SUM(E10:E43)</f>
        <v>3615</v>
      </c>
      <c r="C7" s="198">
        <f>A7-B7</f>
        <v>0</v>
      </c>
      <c r="D7" s="195">
        <f>D4 + C7</f>
        <v>0</v>
      </c>
      <c r="E7" s="208" t="s">
        <v>107</v>
      </c>
      <c r="F7" s="192"/>
      <c r="G7" s="180">
        <f>SUM(J10:J43)</f>
        <v>3240</v>
      </c>
      <c r="H7" s="180">
        <f>SUM(K10:K43)</f>
        <v>3240</v>
      </c>
      <c r="I7" s="198">
        <f>G7-H7</f>
        <v>0</v>
      </c>
      <c r="J7" s="195">
        <f>J4 + I7</f>
        <v>0</v>
      </c>
      <c r="K7" s="208" t="s">
        <v>107</v>
      </c>
      <c r="L7" s="217"/>
      <c r="M7" s="201">
        <f>SUM(P10:P43)</f>
        <v>3690</v>
      </c>
      <c r="N7" s="202">
        <f>SUM(Q10:Q43)</f>
        <v>3690</v>
      </c>
      <c r="O7" s="203">
        <f>M7-N7</f>
        <v>0</v>
      </c>
      <c r="P7" s="209">
        <f>P4 + O7</f>
        <v>10000</v>
      </c>
      <c r="Q7" s="221" t="s">
        <v>109</v>
      </c>
      <c r="R7" s="193"/>
      <c r="S7" s="201">
        <f>SUM(V10:V43)</f>
        <v>3270</v>
      </c>
      <c r="T7" s="202">
        <f>SUM(W10:W43)</f>
        <v>3270</v>
      </c>
      <c r="U7" s="203">
        <f>S7-T7</f>
        <v>0</v>
      </c>
      <c r="V7" s="209">
        <f>V4 + U7</f>
        <v>5000</v>
      </c>
      <c r="W7" s="221" t="s">
        <v>109</v>
      </c>
      <c r="X7" s="193"/>
      <c r="Y7" s="159"/>
      <c r="Z7" s="159"/>
      <c r="AA7" s="159"/>
      <c r="AB7" s="159"/>
      <c r="AC7" s="159"/>
      <c r="AD7" s="159"/>
      <c r="AE7" s="159"/>
      <c r="AF7" s="159"/>
      <c r="AG7" s="159"/>
      <c r="AH7" s="159"/>
      <c r="AI7" s="159"/>
      <c r="AJ7" s="159"/>
      <c r="AK7" s="159"/>
      <c r="AL7" s="159"/>
      <c r="AM7" s="159"/>
      <c r="AN7" s="159"/>
      <c r="AO7" s="159"/>
      <c r="AP7" s="159"/>
      <c r="AQ7" s="159"/>
      <c r="AR7" s="159"/>
      <c r="AS7" s="159"/>
      <c r="AT7" s="159"/>
      <c r="AU7" s="159"/>
      <c r="AV7" s="159"/>
      <c r="AW7" s="159"/>
      <c r="AX7" s="159"/>
      <c r="AY7" s="159"/>
      <c r="AZ7" s="159"/>
      <c r="BA7" s="159"/>
      <c r="BB7" s="159"/>
      <c r="BC7" s="159"/>
      <c r="BD7" s="159"/>
      <c r="BE7" s="159"/>
      <c r="BF7" s="159"/>
      <c r="BG7" s="159"/>
      <c r="BH7" s="159"/>
      <c r="BI7" s="159"/>
      <c r="BJ7" s="159"/>
      <c r="BK7" s="159"/>
      <c r="BL7" s="159"/>
      <c r="BM7" s="159"/>
      <c r="BN7" s="159"/>
      <c r="BO7" s="159"/>
      <c r="BP7" s="159"/>
      <c r="BQ7" s="159"/>
      <c r="BR7" s="159"/>
      <c r="BS7" s="159"/>
      <c r="BT7" s="159"/>
      <c r="BU7" s="159"/>
      <c r="BV7" s="159"/>
      <c r="BW7" s="159"/>
      <c r="BX7" s="159"/>
      <c r="BY7" s="159"/>
      <c r="BZ7" s="159"/>
      <c r="CA7" s="159"/>
      <c r="CB7" s="159"/>
      <c r="CC7" s="159"/>
      <c r="CD7" s="159"/>
      <c r="CE7" s="159"/>
      <c r="CF7" s="159"/>
      <c r="CG7" s="159"/>
      <c r="CH7" s="159"/>
      <c r="CI7" s="159"/>
      <c r="CJ7" s="159"/>
      <c r="CK7" s="159"/>
      <c r="CL7" s="159"/>
      <c r="CM7" s="159"/>
      <c r="CN7" s="159"/>
      <c r="CO7" s="159"/>
      <c r="CP7" s="159"/>
      <c r="CQ7" s="159"/>
      <c r="CR7" s="159"/>
      <c r="CS7" s="159"/>
      <c r="CT7" s="159"/>
      <c r="CU7" s="159"/>
      <c r="CV7" s="159"/>
      <c r="CW7" s="159"/>
      <c r="CX7" s="159"/>
      <c r="CY7" s="159"/>
      <c r="CZ7" s="159"/>
      <c r="DA7" s="159"/>
      <c r="DB7" s="159"/>
      <c r="DC7" s="159"/>
      <c r="DD7" s="159"/>
      <c r="DE7" s="159"/>
      <c r="DF7" s="159"/>
      <c r="DG7" s="159"/>
      <c r="DH7" s="159"/>
      <c r="DI7" s="159"/>
      <c r="DJ7" s="159"/>
      <c r="DK7" s="159"/>
      <c r="DL7" s="159"/>
      <c r="DM7" s="159"/>
      <c r="DN7" s="159"/>
      <c r="DO7" s="159"/>
      <c r="DP7" s="159"/>
      <c r="DQ7" s="159"/>
      <c r="DR7" s="159"/>
      <c r="DS7" s="159"/>
      <c r="DT7" s="159"/>
      <c r="DU7" s="159"/>
      <c r="DV7" s="159"/>
      <c r="DW7" s="159"/>
      <c r="DX7" s="159"/>
      <c r="DY7" s="159"/>
      <c r="DZ7" s="159"/>
      <c r="EA7" s="159"/>
      <c r="EB7" s="159"/>
      <c r="EC7" s="159"/>
      <c r="ED7" s="159"/>
      <c r="EE7" s="159"/>
      <c r="EF7" s="159"/>
      <c r="EG7" s="159"/>
      <c r="EH7" s="159"/>
      <c r="EI7" s="159"/>
      <c r="EJ7" s="159"/>
      <c r="EK7" s="159"/>
      <c r="EL7" s="159"/>
      <c r="EM7" s="159"/>
      <c r="EN7" s="159"/>
      <c r="EO7" s="159"/>
      <c r="EP7" s="159"/>
      <c r="EQ7" s="159"/>
      <c r="ER7" s="159"/>
      <c r="ES7" s="159"/>
      <c r="ET7" s="159"/>
      <c r="EU7" s="159"/>
      <c r="EV7" s="159"/>
      <c r="EW7" s="159"/>
      <c r="EX7" s="159"/>
      <c r="EY7" s="159"/>
      <c r="EZ7" s="159"/>
      <c r="FA7" s="159"/>
      <c r="FB7" s="159"/>
      <c r="FC7" s="159"/>
      <c r="FD7" s="159"/>
      <c r="FE7" s="159"/>
      <c r="FF7" s="159"/>
      <c r="FG7" s="159"/>
      <c r="FH7" s="159"/>
      <c r="FI7" s="159"/>
      <c r="FJ7" s="159"/>
      <c r="FK7" s="159"/>
      <c r="FL7" s="159"/>
      <c r="FM7" s="159"/>
      <c r="FN7" s="159"/>
      <c r="FO7" s="159"/>
      <c r="FP7" s="159"/>
    </row>
    <row r="8" spans="1:214" s="160" customFormat="1" ht="30.75" customHeight="1" x14ac:dyDescent="0.25">
      <c r="A8" s="213"/>
      <c r="B8" s="213"/>
      <c r="C8" s="213"/>
      <c r="D8" s="213"/>
      <c r="E8" s="213"/>
      <c r="F8" s="192"/>
      <c r="G8" s="213"/>
      <c r="H8" s="213"/>
      <c r="I8" s="213"/>
      <c r="J8" s="213"/>
      <c r="K8" s="213"/>
      <c r="L8" s="218"/>
      <c r="M8" s="213"/>
      <c r="N8" s="213"/>
      <c r="O8" s="213"/>
      <c r="P8" s="213"/>
      <c r="Q8" s="213"/>
      <c r="R8" s="217"/>
      <c r="S8" s="213"/>
      <c r="T8" s="213"/>
      <c r="U8" s="213"/>
      <c r="V8" s="213"/>
      <c r="W8" s="213"/>
      <c r="X8" s="217"/>
      <c r="Y8" s="159"/>
      <c r="Z8" s="159"/>
      <c r="AA8" s="159"/>
      <c r="AB8" s="159"/>
      <c r="AC8" s="159"/>
      <c r="AD8" s="159"/>
      <c r="AE8" s="159"/>
      <c r="AF8" s="159"/>
      <c r="AG8" s="159"/>
      <c r="AH8" s="159"/>
      <c r="AI8" s="159"/>
      <c r="AJ8" s="159"/>
      <c r="AK8" s="159"/>
      <c r="AL8" s="159"/>
      <c r="AM8" s="159"/>
      <c r="AN8" s="159"/>
      <c r="AO8" s="159"/>
      <c r="AP8" s="159"/>
      <c r="AQ8" s="159"/>
      <c r="AR8" s="159"/>
      <c r="AS8" s="159"/>
      <c r="AT8" s="159"/>
      <c r="AU8" s="159"/>
      <c r="AV8" s="159"/>
      <c r="AW8" s="159"/>
      <c r="AX8" s="159"/>
      <c r="AY8" s="159"/>
      <c r="AZ8" s="159"/>
      <c r="BA8" s="159"/>
      <c r="BB8" s="159"/>
      <c r="BC8" s="159"/>
      <c r="BD8" s="159"/>
      <c r="BE8" s="159"/>
      <c r="BF8" s="159"/>
      <c r="BG8" s="159"/>
      <c r="BH8" s="159"/>
      <c r="BI8" s="159"/>
      <c r="BJ8" s="159"/>
      <c r="BK8" s="159"/>
      <c r="BL8" s="159"/>
      <c r="BM8" s="159"/>
      <c r="BN8" s="159"/>
      <c r="BO8" s="159"/>
      <c r="BP8" s="159"/>
      <c r="BQ8" s="159"/>
      <c r="BR8" s="159"/>
      <c r="BS8" s="159"/>
      <c r="BT8" s="159"/>
      <c r="BU8" s="159"/>
      <c r="BV8" s="159"/>
      <c r="BW8" s="159"/>
      <c r="BX8" s="159"/>
      <c r="BY8" s="159"/>
      <c r="BZ8" s="159"/>
      <c r="CA8" s="159"/>
      <c r="CB8" s="159"/>
      <c r="CC8" s="159"/>
      <c r="CD8" s="159"/>
      <c r="CE8" s="159"/>
      <c r="CF8" s="159"/>
      <c r="CG8" s="159"/>
      <c r="CH8" s="159"/>
      <c r="CI8" s="159"/>
      <c r="CJ8" s="159"/>
      <c r="CK8" s="159"/>
      <c r="CL8" s="159"/>
      <c r="CM8" s="159"/>
      <c r="CN8" s="159"/>
      <c r="CO8" s="159"/>
      <c r="CP8" s="159"/>
      <c r="CQ8" s="159"/>
      <c r="CR8" s="159"/>
      <c r="CS8" s="159"/>
      <c r="CT8" s="159"/>
      <c r="CU8" s="159"/>
      <c r="CV8" s="159"/>
      <c r="CW8" s="159"/>
      <c r="CX8" s="159"/>
      <c r="CY8" s="159"/>
      <c r="CZ8" s="159"/>
      <c r="DA8" s="159"/>
      <c r="DB8" s="159"/>
      <c r="DC8" s="159"/>
      <c r="DD8" s="159"/>
      <c r="DE8" s="159"/>
      <c r="DF8" s="159"/>
      <c r="DG8" s="159"/>
      <c r="DH8" s="159"/>
      <c r="DI8" s="159"/>
      <c r="DJ8" s="159"/>
      <c r="DK8" s="159"/>
      <c r="DL8" s="159"/>
      <c r="DM8" s="159"/>
      <c r="DN8" s="159"/>
      <c r="DO8" s="159"/>
      <c r="DP8" s="159"/>
      <c r="DQ8" s="159"/>
      <c r="DR8" s="159"/>
      <c r="DS8" s="159"/>
      <c r="DT8" s="159"/>
      <c r="DU8" s="159"/>
      <c r="DV8" s="159"/>
      <c r="DW8" s="159"/>
      <c r="DX8" s="159"/>
      <c r="DY8" s="159"/>
      <c r="DZ8" s="159"/>
      <c r="EA8" s="159"/>
      <c r="EB8" s="159"/>
      <c r="EC8" s="159"/>
      <c r="ED8" s="159"/>
      <c r="EE8" s="159"/>
      <c r="EF8" s="159"/>
      <c r="EG8" s="159"/>
      <c r="EH8" s="159"/>
      <c r="EI8" s="159"/>
      <c r="EJ8" s="159"/>
      <c r="EK8" s="159"/>
      <c r="EL8" s="159"/>
      <c r="EM8" s="159"/>
      <c r="EN8" s="159"/>
      <c r="EO8" s="159"/>
      <c r="EP8" s="159"/>
      <c r="EQ8" s="159"/>
      <c r="ER8" s="159"/>
      <c r="ES8" s="159"/>
      <c r="ET8" s="159"/>
      <c r="EU8" s="159"/>
      <c r="EV8" s="159"/>
      <c r="EW8" s="159"/>
      <c r="EX8" s="159"/>
      <c r="EY8" s="159"/>
      <c r="EZ8" s="159"/>
      <c r="FA8" s="159"/>
      <c r="FB8" s="159"/>
      <c r="FC8" s="159"/>
      <c r="FD8" s="159"/>
      <c r="FE8" s="159"/>
      <c r="FF8" s="159"/>
      <c r="FG8" s="159"/>
      <c r="FH8" s="159"/>
      <c r="FI8" s="159"/>
      <c r="FJ8" s="159"/>
      <c r="FK8" s="159"/>
      <c r="FL8" s="159"/>
      <c r="FM8" s="159"/>
      <c r="FN8" s="159"/>
      <c r="FO8" s="159"/>
      <c r="FP8" s="159"/>
    </row>
    <row r="9" spans="1:214" s="160" customFormat="1" ht="30.75" customHeight="1" x14ac:dyDescent="0.25">
      <c r="A9" s="210" t="s">
        <v>104</v>
      </c>
      <c r="B9" s="211" t="s">
        <v>90</v>
      </c>
      <c r="C9" s="211" t="s">
        <v>89</v>
      </c>
      <c r="D9" s="211" t="s">
        <v>15</v>
      </c>
      <c r="E9" s="212" t="s">
        <v>92</v>
      </c>
      <c r="F9" s="192"/>
      <c r="G9" s="210" t="s">
        <v>104</v>
      </c>
      <c r="H9" s="211" t="s">
        <v>90</v>
      </c>
      <c r="I9" s="211" t="s">
        <v>89</v>
      </c>
      <c r="J9" s="211" t="s">
        <v>15</v>
      </c>
      <c r="K9" s="212" t="s">
        <v>92</v>
      </c>
      <c r="L9" s="193"/>
      <c r="M9" s="210" t="s">
        <v>104</v>
      </c>
      <c r="N9" s="211" t="s">
        <v>90</v>
      </c>
      <c r="O9" s="211" t="s">
        <v>89</v>
      </c>
      <c r="P9" s="211" t="s">
        <v>15</v>
      </c>
      <c r="Q9" s="212" t="s">
        <v>92</v>
      </c>
      <c r="R9" s="193"/>
      <c r="S9" s="210" t="s">
        <v>104</v>
      </c>
      <c r="T9" s="211" t="s">
        <v>90</v>
      </c>
      <c r="U9" s="211" t="s">
        <v>89</v>
      </c>
      <c r="V9" s="211" t="s">
        <v>15</v>
      </c>
      <c r="W9" s="212" t="s">
        <v>92</v>
      </c>
      <c r="X9" s="193"/>
      <c r="Y9" s="159"/>
      <c r="Z9" s="159"/>
      <c r="AA9" s="159"/>
      <c r="AB9" s="159"/>
      <c r="AC9" s="159"/>
      <c r="AD9" s="159"/>
      <c r="AE9" s="159"/>
      <c r="AF9" s="159"/>
      <c r="AG9" s="159"/>
      <c r="AH9" s="159"/>
      <c r="AI9" s="159"/>
      <c r="AJ9" s="159"/>
      <c r="AK9" s="159"/>
      <c r="AL9" s="159"/>
      <c r="AM9" s="159"/>
      <c r="AN9" s="159"/>
      <c r="AO9" s="159"/>
      <c r="AP9" s="159"/>
      <c r="AQ9" s="159"/>
      <c r="AR9" s="159"/>
      <c r="AS9" s="159"/>
      <c r="AT9" s="159"/>
      <c r="AU9" s="159"/>
      <c r="AV9" s="159"/>
      <c r="AW9" s="159"/>
      <c r="AX9" s="159"/>
      <c r="AY9" s="159"/>
      <c r="AZ9" s="159"/>
      <c r="BA9" s="159"/>
      <c r="BB9" s="159"/>
      <c r="BC9" s="159"/>
      <c r="BD9" s="159"/>
      <c r="BE9" s="159"/>
      <c r="BF9" s="159"/>
      <c r="BG9" s="159"/>
      <c r="BH9" s="159"/>
      <c r="BI9" s="159"/>
      <c r="BJ9" s="159"/>
      <c r="BK9" s="159"/>
      <c r="BL9" s="159"/>
      <c r="BM9" s="159"/>
      <c r="BN9" s="159"/>
      <c r="BO9" s="159"/>
      <c r="BP9" s="159"/>
      <c r="BQ9" s="159"/>
      <c r="BR9" s="159"/>
      <c r="BS9" s="159"/>
      <c r="BT9" s="159"/>
      <c r="BU9" s="159"/>
      <c r="BV9" s="159"/>
      <c r="BW9" s="159"/>
      <c r="BX9" s="159"/>
      <c r="BY9" s="159"/>
      <c r="BZ9" s="159"/>
      <c r="CA9" s="159"/>
      <c r="CB9" s="159"/>
      <c r="CC9" s="159"/>
      <c r="CD9" s="159"/>
      <c r="CE9" s="159"/>
      <c r="CF9" s="159"/>
      <c r="CG9" s="159"/>
      <c r="CH9" s="159"/>
      <c r="CI9" s="159"/>
      <c r="CJ9" s="159"/>
      <c r="CK9" s="159"/>
      <c r="CL9" s="159"/>
      <c r="CM9" s="159"/>
      <c r="CN9" s="159"/>
      <c r="CO9" s="159"/>
      <c r="CP9" s="159"/>
      <c r="CQ9" s="159"/>
      <c r="CR9" s="159"/>
      <c r="CS9" s="159"/>
      <c r="CT9" s="159"/>
      <c r="CU9" s="159"/>
      <c r="CV9" s="159"/>
      <c r="CW9" s="159"/>
      <c r="CX9" s="159"/>
      <c r="CY9" s="159"/>
      <c r="CZ9" s="159"/>
      <c r="DA9" s="159"/>
      <c r="DB9" s="159"/>
      <c r="DC9" s="159"/>
      <c r="DD9" s="159"/>
      <c r="DE9" s="159"/>
      <c r="DF9" s="159"/>
      <c r="DG9" s="159"/>
      <c r="DH9" s="159"/>
      <c r="DI9" s="159"/>
      <c r="DJ9" s="159"/>
      <c r="DK9" s="159"/>
      <c r="DL9" s="159"/>
      <c r="DM9" s="159"/>
      <c r="DN9" s="159"/>
      <c r="DO9" s="159"/>
      <c r="DP9" s="159"/>
      <c r="DQ9" s="159"/>
      <c r="DR9" s="159"/>
      <c r="DS9" s="159"/>
      <c r="DT9" s="159"/>
      <c r="DU9" s="159"/>
      <c r="DV9" s="159"/>
      <c r="DW9" s="159"/>
      <c r="DX9" s="159"/>
      <c r="DY9" s="159"/>
      <c r="DZ9" s="159"/>
      <c r="EA9" s="159"/>
      <c r="EB9" s="159"/>
      <c r="EC9" s="159"/>
      <c r="ED9" s="159"/>
      <c r="EE9" s="159"/>
      <c r="EF9" s="159"/>
      <c r="EG9" s="159"/>
      <c r="EH9" s="159"/>
      <c r="EI9" s="159"/>
      <c r="EJ9" s="159"/>
      <c r="EK9" s="159"/>
      <c r="EL9" s="159"/>
      <c r="EM9" s="159"/>
      <c r="EN9" s="159"/>
      <c r="EO9" s="159"/>
      <c r="EP9" s="159"/>
      <c r="EQ9" s="159"/>
      <c r="ER9" s="159"/>
      <c r="ES9" s="159"/>
      <c r="ET9" s="159"/>
      <c r="EU9" s="159"/>
      <c r="EV9" s="159"/>
      <c r="EW9" s="159"/>
      <c r="EX9" s="159"/>
      <c r="EY9" s="159"/>
      <c r="EZ9" s="159"/>
      <c r="FA9" s="159"/>
      <c r="FB9" s="159"/>
      <c r="FC9" s="159"/>
      <c r="FD9" s="159"/>
      <c r="FE9" s="159"/>
      <c r="FF9" s="159"/>
      <c r="FG9" s="159"/>
      <c r="FH9" s="159"/>
      <c r="FI9" s="159"/>
      <c r="FJ9" s="159"/>
      <c r="FK9" s="159"/>
      <c r="FL9" s="159"/>
      <c r="FM9" s="159"/>
      <c r="FN9" s="159"/>
      <c r="FO9" s="159"/>
      <c r="FP9" s="159"/>
    </row>
    <row r="10" spans="1:214" s="96" customFormat="1" ht="18.75" x14ac:dyDescent="0.25">
      <c r="A10" s="151">
        <v>45321.259375000001</v>
      </c>
      <c r="B10" s="85">
        <v>10000</v>
      </c>
      <c r="C10" s="85"/>
      <c r="D10" s="85"/>
      <c r="E10" s="181"/>
      <c r="F10" s="103"/>
      <c r="G10" s="151">
        <v>45381.259375000001</v>
      </c>
      <c r="H10" s="85">
        <v>22000</v>
      </c>
      <c r="I10" s="85"/>
      <c r="J10" s="85"/>
      <c r="K10" s="181"/>
      <c r="L10" s="193"/>
      <c r="M10" s="151">
        <v>45787</v>
      </c>
      <c r="N10" s="85">
        <v>20000</v>
      </c>
      <c r="O10" s="85"/>
      <c r="P10" s="85"/>
      <c r="Q10" s="181"/>
      <c r="R10" s="193"/>
      <c r="S10" s="151">
        <v>45381.259375000001</v>
      </c>
      <c r="T10" s="85">
        <v>15000</v>
      </c>
      <c r="U10" s="85"/>
      <c r="V10" s="85"/>
      <c r="W10" s="181"/>
      <c r="X10" s="193"/>
      <c r="Y10" s="111"/>
      <c r="Z10" s="111"/>
      <c r="AA10" s="111"/>
      <c r="AB10" s="111"/>
      <c r="AC10" s="111"/>
      <c r="AD10" s="111"/>
      <c r="AE10" s="111"/>
      <c r="AF10" s="111"/>
      <c r="AG10" s="111"/>
      <c r="AH10" s="111"/>
      <c r="AI10" s="111"/>
      <c r="AJ10" s="111"/>
      <c r="AK10" s="111"/>
      <c r="AL10" s="111"/>
      <c r="AM10" s="111"/>
      <c r="AN10" s="111"/>
      <c r="AO10" s="111"/>
      <c r="AP10" s="111"/>
      <c r="AQ10" s="111"/>
      <c r="AR10" s="111"/>
      <c r="AS10" s="111"/>
      <c r="AT10" s="111"/>
      <c r="AU10" s="111"/>
      <c r="AV10" s="111"/>
      <c r="AW10" s="111"/>
      <c r="AX10" s="111"/>
      <c r="AY10" s="111"/>
      <c r="AZ10" s="111"/>
      <c r="BA10" s="111"/>
      <c r="BB10" s="111"/>
      <c r="BC10" s="111"/>
      <c r="BD10" s="111"/>
      <c r="BE10" s="111"/>
      <c r="BF10" s="111"/>
      <c r="BG10" s="111"/>
      <c r="BH10" s="111"/>
      <c r="BI10" s="111"/>
      <c r="BJ10" s="111"/>
      <c r="BK10" s="111"/>
      <c r="BL10" s="111"/>
      <c r="BM10" s="111"/>
      <c r="BN10" s="111"/>
      <c r="BO10" s="111"/>
      <c r="BP10" s="111"/>
      <c r="BQ10" s="111"/>
      <c r="BR10" s="111"/>
      <c r="BS10" s="111"/>
      <c r="BT10" s="111"/>
      <c r="BU10" s="111"/>
      <c r="BV10" s="111"/>
      <c r="BW10" s="111"/>
      <c r="BX10" s="111"/>
      <c r="BY10" s="111"/>
      <c r="BZ10" s="111"/>
      <c r="CA10" s="111"/>
      <c r="CB10" s="111"/>
      <c r="CC10" s="111"/>
      <c r="CD10" s="111"/>
      <c r="CE10" s="111"/>
      <c r="CF10" s="111"/>
      <c r="CG10" s="111"/>
      <c r="CH10" s="111"/>
      <c r="CI10" s="111"/>
      <c r="CJ10" s="111"/>
      <c r="CK10" s="111"/>
      <c r="CL10" s="111"/>
      <c r="CM10" s="111"/>
      <c r="CN10" s="111"/>
      <c r="CO10" s="111"/>
      <c r="CP10" s="111"/>
      <c r="CQ10" s="111"/>
      <c r="CR10" s="111"/>
      <c r="CS10" s="111"/>
      <c r="CT10" s="111"/>
      <c r="CU10" s="111"/>
      <c r="CV10" s="111"/>
      <c r="CW10" s="111"/>
      <c r="CX10" s="111"/>
      <c r="CY10" s="111"/>
      <c r="CZ10" s="111"/>
      <c r="DA10" s="111"/>
      <c r="DB10" s="111"/>
      <c r="DC10" s="111"/>
      <c r="DD10" s="111"/>
      <c r="DE10" s="111"/>
      <c r="DF10" s="111"/>
      <c r="DG10" s="111"/>
      <c r="DH10" s="111"/>
      <c r="DI10" s="111"/>
      <c r="DJ10" s="111"/>
      <c r="DK10" s="111"/>
      <c r="DL10" s="111"/>
      <c r="DM10" s="111"/>
      <c r="DN10" s="111"/>
      <c r="DO10" s="111"/>
      <c r="DP10" s="111"/>
      <c r="DQ10" s="111"/>
      <c r="DR10" s="111"/>
      <c r="DS10" s="111"/>
      <c r="DT10" s="111"/>
      <c r="DU10" s="111"/>
      <c r="DV10" s="111"/>
      <c r="DW10" s="111"/>
      <c r="DX10" s="111"/>
      <c r="DY10" s="111"/>
      <c r="DZ10" s="111"/>
      <c r="EA10" s="111"/>
      <c r="EB10" s="111"/>
      <c r="EC10" s="111"/>
      <c r="ED10" s="111"/>
      <c r="EE10" s="111"/>
      <c r="EF10" s="111"/>
      <c r="EG10" s="111"/>
      <c r="EH10" s="111"/>
      <c r="EI10" s="111"/>
      <c r="EJ10" s="111"/>
      <c r="EK10" s="111"/>
      <c r="EL10" s="111"/>
      <c r="EM10" s="111"/>
      <c r="EN10" s="111"/>
      <c r="EO10" s="111"/>
      <c r="EP10" s="111"/>
      <c r="EQ10" s="111"/>
      <c r="ER10" s="111"/>
      <c r="ES10" s="111"/>
      <c r="ET10" s="111"/>
      <c r="EU10" s="111"/>
      <c r="EV10" s="111"/>
      <c r="EW10" s="111"/>
      <c r="EX10" s="111"/>
      <c r="EY10" s="111"/>
      <c r="EZ10" s="111"/>
      <c r="FA10" s="111"/>
      <c r="FB10" s="111"/>
      <c r="FC10" s="111"/>
      <c r="FD10" s="111"/>
      <c r="FE10" s="111"/>
      <c r="FF10" s="111"/>
      <c r="FG10" s="111"/>
      <c r="FH10" s="111"/>
      <c r="FI10" s="111"/>
      <c r="FJ10" s="111"/>
      <c r="FK10" s="111"/>
      <c r="FL10" s="111"/>
      <c r="FM10" s="111"/>
      <c r="FN10" s="111"/>
      <c r="FO10" s="111"/>
      <c r="FP10" s="111"/>
    </row>
    <row r="11" spans="1:214" x14ac:dyDescent="0.25">
      <c r="A11" s="151">
        <v>45337.259375000001</v>
      </c>
      <c r="B11" s="44">
        <v>0</v>
      </c>
      <c r="C11" s="44"/>
      <c r="D11" s="85">
        <f>IF(A11&gt;1,(B10*0.03),"")</f>
        <v>300</v>
      </c>
      <c r="E11" s="181">
        <v>300</v>
      </c>
      <c r="G11" s="151">
        <v>45397.259375000001</v>
      </c>
      <c r="H11" s="44">
        <v>0</v>
      </c>
      <c r="I11" s="44"/>
      <c r="J11" s="85">
        <f>IF(G11&gt;1,(H10*0.03),"")</f>
        <v>660</v>
      </c>
      <c r="K11" s="181">
        <v>0</v>
      </c>
      <c r="L11" s="114"/>
      <c r="M11" s="151">
        <v>45792</v>
      </c>
      <c r="N11" s="44"/>
      <c r="O11" s="44"/>
      <c r="P11" s="85">
        <f>IF(M11&gt;1,(N10*0.03),"")</f>
        <v>600</v>
      </c>
      <c r="Q11" s="181">
        <v>600</v>
      </c>
      <c r="R11" s="114"/>
      <c r="S11" s="151">
        <v>45397.259375000001</v>
      </c>
      <c r="T11" s="44"/>
      <c r="U11" s="44"/>
      <c r="V11" s="85">
        <f>IF(S11&gt;1,(T10*0.03),"")</f>
        <v>450</v>
      </c>
      <c r="W11" s="181">
        <v>450</v>
      </c>
      <c r="X11" s="114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</row>
    <row r="12" spans="1:214" s="14" customFormat="1" x14ac:dyDescent="0.25">
      <c r="A12" s="151">
        <v>45350.259375000001</v>
      </c>
      <c r="B12" s="44">
        <v>1000</v>
      </c>
      <c r="C12" s="44"/>
      <c r="D12" s="85">
        <f t="shared" ref="D12:D43" si="0">IF(A12&gt;1,D11-(C11*0.03)+(B11*0.03),"")</f>
        <v>300</v>
      </c>
      <c r="E12" s="181">
        <v>300</v>
      </c>
      <c r="F12" s="103"/>
      <c r="G12" s="151">
        <v>45412.259375000001</v>
      </c>
      <c r="H12" s="44">
        <v>1000</v>
      </c>
      <c r="I12" s="44"/>
      <c r="J12" s="85">
        <f t="shared" ref="J12:J43" si="1">IF(G12&gt;1,J11-(I11*0.03)+(H11*0.03),"")</f>
        <v>660</v>
      </c>
      <c r="K12" s="181">
        <v>0</v>
      </c>
      <c r="L12" s="114"/>
      <c r="M12" s="151">
        <v>45807</v>
      </c>
      <c r="N12" s="44"/>
      <c r="O12" s="44">
        <v>5000</v>
      </c>
      <c r="P12" s="85">
        <f t="shared" ref="P12:P43" si="2">IF(M12&gt;1,P11-(O11*0.03)+(N11*0.03),"")</f>
        <v>600</v>
      </c>
      <c r="Q12" s="181">
        <v>600</v>
      </c>
      <c r="R12" s="114"/>
      <c r="S12" s="151">
        <v>45412.259375000001</v>
      </c>
      <c r="T12" s="44"/>
      <c r="U12" s="44">
        <v>4500</v>
      </c>
      <c r="V12" s="85">
        <f t="shared" ref="V12:V43" si="3">IF(S12&gt;1,V11-(U11*0.03)+(T11*0.03),"")</f>
        <v>450</v>
      </c>
      <c r="W12" s="181">
        <v>450</v>
      </c>
      <c r="X12" s="114"/>
      <c r="Y12" s="112"/>
      <c r="Z12" s="112"/>
      <c r="AA12" s="112"/>
      <c r="AB12" s="112"/>
      <c r="AC12" s="112"/>
      <c r="AD12" s="112"/>
      <c r="AE12" s="112"/>
      <c r="AF12" s="112"/>
      <c r="AG12" s="112"/>
      <c r="AH12" s="112"/>
      <c r="AI12" s="112"/>
      <c r="AJ12" s="112"/>
      <c r="AK12" s="112"/>
      <c r="AL12" s="112"/>
      <c r="AM12" s="112"/>
      <c r="AN12" s="112"/>
      <c r="AO12" s="112"/>
      <c r="AP12" s="112"/>
      <c r="AQ12" s="112"/>
      <c r="AR12" s="112"/>
      <c r="AS12" s="112"/>
      <c r="AT12" s="112"/>
      <c r="AU12" s="112"/>
      <c r="AV12" s="112"/>
      <c r="AW12" s="112"/>
      <c r="AX12" s="112"/>
      <c r="AY12" s="112"/>
      <c r="AZ12" s="112"/>
      <c r="BA12" s="112"/>
      <c r="BB12" s="112"/>
      <c r="BC12" s="112"/>
      <c r="BD12" s="112"/>
      <c r="BE12" s="112"/>
      <c r="BF12" s="112"/>
      <c r="BG12" s="112"/>
      <c r="BH12" s="112"/>
      <c r="BI12" s="112"/>
      <c r="BJ12" s="112"/>
      <c r="BK12" s="112"/>
      <c r="BL12" s="112"/>
      <c r="BM12" s="112"/>
      <c r="BN12" s="112"/>
      <c r="BO12" s="112"/>
      <c r="BP12" s="112"/>
      <c r="BQ12" s="112"/>
      <c r="BR12" s="112"/>
      <c r="BS12" s="112"/>
      <c r="BT12" s="112"/>
      <c r="BU12" s="112"/>
      <c r="BV12" s="112"/>
      <c r="BW12" s="112"/>
      <c r="BX12" s="112"/>
      <c r="BY12" s="112"/>
      <c r="BZ12" s="112"/>
      <c r="CA12" s="112"/>
      <c r="CB12" s="112"/>
      <c r="CC12" s="112"/>
      <c r="CD12" s="112"/>
      <c r="CE12" s="112"/>
      <c r="CF12" s="112"/>
      <c r="CG12" s="112"/>
      <c r="CH12" s="112"/>
      <c r="CI12" s="112"/>
      <c r="CJ12" s="112"/>
      <c r="CK12" s="112"/>
      <c r="CL12" s="112"/>
      <c r="CM12" s="112"/>
      <c r="CN12" s="112"/>
      <c r="CO12" s="112"/>
      <c r="CP12" s="112"/>
      <c r="CQ12" s="112"/>
      <c r="CR12" s="112"/>
      <c r="CS12" s="112"/>
      <c r="CT12" s="112"/>
      <c r="CU12" s="112"/>
      <c r="CV12" s="112"/>
      <c r="CW12" s="112"/>
      <c r="CX12" s="112"/>
      <c r="CY12" s="112"/>
      <c r="CZ12" s="112"/>
      <c r="DA12" s="112"/>
      <c r="DB12" s="112"/>
      <c r="DC12" s="112"/>
      <c r="DD12" s="112"/>
      <c r="DE12" s="112"/>
      <c r="DF12" s="112"/>
      <c r="DG12" s="112"/>
      <c r="DH12" s="112"/>
      <c r="DI12" s="112"/>
      <c r="DJ12" s="112"/>
      <c r="DK12" s="112"/>
      <c r="DL12" s="112"/>
      <c r="DM12" s="112"/>
      <c r="DN12" s="112"/>
      <c r="DO12" s="112"/>
      <c r="DP12" s="112"/>
      <c r="DQ12" s="112"/>
      <c r="DR12" s="112"/>
      <c r="DS12" s="112"/>
      <c r="DT12" s="112"/>
      <c r="DU12" s="112"/>
      <c r="DV12" s="112"/>
      <c r="DW12" s="112"/>
      <c r="DX12" s="112"/>
      <c r="DY12" s="112"/>
      <c r="DZ12" s="112"/>
      <c r="EA12" s="112"/>
      <c r="EB12" s="112"/>
      <c r="EC12" s="112"/>
      <c r="ED12" s="112"/>
      <c r="EE12" s="112"/>
      <c r="EF12" s="112"/>
      <c r="EG12" s="112"/>
      <c r="EH12" s="112"/>
      <c r="EI12" s="112"/>
      <c r="EJ12" s="112"/>
      <c r="EK12" s="112"/>
      <c r="EL12" s="112"/>
      <c r="EM12" s="112"/>
      <c r="EN12" s="112"/>
      <c r="EO12" s="112"/>
      <c r="EP12" s="112"/>
      <c r="EQ12" s="112"/>
      <c r="ER12" s="112"/>
      <c r="ES12" s="112"/>
      <c r="ET12" s="112"/>
      <c r="EU12" s="112"/>
      <c r="EV12" s="112"/>
      <c r="EW12" s="112"/>
      <c r="EX12" s="112"/>
      <c r="EY12" s="112"/>
      <c r="EZ12" s="112"/>
      <c r="FA12" s="112"/>
      <c r="FB12" s="112"/>
      <c r="FC12" s="112"/>
      <c r="FD12" s="112"/>
      <c r="FE12" s="112"/>
      <c r="FF12" s="112"/>
      <c r="FG12" s="112"/>
      <c r="FH12" s="112"/>
      <c r="FI12" s="112"/>
      <c r="FJ12" s="112"/>
      <c r="FK12" s="112"/>
      <c r="FL12" s="112"/>
      <c r="FM12" s="112"/>
      <c r="FN12" s="112"/>
      <c r="FO12" s="112"/>
      <c r="FP12" s="112"/>
    </row>
    <row r="13" spans="1:214" x14ac:dyDescent="0.25">
      <c r="A13" s="151">
        <v>45366.259375000001</v>
      </c>
      <c r="B13" s="44">
        <v>0</v>
      </c>
      <c r="C13" s="44">
        <v>1000</v>
      </c>
      <c r="D13" s="85">
        <f t="shared" si="0"/>
        <v>330</v>
      </c>
      <c r="E13" s="181">
        <v>330</v>
      </c>
      <c r="G13" s="151">
        <v>45427</v>
      </c>
      <c r="H13" s="44">
        <v>0</v>
      </c>
      <c r="I13" s="44">
        <v>15000</v>
      </c>
      <c r="J13" s="85">
        <f t="shared" si="1"/>
        <v>690</v>
      </c>
      <c r="K13" s="181">
        <v>0</v>
      </c>
      <c r="L13" s="114"/>
      <c r="M13" s="151">
        <v>45823</v>
      </c>
      <c r="N13" s="44"/>
      <c r="O13" s="44">
        <v>5000</v>
      </c>
      <c r="P13" s="85">
        <f t="shared" si="2"/>
        <v>450</v>
      </c>
      <c r="Q13" s="181">
        <v>450</v>
      </c>
      <c r="R13" s="114"/>
      <c r="S13" s="151">
        <v>45427</v>
      </c>
      <c r="T13" s="44"/>
      <c r="U13" s="44"/>
      <c r="V13" s="85">
        <f t="shared" si="3"/>
        <v>315</v>
      </c>
      <c r="W13" s="181">
        <v>0</v>
      </c>
      <c r="X13" s="114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</row>
    <row r="14" spans="1:214" x14ac:dyDescent="0.25">
      <c r="A14" s="151">
        <v>45381.259375000001</v>
      </c>
      <c r="B14" s="44">
        <v>0</v>
      </c>
      <c r="C14" s="44"/>
      <c r="D14" s="85">
        <f t="shared" si="0"/>
        <v>300</v>
      </c>
      <c r="E14" s="181">
        <v>300</v>
      </c>
      <c r="G14" s="151">
        <v>45442</v>
      </c>
      <c r="H14" s="44">
        <v>0</v>
      </c>
      <c r="I14" s="44"/>
      <c r="J14" s="85">
        <f t="shared" si="1"/>
        <v>240</v>
      </c>
      <c r="K14" s="181">
        <v>2000</v>
      </c>
      <c r="L14" s="114"/>
      <c r="M14" s="151">
        <v>45838</v>
      </c>
      <c r="N14" s="44"/>
      <c r="O14" s="44"/>
      <c r="P14" s="85">
        <f t="shared" si="2"/>
        <v>300</v>
      </c>
      <c r="Q14" s="181">
        <v>300</v>
      </c>
      <c r="R14" s="114"/>
      <c r="S14" s="151">
        <v>45442</v>
      </c>
      <c r="T14" s="44"/>
      <c r="U14" s="44"/>
      <c r="V14" s="85">
        <f t="shared" si="3"/>
        <v>315</v>
      </c>
      <c r="W14" s="181">
        <v>0</v>
      </c>
      <c r="X14" s="114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</row>
    <row r="15" spans="1:214" x14ac:dyDescent="0.25">
      <c r="A15" s="151">
        <v>45397.259375000001</v>
      </c>
      <c r="B15" s="44">
        <v>3000</v>
      </c>
      <c r="C15" s="44"/>
      <c r="D15" s="85">
        <f t="shared" si="0"/>
        <v>300</v>
      </c>
      <c r="E15" s="181">
        <v>300</v>
      </c>
      <c r="G15" s="151">
        <v>45458</v>
      </c>
      <c r="H15" s="44">
        <v>0</v>
      </c>
      <c r="I15" s="44"/>
      <c r="J15" s="85">
        <f t="shared" si="1"/>
        <v>240</v>
      </c>
      <c r="K15" s="181">
        <v>400</v>
      </c>
      <c r="L15" s="114"/>
      <c r="M15" s="151">
        <v>45853</v>
      </c>
      <c r="N15" s="44"/>
      <c r="O15" s="44"/>
      <c r="P15" s="85">
        <f t="shared" si="2"/>
        <v>300</v>
      </c>
      <c r="Q15" s="181">
        <v>300</v>
      </c>
      <c r="R15" s="114"/>
      <c r="S15" s="151">
        <v>45458</v>
      </c>
      <c r="T15" s="44"/>
      <c r="U15" s="44"/>
      <c r="V15" s="85">
        <f t="shared" si="3"/>
        <v>315</v>
      </c>
      <c r="W15" s="181">
        <v>945</v>
      </c>
      <c r="X15" s="114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/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/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</row>
    <row r="16" spans="1:214" x14ac:dyDescent="0.25">
      <c r="A16" s="151">
        <v>45412.259375000001</v>
      </c>
      <c r="B16" s="182">
        <v>0</v>
      </c>
      <c r="C16" s="44"/>
      <c r="D16" s="85">
        <f t="shared" si="0"/>
        <v>390</v>
      </c>
      <c r="E16" s="181">
        <v>390</v>
      </c>
      <c r="G16" s="151">
        <v>45473</v>
      </c>
      <c r="H16" s="182">
        <v>0</v>
      </c>
      <c r="I16" s="44">
        <v>5000</v>
      </c>
      <c r="J16" s="85">
        <f t="shared" si="1"/>
        <v>240</v>
      </c>
      <c r="K16" s="181">
        <v>0</v>
      </c>
      <c r="L16" s="114"/>
      <c r="M16" s="151">
        <v>45868</v>
      </c>
      <c r="N16" s="182"/>
      <c r="O16" s="44"/>
      <c r="P16" s="85">
        <f t="shared" si="2"/>
        <v>300</v>
      </c>
      <c r="Q16" s="181">
        <v>300</v>
      </c>
      <c r="R16" s="114"/>
      <c r="S16" s="151">
        <v>45473</v>
      </c>
      <c r="T16" s="182"/>
      <c r="U16" s="44"/>
      <c r="V16" s="85">
        <f t="shared" si="3"/>
        <v>315</v>
      </c>
      <c r="W16" s="181">
        <v>315</v>
      </c>
      <c r="X16" s="114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/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</row>
    <row r="17" spans="1:214" x14ac:dyDescent="0.25">
      <c r="A17" s="151">
        <v>45427</v>
      </c>
      <c r="B17" s="182">
        <v>3000</v>
      </c>
      <c r="C17" s="44"/>
      <c r="D17" s="85">
        <f t="shared" si="0"/>
        <v>390</v>
      </c>
      <c r="E17" s="181">
        <v>390</v>
      </c>
      <c r="G17" s="151">
        <v>45488</v>
      </c>
      <c r="H17" s="182">
        <v>3000</v>
      </c>
      <c r="I17" s="44"/>
      <c r="J17" s="85">
        <f t="shared" si="1"/>
        <v>90</v>
      </c>
      <c r="K17" s="181">
        <v>0</v>
      </c>
      <c r="L17" s="114"/>
      <c r="M17" s="151">
        <v>45884</v>
      </c>
      <c r="N17" s="182">
        <v>3000</v>
      </c>
      <c r="O17" s="44"/>
      <c r="P17" s="85">
        <f t="shared" si="2"/>
        <v>300</v>
      </c>
      <c r="Q17" s="181">
        <v>300</v>
      </c>
      <c r="R17" s="114"/>
      <c r="S17" s="151">
        <v>45488</v>
      </c>
      <c r="T17" s="182"/>
      <c r="U17" s="44">
        <v>5000</v>
      </c>
      <c r="V17" s="85">
        <f t="shared" si="3"/>
        <v>315</v>
      </c>
      <c r="W17" s="181">
        <v>315</v>
      </c>
      <c r="X17" s="114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/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/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</row>
    <row r="18" spans="1:214" x14ac:dyDescent="0.25">
      <c r="A18" s="151">
        <v>45442</v>
      </c>
      <c r="B18" s="182">
        <v>0</v>
      </c>
      <c r="C18" s="44"/>
      <c r="D18" s="85">
        <f t="shared" si="0"/>
        <v>480</v>
      </c>
      <c r="E18" s="181">
        <v>480</v>
      </c>
      <c r="G18" s="151">
        <v>45503</v>
      </c>
      <c r="H18" s="182">
        <v>0</v>
      </c>
      <c r="I18" s="44">
        <v>2000</v>
      </c>
      <c r="J18" s="85">
        <f t="shared" si="1"/>
        <v>180</v>
      </c>
      <c r="K18" s="181">
        <v>600</v>
      </c>
      <c r="L18" s="114"/>
      <c r="M18" s="151">
        <v>45899</v>
      </c>
      <c r="N18" s="182"/>
      <c r="O18" s="44">
        <v>8000</v>
      </c>
      <c r="P18" s="85">
        <f t="shared" si="2"/>
        <v>390</v>
      </c>
      <c r="Q18" s="181">
        <v>390</v>
      </c>
      <c r="R18" s="114"/>
      <c r="S18" s="151">
        <v>45503</v>
      </c>
      <c r="T18" s="182"/>
      <c r="U18" s="44"/>
      <c r="V18" s="85">
        <f t="shared" si="3"/>
        <v>165</v>
      </c>
      <c r="W18" s="181">
        <v>165</v>
      </c>
      <c r="X18" s="114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  <c r="DX18" s="3"/>
      <c r="DY18" s="3"/>
      <c r="DZ18" s="3"/>
      <c r="EA18" s="3"/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/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/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</row>
    <row r="19" spans="1:214" x14ac:dyDescent="0.25">
      <c r="A19" s="151">
        <v>45458</v>
      </c>
      <c r="B19" s="182">
        <v>0</v>
      </c>
      <c r="C19" s="44">
        <v>12000</v>
      </c>
      <c r="D19" s="85">
        <f t="shared" si="0"/>
        <v>480</v>
      </c>
      <c r="E19" s="181">
        <v>480</v>
      </c>
      <c r="G19" s="151">
        <v>45519</v>
      </c>
      <c r="H19" s="182">
        <v>0</v>
      </c>
      <c r="I19" s="44"/>
      <c r="J19" s="85">
        <f t="shared" si="1"/>
        <v>120</v>
      </c>
      <c r="K19" s="181"/>
      <c r="L19" s="114"/>
      <c r="M19" s="151">
        <v>45915</v>
      </c>
      <c r="N19" s="182">
        <v>5000</v>
      </c>
      <c r="O19" s="44"/>
      <c r="P19" s="85">
        <f t="shared" si="2"/>
        <v>150</v>
      </c>
      <c r="Q19" s="181">
        <v>0</v>
      </c>
      <c r="R19" s="114"/>
      <c r="S19" s="151">
        <v>45519</v>
      </c>
      <c r="T19" s="182"/>
      <c r="U19" s="44"/>
      <c r="V19" s="85">
        <f t="shared" si="3"/>
        <v>165</v>
      </c>
      <c r="W19" s="181">
        <v>165</v>
      </c>
      <c r="X19" s="114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</row>
    <row r="20" spans="1:214" x14ac:dyDescent="0.25">
      <c r="A20" s="151">
        <v>45473</v>
      </c>
      <c r="B20" s="44">
        <v>0</v>
      </c>
      <c r="C20" s="44">
        <v>2500</v>
      </c>
      <c r="D20" s="85">
        <f t="shared" si="0"/>
        <v>120</v>
      </c>
      <c r="E20" s="181">
        <v>120</v>
      </c>
      <c r="G20" s="151">
        <v>45534</v>
      </c>
      <c r="H20" s="44">
        <v>0</v>
      </c>
      <c r="I20" s="44">
        <v>4000</v>
      </c>
      <c r="J20" s="85">
        <f t="shared" si="1"/>
        <v>120</v>
      </c>
      <c r="K20" s="181"/>
      <c r="L20" s="114"/>
      <c r="M20" s="151">
        <v>45930</v>
      </c>
      <c r="N20" s="44"/>
      <c r="O20" s="44"/>
      <c r="P20" s="85">
        <f t="shared" si="2"/>
        <v>300</v>
      </c>
      <c r="Q20" s="181">
        <v>450</v>
      </c>
      <c r="R20" s="114"/>
      <c r="S20" s="151">
        <v>45534</v>
      </c>
      <c r="T20" s="44"/>
      <c r="U20" s="44">
        <v>500</v>
      </c>
      <c r="V20" s="85">
        <f t="shared" si="3"/>
        <v>165</v>
      </c>
      <c r="W20" s="181">
        <v>165</v>
      </c>
      <c r="X20" s="114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</row>
    <row r="21" spans="1:214" x14ac:dyDescent="0.25">
      <c r="A21" s="151">
        <v>45488</v>
      </c>
      <c r="B21" s="44">
        <v>0</v>
      </c>
      <c r="C21" s="44"/>
      <c r="D21" s="85">
        <f t="shared" si="0"/>
        <v>45</v>
      </c>
      <c r="E21" s="181">
        <v>0</v>
      </c>
      <c r="G21" s="151">
        <v>45550</v>
      </c>
      <c r="H21" s="44">
        <v>0</v>
      </c>
      <c r="I21" s="44"/>
      <c r="J21" s="85">
        <f t="shared" si="1"/>
        <v>0</v>
      </c>
      <c r="K21" s="181">
        <v>240</v>
      </c>
      <c r="L21" s="114"/>
      <c r="M21" s="151"/>
      <c r="N21" s="44"/>
      <c r="O21" s="44"/>
      <c r="P21" s="85" t="str">
        <f t="shared" si="2"/>
        <v/>
      </c>
      <c r="Q21" s="181"/>
      <c r="R21" s="114"/>
      <c r="S21" s="151">
        <v>45550</v>
      </c>
      <c r="T21" s="44"/>
      <c r="U21" s="44"/>
      <c r="V21" s="85">
        <f t="shared" si="3"/>
        <v>150</v>
      </c>
      <c r="W21" s="181">
        <v>150</v>
      </c>
      <c r="X21" s="114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</row>
    <row r="22" spans="1:214" x14ac:dyDescent="0.25">
      <c r="A22" s="151">
        <v>45503</v>
      </c>
      <c r="B22" s="44">
        <v>0</v>
      </c>
      <c r="C22" s="44"/>
      <c r="D22" s="85">
        <f t="shared" si="0"/>
        <v>45</v>
      </c>
      <c r="E22" s="181">
        <v>0</v>
      </c>
      <c r="G22" s="151">
        <v>45565</v>
      </c>
      <c r="H22" s="44">
        <v>0</v>
      </c>
      <c r="I22" s="44"/>
      <c r="J22" s="85">
        <f t="shared" si="1"/>
        <v>0</v>
      </c>
      <c r="K22" s="181"/>
      <c r="L22" s="114"/>
      <c r="M22" s="151"/>
      <c r="N22" s="44"/>
      <c r="O22" s="44"/>
      <c r="P22" s="85" t="str">
        <f t="shared" si="2"/>
        <v/>
      </c>
      <c r="Q22" s="181"/>
      <c r="R22" s="114"/>
      <c r="S22" s="151">
        <v>45565</v>
      </c>
      <c r="T22" s="44"/>
      <c r="U22" s="44"/>
      <c r="V22" s="85">
        <f t="shared" si="3"/>
        <v>150</v>
      </c>
      <c r="W22" s="181">
        <v>150</v>
      </c>
      <c r="X22" s="114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/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</row>
    <row r="23" spans="1:214" x14ac:dyDescent="0.25">
      <c r="A23" s="151">
        <v>45519</v>
      </c>
      <c r="B23" s="44">
        <v>0</v>
      </c>
      <c r="C23" s="44"/>
      <c r="D23" s="85">
        <f t="shared" si="0"/>
        <v>45</v>
      </c>
      <c r="E23" s="181">
        <v>0</v>
      </c>
      <c r="G23" s="196"/>
      <c r="H23" s="84"/>
      <c r="I23" s="84"/>
      <c r="J23" s="84" t="str">
        <f t="shared" si="1"/>
        <v/>
      </c>
      <c r="K23" s="87" t="s">
        <v>107</v>
      </c>
      <c r="L23" s="114"/>
      <c r="M23" s="151"/>
      <c r="N23" s="85"/>
      <c r="O23" s="85"/>
      <c r="P23" s="85" t="str">
        <f t="shared" si="2"/>
        <v/>
      </c>
      <c r="Q23" s="224"/>
      <c r="R23" s="114"/>
      <c r="S23" s="151"/>
      <c r="T23" s="85"/>
      <c r="U23" s="85"/>
      <c r="V23" s="85" t="str">
        <f t="shared" si="3"/>
        <v/>
      </c>
      <c r="W23" s="224"/>
      <c r="X23" s="114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</row>
    <row r="24" spans="1:214" x14ac:dyDescent="0.25">
      <c r="A24" s="151">
        <v>45534</v>
      </c>
      <c r="B24" s="44">
        <v>0</v>
      </c>
      <c r="C24" s="44"/>
      <c r="D24" s="85">
        <f t="shared" si="0"/>
        <v>45</v>
      </c>
      <c r="E24" s="181">
        <v>0</v>
      </c>
      <c r="G24" s="196"/>
      <c r="H24" s="84"/>
      <c r="I24" s="84"/>
      <c r="J24" s="84" t="str">
        <f t="shared" si="1"/>
        <v/>
      </c>
      <c r="K24" s="197"/>
      <c r="L24" s="114"/>
      <c r="M24" s="151"/>
      <c r="N24" s="85"/>
      <c r="O24" s="85"/>
      <c r="P24" s="85" t="str">
        <f t="shared" si="2"/>
        <v/>
      </c>
      <c r="Q24" s="225"/>
      <c r="R24" s="114"/>
      <c r="S24" s="151"/>
      <c r="T24" s="85"/>
      <c r="U24" s="85"/>
      <c r="V24" s="85" t="str">
        <f t="shared" si="3"/>
        <v/>
      </c>
      <c r="W24" s="225"/>
      <c r="X24" s="114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</row>
    <row r="25" spans="1:214" x14ac:dyDescent="0.25">
      <c r="A25" s="151">
        <v>45550</v>
      </c>
      <c r="B25" s="44">
        <v>0</v>
      </c>
      <c r="C25" s="44">
        <v>1500</v>
      </c>
      <c r="D25" s="85">
        <f t="shared" si="0"/>
        <v>45</v>
      </c>
      <c r="E25" s="181">
        <v>225</v>
      </c>
      <c r="G25" s="151"/>
      <c r="H25" s="44"/>
      <c r="I25" s="44"/>
      <c r="J25" s="85" t="str">
        <f t="shared" si="1"/>
        <v/>
      </c>
      <c r="K25" s="181"/>
      <c r="L25" s="114"/>
      <c r="M25" s="151"/>
      <c r="N25" s="44"/>
      <c r="O25" s="44"/>
      <c r="P25" s="85" t="str">
        <f t="shared" si="2"/>
        <v/>
      </c>
      <c r="Q25" s="181"/>
      <c r="R25" s="114"/>
      <c r="S25" s="151"/>
      <c r="T25" s="44"/>
      <c r="U25" s="44"/>
      <c r="V25" s="85" t="str">
        <f t="shared" si="3"/>
        <v/>
      </c>
      <c r="W25" s="181"/>
      <c r="X25" s="114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</row>
    <row r="26" spans="1:214" x14ac:dyDescent="0.25">
      <c r="A26" s="151">
        <v>45565</v>
      </c>
      <c r="B26" s="182">
        <v>0</v>
      </c>
      <c r="C26" s="44"/>
      <c r="D26" s="85">
        <f t="shared" si="0"/>
        <v>0</v>
      </c>
      <c r="E26" s="181"/>
      <c r="G26" s="151"/>
      <c r="H26" s="182"/>
      <c r="I26" s="44"/>
      <c r="J26" s="85" t="str">
        <f t="shared" si="1"/>
        <v/>
      </c>
      <c r="K26" s="181"/>
      <c r="L26" s="114"/>
      <c r="M26" s="151"/>
      <c r="N26" s="182"/>
      <c r="O26" s="44"/>
      <c r="P26" s="85" t="str">
        <f t="shared" si="2"/>
        <v/>
      </c>
      <c r="Q26" s="181"/>
      <c r="R26" s="114"/>
      <c r="S26" s="151"/>
      <c r="T26" s="182"/>
      <c r="U26" s="44"/>
      <c r="V26" s="85" t="str">
        <f t="shared" si="3"/>
        <v/>
      </c>
      <c r="W26" s="181"/>
      <c r="X26" s="114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</row>
    <row r="27" spans="1:214" x14ac:dyDescent="0.25">
      <c r="A27" s="196"/>
      <c r="B27" s="84"/>
      <c r="C27" s="84"/>
      <c r="D27" s="84" t="str">
        <f t="shared" si="0"/>
        <v/>
      </c>
      <c r="E27" s="87" t="s">
        <v>107</v>
      </c>
      <c r="G27" s="151"/>
      <c r="H27" s="182"/>
      <c r="I27" s="44"/>
      <c r="J27" s="85" t="str">
        <f t="shared" si="1"/>
        <v/>
      </c>
      <c r="K27" s="181"/>
      <c r="L27" s="114"/>
      <c r="M27" s="151"/>
      <c r="N27" s="182"/>
      <c r="O27" s="44"/>
      <c r="P27" s="85" t="str">
        <f t="shared" si="2"/>
        <v/>
      </c>
      <c r="Q27" s="181"/>
      <c r="R27" s="114"/>
      <c r="S27" s="151"/>
      <c r="T27" s="182"/>
      <c r="U27" s="44"/>
      <c r="V27" s="85" t="str">
        <f t="shared" si="3"/>
        <v/>
      </c>
      <c r="W27" s="181"/>
      <c r="X27" s="114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</row>
    <row r="28" spans="1:214" x14ac:dyDescent="0.25">
      <c r="A28" s="196"/>
      <c r="B28" s="84"/>
      <c r="C28" s="84"/>
      <c r="D28" s="84" t="str">
        <f t="shared" si="0"/>
        <v/>
      </c>
      <c r="E28" s="197"/>
      <c r="G28" s="151"/>
      <c r="H28" s="182"/>
      <c r="I28" s="44"/>
      <c r="J28" s="85" t="str">
        <f t="shared" si="1"/>
        <v/>
      </c>
      <c r="K28" s="181"/>
      <c r="L28" s="114"/>
      <c r="M28" s="151"/>
      <c r="N28" s="182"/>
      <c r="O28" s="44"/>
      <c r="P28" s="85" t="str">
        <f t="shared" si="2"/>
        <v/>
      </c>
      <c r="Q28" s="181"/>
      <c r="R28" s="114"/>
      <c r="S28" s="151"/>
      <c r="T28" s="182"/>
      <c r="U28" s="44"/>
      <c r="V28" s="85" t="str">
        <f t="shared" si="3"/>
        <v/>
      </c>
      <c r="W28" s="181"/>
      <c r="X28" s="114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</row>
    <row r="29" spans="1:214" x14ac:dyDescent="0.25">
      <c r="A29" s="151"/>
      <c r="B29" s="182"/>
      <c r="C29" s="44"/>
      <c r="D29" s="85" t="str">
        <f t="shared" si="0"/>
        <v/>
      </c>
      <c r="E29" s="181"/>
      <c r="G29" s="151"/>
      <c r="H29" s="182"/>
      <c r="I29" s="44"/>
      <c r="J29" s="85" t="str">
        <f t="shared" si="1"/>
        <v/>
      </c>
      <c r="K29" s="181"/>
      <c r="L29" s="114"/>
      <c r="M29" s="151"/>
      <c r="N29" s="182"/>
      <c r="O29" s="44"/>
      <c r="P29" s="85" t="str">
        <f t="shared" si="2"/>
        <v/>
      </c>
      <c r="Q29" s="181"/>
      <c r="R29" s="114"/>
      <c r="S29" s="151"/>
      <c r="T29" s="182"/>
      <c r="U29" s="44"/>
      <c r="V29" s="85" t="str">
        <f t="shared" si="3"/>
        <v/>
      </c>
      <c r="W29" s="181"/>
      <c r="X29" s="114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</row>
    <row r="30" spans="1:214" x14ac:dyDescent="0.25">
      <c r="A30" s="151"/>
      <c r="B30" s="182"/>
      <c r="C30" s="44"/>
      <c r="D30" s="85" t="str">
        <f t="shared" si="0"/>
        <v/>
      </c>
      <c r="E30" s="181"/>
      <c r="G30" s="151"/>
      <c r="H30" s="182"/>
      <c r="I30" s="44"/>
      <c r="J30" s="85" t="str">
        <f t="shared" si="1"/>
        <v/>
      </c>
      <c r="K30" s="181"/>
      <c r="L30" s="114"/>
      <c r="M30" s="151"/>
      <c r="N30" s="182"/>
      <c r="O30" s="44"/>
      <c r="P30" s="85" t="str">
        <f t="shared" si="2"/>
        <v/>
      </c>
      <c r="Q30" s="181"/>
      <c r="R30" s="114"/>
      <c r="S30" s="151"/>
      <c r="T30" s="182"/>
      <c r="U30" s="44"/>
      <c r="V30" s="85" t="str">
        <f t="shared" si="3"/>
        <v/>
      </c>
      <c r="W30" s="181"/>
      <c r="X30" s="114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</row>
    <row r="31" spans="1:214" x14ac:dyDescent="0.25">
      <c r="A31" s="151"/>
      <c r="B31" s="182"/>
      <c r="C31" s="44"/>
      <c r="D31" s="85" t="str">
        <f t="shared" si="0"/>
        <v/>
      </c>
      <c r="E31" s="181"/>
      <c r="G31" s="151"/>
      <c r="H31" s="182"/>
      <c r="I31" s="44"/>
      <c r="J31" s="85" t="str">
        <f t="shared" si="1"/>
        <v/>
      </c>
      <c r="K31" s="181"/>
      <c r="L31" s="114"/>
      <c r="M31" s="151"/>
      <c r="N31" s="182"/>
      <c r="O31" s="44"/>
      <c r="P31" s="85" t="str">
        <f t="shared" si="2"/>
        <v/>
      </c>
      <c r="Q31" s="181"/>
      <c r="R31" s="114"/>
      <c r="S31" s="151"/>
      <c r="T31" s="182"/>
      <c r="U31" s="44"/>
      <c r="V31" s="85" t="str">
        <f t="shared" si="3"/>
        <v/>
      </c>
      <c r="W31" s="181"/>
      <c r="X31" s="114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/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</row>
    <row r="32" spans="1:214" x14ac:dyDescent="0.25">
      <c r="A32" s="151"/>
      <c r="B32" s="182"/>
      <c r="C32" s="44"/>
      <c r="D32" s="85" t="str">
        <f t="shared" si="0"/>
        <v/>
      </c>
      <c r="E32" s="181"/>
      <c r="G32" s="151"/>
      <c r="H32" s="182"/>
      <c r="I32" s="44"/>
      <c r="J32" s="85" t="str">
        <f t="shared" si="1"/>
        <v/>
      </c>
      <c r="K32" s="181"/>
      <c r="L32" s="114"/>
      <c r="M32" s="151"/>
      <c r="N32" s="182"/>
      <c r="O32" s="44"/>
      <c r="P32" s="85" t="str">
        <f t="shared" si="2"/>
        <v/>
      </c>
      <c r="Q32" s="181"/>
      <c r="R32" s="114"/>
      <c r="S32" s="151"/>
      <c r="T32" s="182"/>
      <c r="U32" s="44"/>
      <c r="V32" s="85" t="str">
        <f t="shared" si="3"/>
        <v/>
      </c>
      <c r="W32" s="181"/>
      <c r="X32" s="114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/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</row>
    <row r="33" spans="1:214" x14ac:dyDescent="0.25">
      <c r="A33" s="151"/>
      <c r="B33" s="182"/>
      <c r="C33" s="44"/>
      <c r="D33" s="85" t="str">
        <f t="shared" si="0"/>
        <v/>
      </c>
      <c r="E33" s="181"/>
      <c r="G33" s="151"/>
      <c r="H33" s="182"/>
      <c r="I33" s="44"/>
      <c r="J33" s="85" t="str">
        <f t="shared" si="1"/>
        <v/>
      </c>
      <c r="K33" s="181"/>
      <c r="L33" s="114"/>
      <c r="M33" s="151"/>
      <c r="N33" s="182"/>
      <c r="O33" s="44"/>
      <c r="P33" s="85" t="str">
        <f t="shared" si="2"/>
        <v/>
      </c>
      <c r="Q33" s="181"/>
      <c r="R33" s="114"/>
      <c r="S33" s="151"/>
      <c r="T33" s="182"/>
      <c r="U33" s="44"/>
      <c r="V33" s="85" t="str">
        <f t="shared" si="3"/>
        <v/>
      </c>
      <c r="W33" s="181"/>
      <c r="X33" s="114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/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</row>
    <row r="34" spans="1:214" x14ac:dyDescent="0.25">
      <c r="A34" s="151"/>
      <c r="B34" s="182"/>
      <c r="C34" s="44"/>
      <c r="D34" s="85" t="str">
        <f t="shared" si="0"/>
        <v/>
      </c>
      <c r="E34" s="181"/>
      <c r="G34" s="151"/>
      <c r="H34" s="182"/>
      <c r="I34" s="44"/>
      <c r="J34" s="85" t="str">
        <f t="shared" si="1"/>
        <v/>
      </c>
      <c r="K34" s="181"/>
      <c r="L34" s="114"/>
      <c r="M34" s="151"/>
      <c r="N34" s="182"/>
      <c r="O34" s="44"/>
      <c r="P34" s="85" t="str">
        <f t="shared" si="2"/>
        <v/>
      </c>
      <c r="Q34" s="181"/>
      <c r="R34" s="114"/>
      <c r="S34" s="151"/>
      <c r="T34" s="182"/>
      <c r="U34" s="44"/>
      <c r="V34" s="85" t="str">
        <f t="shared" si="3"/>
        <v/>
      </c>
      <c r="W34" s="181"/>
      <c r="X34" s="114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/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/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</row>
    <row r="35" spans="1:214" x14ac:dyDescent="0.25">
      <c r="A35" s="151"/>
      <c r="B35" s="182"/>
      <c r="C35" s="44"/>
      <c r="D35" s="85" t="str">
        <f t="shared" si="0"/>
        <v/>
      </c>
      <c r="E35" s="181"/>
      <c r="G35" s="151"/>
      <c r="H35" s="182"/>
      <c r="I35" s="44"/>
      <c r="J35" s="85" t="str">
        <f t="shared" si="1"/>
        <v/>
      </c>
      <c r="K35" s="181"/>
      <c r="L35" s="114"/>
      <c r="M35" s="151"/>
      <c r="N35" s="182"/>
      <c r="O35" s="44"/>
      <c r="P35" s="85" t="str">
        <f t="shared" si="2"/>
        <v/>
      </c>
      <c r="Q35" s="181"/>
      <c r="R35" s="114"/>
      <c r="S35" s="151"/>
      <c r="T35" s="182"/>
      <c r="U35" s="44"/>
      <c r="V35" s="85" t="str">
        <f t="shared" si="3"/>
        <v/>
      </c>
      <c r="W35" s="181"/>
      <c r="X35" s="114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/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/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</row>
    <row r="36" spans="1:214" x14ac:dyDescent="0.25">
      <c r="A36" s="151"/>
      <c r="B36" s="182"/>
      <c r="C36" s="44"/>
      <c r="D36" s="85" t="str">
        <f t="shared" si="0"/>
        <v/>
      </c>
      <c r="E36" s="181"/>
      <c r="G36" s="151"/>
      <c r="H36" s="182"/>
      <c r="I36" s="44"/>
      <c r="J36" s="85" t="str">
        <f t="shared" si="1"/>
        <v/>
      </c>
      <c r="K36" s="181"/>
      <c r="L36" s="114"/>
      <c r="M36" s="151"/>
      <c r="N36" s="182"/>
      <c r="O36" s="44"/>
      <c r="P36" s="85" t="str">
        <f t="shared" si="2"/>
        <v/>
      </c>
      <c r="Q36" s="181"/>
      <c r="R36" s="114"/>
      <c r="S36" s="151"/>
      <c r="T36" s="182"/>
      <c r="U36" s="44"/>
      <c r="V36" s="85" t="str">
        <f t="shared" si="3"/>
        <v/>
      </c>
      <c r="W36" s="181"/>
      <c r="X36" s="114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/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</row>
    <row r="37" spans="1:214" x14ac:dyDescent="0.25">
      <c r="A37" s="151"/>
      <c r="B37" s="182"/>
      <c r="C37" s="44"/>
      <c r="D37" s="85" t="str">
        <f t="shared" si="0"/>
        <v/>
      </c>
      <c r="E37" s="181"/>
      <c r="G37" s="151"/>
      <c r="H37" s="182"/>
      <c r="I37" s="44"/>
      <c r="J37" s="85" t="str">
        <f t="shared" si="1"/>
        <v/>
      </c>
      <c r="K37" s="181"/>
      <c r="L37" s="114"/>
      <c r="M37" s="151"/>
      <c r="N37" s="182"/>
      <c r="O37" s="44"/>
      <c r="P37" s="85" t="str">
        <f t="shared" si="2"/>
        <v/>
      </c>
      <c r="Q37" s="181"/>
      <c r="R37" s="114"/>
      <c r="S37" s="151"/>
      <c r="T37" s="182"/>
      <c r="U37" s="44"/>
      <c r="V37" s="85" t="str">
        <f t="shared" si="3"/>
        <v/>
      </c>
      <c r="W37" s="181"/>
      <c r="X37" s="114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</row>
    <row r="38" spans="1:214" x14ac:dyDescent="0.25">
      <c r="A38" s="151"/>
      <c r="B38" s="182"/>
      <c r="C38" s="44"/>
      <c r="D38" s="85" t="str">
        <f t="shared" si="0"/>
        <v/>
      </c>
      <c r="E38" s="181"/>
      <c r="G38" s="151"/>
      <c r="H38" s="182"/>
      <c r="I38" s="44"/>
      <c r="J38" s="85" t="str">
        <f t="shared" si="1"/>
        <v/>
      </c>
      <c r="K38" s="181"/>
      <c r="L38" s="114"/>
      <c r="M38" s="151"/>
      <c r="N38" s="182"/>
      <c r="O38" s="44"/>
      <c r="P38" s="85" t="str">
        <f t="shared" si="2"/>
        <v/>
      </c>
      <c r="Q38" s="181"/>
      <c r="R38" s="114"/>
      <c r="S38" s="151"/>
      <c r="T38" s="182"/>
      <c r="U38" s="44"/>
      <c r="V38" s="85" t="str">
        <f t="shared" si="3"/>
        <v/>
      </c>
      <c r="W38" s="181"/>
      <c r="X38" s="114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</row>
    <row r="39" spans="1:214" x14ac:dyDescent="0.25">
      <c r="A39" s="151"/>
      <c r="B39" s="182"/>
      <c r="C39" s="44"/>
      <c r="D39" s="85" t="str">
        <f t="shared" si="0"/>
        <v/>
      </c>
      <c r="E39" s="181"/>
      <c r="G39" s="151"/>
      <c r="H39" s="182"/>
      <c r="I39" s="44"/>
      <c r="J39" s="85" t="str">
        <f t="shared" si="1"/>
        <v/>
      </c>
      <c r="K39" s="181"/>
      <c r="L39" s="114"/>
      <c r="M39" s="151"/>
      <c r="N39" s="182"/>
      <c r="O39" s="44"/>
      <c r="P39" s="85" t="str">
        <f t="shared" si="2"/>
        <v/>
      </c>
      <c r="Q39" s="181"/>
      <c r="R39" s="114"/>
      <c r="S39" s="151"/>
      <c r="T39" s="182"/>
      <c r="U39" s="44"/>
      <c r="V39" s="85" t="str">
        <f t="shared" si="3"/>
        <v/>
      </c>
      <c r="W39" s="181"/>
      <c r="X39" s="114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</row>
    <row r="40" spans="1:214" x14ac:dyDescent="0.25">
      <c r="A40" s="151"/>
      <c r="B40" s="182"/>
      <c r="C40" s="44"/>
      <c r="D40" s="85" t="str">
        <f t="shared" si="0"/>
        <v/>
      </c>
      <c r="E40" s="181"/>
      <c r="G40" s="151"/>
      <c r="H40" s="182"/>
      <c r="I40" s="44"/>
      <c r="J40" s="85" t="str">
        <f t="shared" si="1"/>
        <v/>
      </c>
      <c r="K40" s="181"/>
      <c r="L40" s="114"/>
      <c r="M40" s="151"/>
      <c r="N40" s="182"/>
      <c r="O40" s="44"/>
      <c r="P40" s="85" t="str">
        <f t="shared" si="2"/>
        <v/>
      </c>
      <c r="Q40" s="181"/>
      <c r="R40" s="114"/>
      <c r="S40" s="151"/>
      <c r="T40" s="182"/>
      <c r="U40" s="44"/>
      <c r="V40" s="85" t="str">
        <f t="shared" si="3"/>
        <v/>
      </c>
      <c r="W40" s="181"/>
      <c r="X40" s="114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  <c r="FF40" s="3"/>
      <c r="FG40" s="3"/>
      <c r="FH40" s="3"/>
      <c r="FI40" s="3"/>
      <c r="FJ40" s="3"/>
      <c r="FK40" s="3"/>
      <c r="FL40" s="3"/>
      <c r="FM40" s="3"/>
      <c r="FN40" s="3"/>
      <c r="FO40" s="3"/>
      <c r="FP40" s="3"/>
      <c r="FQ40" s="3"/>
      <c r="FR40" s="3"/>
      <c r="FS40" s="3"/>
      <c r="FT40" s="3"/>
      <c r="FU40" s="3"/>
      <c r="FV40" s="3"/>
      <c r="FW40" s="3"/>
      <c r="FX40" s="3"/>
      <c r="FY40" s="3"/>
      <c r="FZ40" s="3"/>
      <c r="GA40" s="3"/>
      <c r="GB40" s="3"/>
      <c r="GC40" s="3"/>
      <c r="GD40" s="3"/>
      <c r="GE40" s="3"/>
      <c r="GF40" s="3"/>
      <c r="GG40" s="3"/>
      <c r="GH40" s="3"/>
      <c r="GI40" s="3"/>
      <c r="GJ40" s="3"/>
      <c r="GK40" s="3"/>
      <c r="GL40" s="3"/>
      <c r="GM40" s="3"/>
      <c r="GN40" s="3"/>
      <c r="GO40" s="3"/>
      <c r="GP40" s="3"/>
      <c r="GQ40" s="3"/>
      <c r="GR40" s="3"/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  <c r="HD40" s="3"/>
      <c r="HE40" s="3"/>
      <c r="HF40" s="3"/>
    </row>
    <row r="41" spans="1:214" x14ac:dyDescent="0.25">
      <c r="A41" s="151"/>
      <c r="B41" s="182"/>
      <c r="C41" s="44"/>
      <c r="D41" s="85" t="str">
        <f t="shared" si="0"/>
        <v/>
      </c>
      <c r="E41" s="181"/>
      <c r="G41" s="151"/>
      <c r="H41" s="182"/>
      <c r="I41" s="44"/>
      <c r="J41" s="85" t="str">
        <f t="shared" si="1"/>
        <v/>
      </c>
      <c r="K41" s="181"/>
      <c r="L41" s="114"/>
      <c r="M41" s="151"/>
      <c r="N41" s="182"/>
      <c r="O41" s="44"/>
      <c r="P41" s="85" t="str">
        <f t="shared" si="2"/>
        <v/>
      </c>
      <c r="Q41" s="181"/>
      <c r="R41" s="114"/>
      <c r="S41" s="151"/>
      <c r="T41" s="182"/>
      <c r="U41" s="44"/>
      <c r="V41" s="85" t="str">
        <f t="shared" si="3"/>
        <v/>
      </c>
      <c r="W41" s="181"/>
      <c r="X41" s="114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  <c r="FS41" s="3"/>
      <c r="FT41" s="3"/>
      <c r="FU41" s="3"/>
      <c r="FV41" s="3"/>
      <c r="FW41" s="3"/>
      <c r="FX41" s="3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</row>
    <row r="42" spans="1:214" x14ac:dyDescent="0.25">
      <c r="A42" s="151"/>
      <c r="B42" s="182"/>
      <c r="C42" s="44"/>
      <c r="D42" s="85" t="str">
        <f t="shared" si="0"/>
        <v/>
      </c>
      <c r="E42" s="181"/>
      <c r="G42" s="151"/>
      <c r="H42" s="182"/>
      <c r="I42" s="44"/>
      <c r="J42" s="85" t="str">
        <f t="shared" si="1"/>
        <v/>
      </c>
      <c r="K42" s="181"/>
      <c r="L42" s="114"/>
      <c r="M42" s="151"/>
      <c r="N42" s="182"/>
      <c r="O42" s="44"/>
      <c r="P42" s="85" t="str">
        <f t="shared" si="2"/>
        <v/>
      </c>
      <c r="Q42" s="181"/>
      <c r="R42" s="114"/>
      <c r="S42" s="151"/>
      <c r="T42" s="182"/>
      <c r="U42" s="44"/>
      <c r="V42" s="85" t="str">
        <f t="shared" si="3"/>
        <v/>
      </c>
      <c r="W42" s="181"/>
      <c r="X42" s="114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</row>
    <row r="43" spans="1:214" ht="15.75" thickBot="1" x14ac:dyDescent="0.3">
      <c r="A43" s="152"/>
      <c r="B43" s="183"/>
      <c r="C43" s="184"/>
      <c r="D43" s="85" t="str">
        <f t="shared" si="0"/>
        <v/>
      </c>
      <c r="E43" s="194"/>
      <c r="G43" s="152"/>
      <c r="H43" s="183"/>
      <c r="I43" s="184"/>
      <c r="J43" s="85" t="str">
        <f t="shared" si="1"/>
        <v/>
      </c>
      <c r="K43" s="194"/>
      <c r="L43" s="114"/>
      <c r="M43" s="152"/>
      <c r="N43" s="183"/>
      <c r="O43" s="184"/>
      <c r="P43" s="85" t="str">
        <f t="shared" si="2"/>
        <v/>
      </c>
      <c r="Q43" s="194"/>
      <c r="R43" s="114"/>
      <c r="S43" s="152"/>
      <c r="T43" s="183"/>
      <c r="U43" s="184"/>
      <c r="V43" s="85" t="str">
        <f t="shared" si="3"/>
        <v/>
      </c>
      <c r="W43" s="194"/>
      <c r="X43" s="114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  <c r="EG43" s="3"/>
      <c r="EH43" s="3"/>
      <c r="EI43" s="3"/>
      <c r="EJ43" s="3"/>
      <c r="EK43" s="3"/>
      <c r="EL43" s="3"/>
      <c r="EM43" s="3"/>
      <c r="EN43" s="3"/>
      <c r="EO43" s="3"/>
      <c r="EP43" s="3"/>
      <c r="EQ43" s="3"/>
      <c r="ER43" s="3"/>
      <c r="ES43" s="3"/>
      <c r="ET43" s="3"/>
      <c r="EU43" s="3"/>
      <c r="EV43" s="3"/>
      <c r="EW43" s="3"/>
      <c r="EX43" s="3"/>
      <c r="EY43" s="3"/>
      <c r="EZ43" s="3"/>
      <c r="FA43" s="3"/>
      <c r="FB43" s="3"/>
      <c r="FC43" s="3"/>
      <c r="FD43" s="3"/>
      <c r="FE43" s="3"/>
      <c r="FF43" s="3"/>
      <c r="FG43" s="3"/>
      <c r="FH43" s="3"/>
      <c r="FI43" s="3"/>
      <c r="FJ43" s="3"/>
      <c r="FK43" s="3"/>
      <c r="FL43" s="3"/>
      <c r="FM43" s="3"/>
      <c r="FN43" s="3"/>
      <c r="FO43" s="3"/>
      <c r="FP43" s="3"/>
      <c r="FQ43" s="3"/>
      <c r="FR43" s="3"/>
      <c r="FS43" s="3"/>
      <c r="FT43" s="3"/>
      <c r="FU43" s="3"/>
      <c r="FV43" s="3"/>
      <c r="FW43" s="3"/>
      <c r="FX43" s="3"/>
      <c r="FY43" s="3"/>
      <c r="FZ43" s="3"/>
      <c r="GA43" s="3"/>
      <c r="GB43" s="3"/>
      <c r="GC43" s="3"/>
      <c r="GD43" s="3"/>
      <c r="GE43" s="3"/>
      <c r="GF43" s="3"/>
      <c r="GG43" s="3"/>
      <c r="GH43" s="3"/>
      <c r="GI43" s="3"/>
      <c r="GJ43" s="3"/>
      <c r="GK43" s="3"/>
      <c r="GL43" s="3"/>
      <c r="GM43" s="3"/>
      <c r="GN43" s="3"/>
      <c r="GO43" s="3"/>
      <c r="GP43" s="3"/>
      <c r="GQ43" s="3"/>
      <c r="GR43" s="3"/>
      <c r="GS43" s="3"/>
      <c r="GT43" s="3"/>
      <c r="GU43" s="3"/>
      <c r="GV43" s="3"/>
      <c r="GW43" s="3"/>
      <c r="GX43" s="3"/>
      <c r="GY43" s="3"/>
      <c r="GZ43" s="3"/>
      <c r="HA43" s="3"/>
      <c r="HB43" s="3"/>
      <c r="HC43" s="3"/>
      <c r="HD43" s="3"/>
      <c r="HE43" s="3"/>
      <c r="HF43" s="3"/>
    </row>
    <row r="44" spans="1:214" x14ac:dyDescent="0.25">
      <c r="K44" s="4"/>
      <c r="L44" s="114"/>
      <c r="Q44" s="4"/>
      <c r="R44" s="114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  <c r="DN44" s="3"/>
      <c r="DO44" s="3"/>
      <c r="DP44" s="3"/>
      <c r="DQ44" s="3"/>
      <c r="DR44" s="3"/>
      <c r="DS44" s="3"/>
      <c r="DT44" s="3"/>
      <c r="DU44" s="3"/>
      <c r="DV44" s="3"/>
      <c r="DW44" s="3"/>
      <c r="DX44" s="3"/>
      <c r="DY44" s="3"/>
      <c r="DZ44" s="3"/>
      <c r="EA44" s="3"/>
      <c r="EB44" s="3"/>
      <c r="EC44" s="3"/>
      <c r="ED44" s="3"/>
      <c r="EE44" s="3"/>
      <c r="EF44" s="3"/>
      <c r="EG44" s="3"/>
      <c r="EH44" s="3"/>
      <c r="EI44" s="3"/>
      <c r="EJ44" s="3"/>
      <c r="EK44" s="3"/>
      <c r="EL44" s="3"/>
      <c r="EM44" s="3"/>
      <c r="EN44" s="3"/>
      <c r="EO44" s="3"/>
      <c r="EP44" s="3"/>
      <c r="EQ44" s="3"/>
      <c r="ER44" s="3"/>
      <c r="ES44" s="3"/>
      <c r="ET44" s="3"/>
      <c r="EU44" s="3"/>
      <c r="EV44" s="3"/>
      <c r="EW44" s="3"/>
      <c r="EX44" s="3"/>
      <c r="EY44" s="3"/>
      <c r="EZ44" s="3"/>
      <c r="FA44" s="3"/>
      <c r="FB44" s="3"/>
      <c r="FC44" s="3"/>
      <c r="FD44" s="3"/>
      <c r="FE44" s="3"/>
      <c r="FF44" s="3"/>
      <c r="FG44" s="3"/>
      <c r="FH44" s="3"/>
      <c r="FI44" s="3"/>
      <c r="FJ44" s="3"/>
      <c r="FK44" s="3"/>
      <c r="FL44" s="3"/>
      <c r="FM44" s="3"/>
      <c r="FN44" s="3"/>
      <c r="FO44" s="3"/>
      <c r="FP44" s="3"/>
      <c r="FQ44" s="3"/>
      <c r="FR44" s="3"/>
      <c r="FS44" s="3"/>
      <c r="FT44" s="3"/>
      <c r="FU44" s="3"/>
      <c r="FV44" s="3"/>
      <c r="FW44" s="3"/>
      <c r="FX44" s="3"/>
      <c r="FY44" s="3"/>
      <c r="FZ44" s="3"/>
      <c r="GA44" s="3"/>
      <c r="GB44" s="3"/>
      <c r="GC44" s="3"/>
      <c r="GD44" s="3"/>
      <c r="GE44" s="3"/>
      <c r="GF44" s="3"/>
      <c r="GG44" s="3"/>
      <c r="GH44" s="3"/>
      <c r="GI44" s="3"/>
      <c r="GJ44" s="3"/>
      <c r="GK44" s="3"/>
      <c r="GL44" s="3"/>
      <c r="GM44" s="3"/>
      <c r="GN44" s="3"/>
      <c r="GO44" s="3"/>
      <c r="GP44" s="3"/>
      <c r="GQ44" s="3"/>
      <c r="GR44" s="3"/>
      <c r="GS44" s="3"/>
      <c r="GT44" s="3"/>
      <c r="GU44" s="3"/>
      <c r="GV44" s="3"/>
      <c r="GW44" s="3"/>
      <c r="GX44" s="3"/>
      <c r="GY44" s="3"/>
      <c r="GZ44" s="3"/>
      <c r="HA44" s="3"/>
      <c r="HB44" s="3"/>
      <c r="HC44" s="3"/>
      <c r="HD44" s="3"/>
      <c r="HE44" s="3"/>
      <c r="HF44" s="3"/>
    </row>
    <row r="45" spans="1:214" x14ac:dyDescent="0.25">
      <c r="K45" s="4"/>
      <c r="L45" s="114"/>
      <c r="Q45" s="4"/>
      <c r="R45" s="114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  <c r="FG45" s="3"/>
      <c r="FH45" s="3"/>
      <c r="FI45" s="3"/>
      <c r="FJ45" s="3"/>
      <c r="FK45" s="3"/>
      <c r="FL45" s="3"/>
      <c r="FM45" s="3"/>
      <c r="FN45" s="3"/>
      <c r="FO45" s="3"/>
      <c r="FP45" s="3"/>
      <c r="FQ45" s="3"/>
      <c r="FR45" s="3"/>
      <c r="FS45" s="3"/>
      <c r="FT45" s="3"/>
      <c r="FU45" s="3"/>
      <c r="FV45" s="3"/>
      <c r="FW45" s="3"/>
      <c r="FX45" s="3"/>
      <c r="FY45" s="3"/>
      <c r="FZ45" s="3"/>
      <c r="GA45" s="3"/>
      <c r="GB45" s="3"/>
      <c r="GC45" s="3"/>
      <c r="GD45" s="3"/>
      <c r="GE45" s="3"/>
      <c r="GF45" s="3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</row>
    <row r="46" spans="1:214" x14ac:dyDescent="0.25">
      <c r="K46" s="4"/>
      <c r="L46" s="114"/>
      <c r="Q46" s="4"/>
      <c r="R46" s="114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  <c r="EG46" s="3"/>
      <c r="EH46" s="3"/>
      <c r="EI46" s="3"/>
      <c r="EJ46" s="3"/>
      <c r="EK46" s="3"/>
      <c r="EL46" s="3"/>
      <c r="EM46" s="3"/>
      <c r="EN46" s="3"/>
      <c r="EO46" s="3"/>
      <c r="EP46" s="3"/>
      <c r="EQ46" s="3"/>
      <c r="ER46" s="3"/>
      <c r="ES46" s="3"/>
      <c r="ET46" s="3"/>
      <c r="EU46" s="3"/>
      <c r="EV46" s="3"/>
      <c r="EW46" s="3"/>
      <c r="EX46" s="3"/>
      <c r="EY46" s="3"/>
      <c r="EZ46" s="3"/>
      <c r="FA46" s="3"/>
      <c r="FB46" s="3"/>
      <c r="FC46" s="3"/>
      <c r="FD46" s="3"/>
      <c r="FE46" s="3"/>
      <c r="FF46" s="3"/>
      <c r="FG46" s="3"/>
      <c r="FH46" s="3"/>
      <c r="FI46" s="3"/>
      <c r="FJ46" s="3"/>
      <c r="FK46" s="3"/>
      <c r="FL46" s="3"/>
      <c r="FM46" s="3"/>
      <c r="FN46" s="3"/>
      <c r="FO46" s="3"/>
      <c r="FP46" s="3"/>
      <c r="FQ46" s="3"/>
      <c r="FR46" s="3"/>
      <c r="FS46" s="3"/>
      <c r="FT46" s="3"/>
      <c r="FU46" s="3"/>
      <c r="FV46" s="3"/>
      <c r="FW46" s="3"/>
      <c r="FX46" s="3"/>
      <c r="FY46" s="3"/>
      <c r="FZ46" s="3"/>
      <c r="GA46" s="3"/>
      <c r="GB46" s="3"/>
      <c r="GC46" s="3"/>
      <c r="GD46" s="3"/>
      <c r="GE46" s="3"/>
      <c r="GF46" s="3"/>
      <c r="GG46" s="3"/>
      <c r="GH46" s="3"/>
      <c r="GI46" s="3"/>
      <c r="GJ46" s="3"/>
      <c r="GK46" s="3"/>
      <c r="GL46" s="3"/>
      <c r="GM46" s="3"/>
      <c r="GN46" s="3"/>
      <c r="GO46" s="3"/>
      <c r="GP46" s="3"/>
      <c r="GQ46" s="3"/>
      <c r="GR46" s="3"/>
      <c r="GS46" s="3"/>
      <c r="GT46" s="3"/>
      <c r="GU46" s="3"/>
      <c r="GV46" s="3"/>
      <c r="GW46" s="3"/>
      <c r="GX46" s="3"/>
      <c r="GY46" s="3"/>
      <c r="GZ46" s="3"/>
      <c r="HA46" s="3"/>
      <c r="HB46" s="3"/>
      <c r="HC46" s="3"/>
      <c r="HD46" s="3"/>
      <c r="HE46" s="3"/>
      <c r="HF46" s="3"/>
    </row>
    <row r="47" spans="1:214" x14ac:dyDescent="0.25">
      <c r="A47" s="44"/>
      <c r="B47" s="44"/>
      <c r="C47" s="44"/>
      <c r="D47" s="44"/>
      <c r="E47" s="44"/>
      <c r="J47" s="4"/>
      <c r="K47" s="4"/>
      <c r="L47" s="114"/>
      <c r="P47" s="4"/>
      <c r="Q47" s="4"/>
      <c r="R47" s="114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  <c r="EG47" s="3"/>
      <c r="EH47" s="3"/>
      <c r="EI47" s="3"/>
      <c r="EJ47" s="3"/>
      <c r="EK47" s="3"/>
      <c r="EL47" s="3"/>
      <c r="EM47" s="3"/>
      <c r="EN47" s="3"/>
      <c r="EO47" s="3"/>
      <c r="EP47" s="3"/>
      <c r="EQ47" s="3"/>
      <c r="ER47" s="3"/>
      <c r="ES47" s="3"/>
      <c r="ET47" s="3"/>
      <c r="EU47" s="3"/>
      <c r="EV47" s="3"/>
      <c r="EW47" s="3"/>
      <c r="EX47" s="3"/>
      <c r="EY47" s="3"/>
      <c r="EZ47" s="3"/>
      <c r="FA47" s="3"/>
      <c r="FB47" s="3"/>
      <c r="FC47" s="3"/>
      <c r="FD47" s="3"/>
      <c r="FE47" s="3"/>
      <c r="FF47" s="3"/>
      <c r="FG47" s="3"/>
      <c r="FH47" s="3"/>
      <c r="FI47" s="3"/>
      <c r="FJ47" s="3"/>
      <c r="FK47" s="3"/>
      <c r="FL47" s="3"/>
      <c r="FM47" s="3"/>
      <c r="FN47" s="3"/>
      <c r="FO47" s="3"/>
      <c r="FP47" s="3"/>
      <c r="FQ47" s="3"/>
      <c r="FR47" s="3"/>
      <c r="FS47" s="3"/>
      <c r="FT47" s="3"/>
      <c r="FU47" s="3"/>
      <c r="FV47" s="3"/>
      <c r="FW47" s="3"/>
      <c r="FX47" s="3"/>
      <c r="FY47" s="3"/>
      <c r="FZ47" s="3"/>
      <c r="GA47" s="3"/>
      <c r="GB47" s="3"/>
      <c r="GC47" s="3"/>
      <c r="GD47" s="3"/>
      <c r="GE47" s="3"/>
      <c r="GF47" s="3"/>
      <c r="GG47" s="3"/>
      <c r="GH47" s="3"/>
      <c r="GI47" s="3"/>
      <c r="GJ47" s="3"/>
      <c r="GK47" s="3"/>
      <c r="GL47" s="3"/>
      <c r="GM47" s="3"/>
      <c r="GN47" s="3"/>
      <c r="GO47" s="3"/>
      <c r="GP47" s="3"/>
      <c r="GQ47" s="3"/>
      <c r="GR47" s="3"/>
      <c r="GS47" s="3"/>
      <c r="GT47" s="3"/>
      <c r="GU47" s="3"/>
      <c r="GV47" s="3"/>
      <c r="GW47" s="3"/>
      <c r="GX47" s="3"/>
      <c r="GY47" s="3"/>
      <c r="GZ47" s="3"/>
      <c r="HA47" s="3"/>
      <c r="HB47" s="3"/>
      <c r="HC47" s="3"/>
      <c r="HD47" s="3"/>
      <c r="HE47" s="3"/>
      <c r="HF47" s="3"/>
    </row>
    <row r="48" spans="1:214" x14ac:dyDescent="0.25">
      <c r="A48" s="44"/>
      <c r="B48" s="44"/>
      <c r="C48" s="44"/>
      <c r="D48" s="44"/>
      <c r="E48" s="44"/>
      <c r="I48" s="4"/>
      <c r="J48" s="4"/>
      <c r="K48" s="4"/>
      <c r="L48" s="114"/>
      <c r="O48" s="4"/>
      <c r="P48" s="4"/>
      <c r="Q48" s="4"/>
      <c r="R48" s="114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3"/>
      <c r="DR48" s="3"/>
      <c r="DS48" s="3"/>
      <c r="DT48" s="3"/>
      <c r="DU48" s="3"/>
      <c r="DV48" s="3"/>
      <c r="DW48" s="3"/>
      <c r="DX48" s="3"/>
      <c r="DY48" s="3"/>
      <c r="DZ48" s="3"/>
      <c r="EA48" s="3"/>
      <c r="EB48" s="3"/>
      <c r="EC48" s="3"/>
      <c r="ED48" s="3"/>
      <c r="EE48" s="3"/>
      <c r="EF48" s="3"/>
      <c r="EG48" s="3"/>
      <c r="EH48" s="3"/>
      <c r="EI48" s="3"/>
      <c r="EJ48" s="3"/>
      <c r="EK48" s="3"/>
      <c r="EL48" s="3"/>
      <c r="EM48" s="3"/>
      <c r="EN48" s="3"/>
      <c r="EO48" s="3"/>
      <c r="EP48" s="3"/>
      <c r="EQ48" s="3"/>
      <c r="ER48" s="3"/>
      <c r="ES48" s="3"/>
      <c r="ET48" s="3"/>
      <c r="EU48" s="3"/>
      <c r="EV48" s="3"/>
      <c r="EW48" s="3"/>
      <c r="EX48" s="3"/>
      <c r="EY48" s="3"/>
      <c r="EZ48" s="3"/>
      <c r="FA48" s="3"/>
      <c r="FB48" s="3"/>
      <c r="FC48" s="3"/>
      <c r="FD48" s="3"/>
      <c r="FE48" s="3"/>
      <c r="FF48" s="3"/>
      <c r="FG48" s="3"/>
      <c r="FH48" s="3"/>
      <c r="FI48" s="3"/>
      <c r="FJ48" s="3"/>
      <c r="FK48" s="3"/>
      <c r="FL48" s="3"/>
      <c r="FM48" s="3"/>
      <c r="FN48" s="3"/>
      <c r="FO48" s="3"/>
      <c r="FP48" s="3"/>
      <c r="FQ48" s="3"/>
      <c r="FR48" s="3"/>
      <c r="FS48" s="3"/>
      <c r="FT48" s="3"/>
      <c r="FU48" s="3"/>
      <c r="FV48" s="3"/>
      <c r="FW48" s="3"/>
      <c r="FX48" s="3"/>
      <c r="FY48" s="3"/>
      <c r="FZ48" s="3"/>
      <c r="GA48" s="3"/>
      <c r="GB48" s="3"/>
      <c r="GC48" s="3"/>
      <c r="GD48" s="3"/>
      <c r="GE48" s="3"/>
      <c r="GF48" s="3"/>
      <c r="GG48" s="3"/>
      <c r="GH48" s="3"/>
      <c r="GI48" s="3"/>
      <c r="GJ48" s="3"/>
      <c r="GK48" s="3"/>
      <c r="GL48" s="3"/>
      <c r="GM48" s="3"/>
      <c r="GN48" s="3"/>
      <c r="GO48" s="3"/>
      <c r="GP48" s="3"/>
      <c r="GQ48" s="3"/>
      <c r="GR48" s="3"/>
      <c r="GS48" s="3"/>
      <c r="GT48" s="3"/>
      <c r="GU48" s="3"/>
      <c r="GV48" s="3"/>
      <c r="GW48" s="3"/>
      <c r="GX48" s="3"/>
      <c r="GY48" s="3"/>
      <c r="GZ48" s="3"/>
      <c r="HA48" s="3"/>
      <c r="HB48" s="3"/>
      <c r="HC48" s="3"/>
      <c r="HD48" s="3"/>
      <c r="HE48" s="3"/>
      <c r="HF48" s="3"/>
    </row>
    <row r="49" spans="1:214" x14ac:dyDescent="0.25">
      <c r="A49" s="44"/>
      <c r="B49" s="44"/>
      <c r="C49" s="44"/>
      <c r="D49" s="44"/>
      <c r="E49" s="44"/>
      <c r="I49" s="4"/>
      <c r="J49" s="4"/>
      <c r="K49" s="4"/>
      <c r="L49" s="114"/>
      <c r="O49" s="4"/>
      <c r="P49" s="4"/>
      <c r="Q49" s="4"/>
      <c r="R49" s="114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  <c r="DL49" s="3"/>
      <c r="DM49" s="3"/>
      <c r="DN49" s="3"/>
      <c r="DO49" s="3"/>
      <c r="DP49" s="3"/>
      <c r="DQ49" s="3"/>
      <c r="DR49" s="3"/>
      <c r="DS49" s="3"/>
      <c r="DT49" s="3"/>
      <c r="DU49" s="3"/>
      <c r="DV49" s="3"/>
      <c r="DW49" s="3"/>
      <c r="DX49" s="3"/>
      <c r="DY49" s="3"/>
      <c r="DZ49" s="3"/>
      <c r="EA49" s="3"/>
      <c r="EB49" s="3"/>
      <c r="EC49" s="3"/>
      <c r="ED49" s="3"/>
      <c r="EE49" s="3"/>
      <c r="EF49" s="3"/>
      <c r="EG49" s="3"/>
      <c r="EH49" s="3"/>
      <c r="EI49" s="3"/>
      <c r="EJ49" s="3"/>
      <c r="EK49" s="3"/>
      <c r="EL49" s="3"/>
      <c r="EM49" s="3"/>
      <c r="EN49" s="3"/>
      <c r="EO49" s="3"/>
      <c r="EP49" s="3"/>
      <c r="EQ49" s="3"/>
      <c r="ER49" s="3"/>
      <c r="ES49" s="3"/>
      <c r="ET49" s="3"/>
      <c r="EU49" s="3"/>
      <c r="EV49" s="3"/>
      <c r="EW49" s="3"/>
      <c r="EX49" s="3"/>
      <c r="EY49" s="3"/>
      <c r="EZ49" s="3"/>
      <c r="FA49" s="3"/>
      <c r="FB49" s="3"/>
      <c r="FC49" s="3"/>
      <c r="FD49" s="3"/>
      <c r="FE49" s="3"/>
      <c r="FF49" s="3"/>
      <c r="FG49" s="3"/>
      <c r="FH49" s="3"/>
      <c r="FI49" s="3"/>
      <c r="FJ49" s="3"/>
      <c r="FK49" s="3"/>
      <c r="FL49" s="3"/>
      <c r="FM49" s="3"/>
      <c r="FN49" s="3"/>
      <c r="FO49" s="3"/>
      <c r="FP49" s="3"/>
      <c r="FQ49" s="3"/>
      <c r="FR49" s="3"/>
      <c r="FS49" s="3"/>
      <c r="FT49" s="3"/>
      <c r="FU49" s="3"/>
      <c r="FV49" s="3"/>
      <c r="FW49" s="3"/>
      <c r="FX49" s="3"/>
      <c r="FY49" s="3"/>
      <c r="FZ49" s="3"/>
      <c r="GA49" s="3"/>
      <c r="GB49" s="3"/>
      <c r="GC49" s="3"/>
      <c r="GD49" s="3"/>
      <c r="GE49" s="3"/>
      <c r="GF49" s="3"/>
      <c r="GG49" s="3"/>
      <c r="GH49" s="3"/>
      <c r="GI49" s="3"/>
      <c r="GJ49" s="3"/>
      <c r="GK49" s="3"/>
      <c r="GL49" s="3"/>
      <c r="GM49" s="3"/>
      <c r="GN49" s="3"/>
      <c r="GO49" s="3"/>
      <c r="GP49" s="3"/>
      <c r="GQ49" s="3"/>
      <c r="GR49" s="3"/>
      <c r="GS49" s="3"/>
      <c r="GT49" s="3"/>
      <c r="GU49" s="3"/>
      <c r="GV49" s="3"/>
      <c r="GW49" s="3"/>
      <c r="GX49" s="3"/>
      <c r="GY49" s="3"/>
      <c r="GZ49" s="3"/>
      <c r="HA49" s="3"/>
      <c r="HB49" s="3"/>
      <c r="HC49" s="3"/>
      <c r="HD49" s="3"/>
      <c r="HE49" s="3"/>
      <c r="HF49" s="3"/>
    </row>
    <row r="50" spans="1:214" x14ac:dyDescent="0.25">
      <c r="A50" s="44"/>
      <c r="B50" s="44"/>
      <c r="C50" s="44"/>
      <c r="D50" s="44"/>
      <c r="E50" s="44"/>
      <c r="I50" s="4"/>
      <c r="J50" s="4"/>
      <c r="K50" s="4"/>
      <c r="L50" s="114"/>
      <c r="O50" s="4"/>
      <c r="P50" s="4"/>
      <c r="Q50" s="4"/>
      <c r="R50" s="114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  <c r="EG50" s="3"/>
      <c r="EH50" s="3"/>
      <c r="EI50" s="3"/>
      <c r="EJ50" s="3"/>
      <c r="EK50" s="3"/>
      <c r="EL50" s="3"/>
      <c r="EM50" s="3"/>
      <c r="EN50" s="3"/>
      <c r="EO50" s="3"/>
      <c r="EP50" s="3"/>
      <c r="EQ50" s="3"/>
      <c r="ER50" s="3"/>
      <c r="ES50" s="3"/>
      <c r="ET50" s="3"/>
      <c r="EU50" s="3"/>
      <c r="EV50" s="3"/>
      <c r="EW50" s="3"/>
      <c r="EX50" s="3"/>
      <c r="EY50" s="3"/>
      <c r="EZ50" s="3"/>
      <c r="FA50" s="3"/>
      <c r="FB50" s="3"/>
      <c r="FC50" s="3"/>
      <c r="FD50" s="3"/>
      <c r="FE50" s="3"/>
      <c r="FF50" s="3"/>
      <c r="FG50" s="3"/>
      <c r="FH50" s="3"/>
      <c r="FI50" s="3"/>
      <c r="FJ50" s="3"/>
      <c r="FK50" s="3"/>
      <c r="FL50" s="3"/>
      <c r="FM50" s="3"/>
      <c r="FN50" s="3"/>
      <c r="FO50" s="3"/>
      <c r="FP50" s="3"/>
      <c r="FQ50" s="3"/>
      <c r="FR50" s="3"/>
      <c r="FS50" s="3"/>
      <c r="FT50" s="3"/>
      <c r="FU50" s="3"/>
      <c r="FV50" s="3"/>
      <c r="FW50" s="3"/>
      <c r="FX50" s="3"/>
      <c r="FY50" s="3"/>
      <c r="FZ50" s="3"/>
      <c r="GA50" s="3"/>
      <c r="GB50" s="3"/>
      <c r="GC50" s="3"/>
      <c r="GD50" s="3"/>
      <c r="GE50" s="3"/>
      <c r="GF50" s="3"/>
      <c r="GG50" s="3"/>
      <c r="GH50" s="3"/>
      <c r="GI50" s="3"/>
      <c r="GJ50" s="3"/>
      <c r="GK50" s="3"/>
      <c r="GL50" s="3"/>
      <c r="GM50" s="3"/>
      <c r="GN50" s="3"/>
      <c r="GO50" s="3"/>
      <c r="GP50" s="3"/>
      <c r="GQ50" s="3"/>
      <c r="GR50" s="3"/>
      <c r="GS50" s="3"/>
      <c r="GT50" s="3"/>
      <c r="GU50" s="3"/>
      <c r="GV50" s="3"/>
      <c r="GW50" s="3"/>
      <c r="GX50" s="3"/>
      <c r="GY50" s="3"/>
      <c r="GZ50" s="3"/>
      <c r="HA50" s="3"/>
      <c r="HB50" s="3"/>
      <c r="HC50" s="3"/>
      <c r="HD50" s="3"/>
      <c r="HE50" s="3"/>
      <c r="HF50" s="3"/>
    </row>
    <row r="51" spans="1:214" x14ac:dyDescent="0.25">
      <c r="A51" s="44"/>
      <c r="B51" s="44"/>
      <c r="C51" s="44"/>
      <c r="D51" s="44"/>
      <c r="E51" s="44"/>
      <c r="I51" s="4"/>
      <c r="J51" s="4"/>
      <c r="K51" s="4"/>
      <c r="L51" s="114"/>
      <c r="O51" s="4"/>
      <c r="P51" s="4"/>
      <c r="Q51" s="4"/>
      <c r="R51" s="114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  <c r="DN51" s="3"/>
      <c r="DO51" s="3"/>
      <c r="DP51" s="3"/>
      <c r="DQ51" s="3"/>
      <c r="DR51" s="3"/>
      <c r="DS51" s="3"/>
      <c r="DT51" s="3"/>
      <c r="DU51" s="3"/>
      <c r="DV51" s="3"/>
      <c r="DW51" s="3"/>
      <c r="DX51" s="3"/>
      <c r="DY51" s="3"/>
      <c r="DZ51" s="3"/>
      <c r="EA51" s="3"/>
      <c r="EB51" s="3"/>
      <c r="EC51" s="3"/>
      <c r="ED51" s="3"/>
      <c r="EE51" s="3"/>
      <c r="EF51" s="3"/>
      <c r="EG51" s="3"/>
      <c r="EH51" s="3"/>
      <c r="EI51" s="3"/>
      <c r="EJ51" s="3"/>
      <c r="EK51" s="3"/>
      <c r="EL51" s="3"/>
      <c r="EM51" s="3"/>
      <c r="EN51" s="3"/>
      <c r="EO51" s="3"/>
      <c r="EP51" s="3"/>
      <c r="EQ51" s="3"/>
      <c r="ER51" s="3"/>
      <c r="ES51" s="3"/>
      <c r="ET51" s="3"/>
      <c r="EU51" s="3"/>
      <c r="EV51" s="3"/>
      <c r="EW51" s="3"/>
      <c r="EX51" s="3"/>
      <c r="EY51" s="3"/>
      <c r="EZ51" s="3"/>
      <c r="FA51" s="3"/>
      <c r="FB51" s="3"/>
      <c r="FC51" s="3"/>
      <c r="FD51" s="3"/>
      <c r="FE51" s="3"/>
      <c r="FF51" s="3"/>
      <c r="FG51" s="3"/>
      <c r="FH51" s="3"/>
      <c r="FI51" s="3"/>
      <c r="FJ51" s="3"/>
      <c r="FK51" s="3"/>
      <c r="FL51" s="3"/>
      <c r="FM51" s="3"/>
      <c r="FN51" s="3"/>
      <c r="FO51" s="3"/>
      <c r="FP51" s="3"/>
      <c r="FQ51" s="3"/>
      <c r="FR51" s="3"/>
      <c r="FS51" s="3"/>
      <c r="FT51" s="3"/>
      <c r="FU51" s="3"/>
      <c r="FV51" s="3"/>
      <c r="FW51" s="3"/>
      <c r="FX51" s="3"/>
      <c r="FY51" s="3"/>
      <c r="FZ51" s="3"/>
      <c r="GA51" s="3"/>
      <c r="GB51" s="3"/>
      <c r="GC51" s="3"/>
      <c r="GD51" s="3"/>
      <c r="GE51" s="3"/>
      <c r="GF51" s="3"/>
      <c r="GG51" s="3"/>
      <c r="GH51" s="3"/>
      <c r="GI51" s="3"/>
      <c r="GJ51" s="3"/>
      <c r="GK51" s="3"/>
      <c r="GL51" s="3"/>
      <c r="GM51" s="3"/>
      <c r="GN51" s="3"/>
      <c r="GO51" s="3"/>
      <c r="GP51" s="3"/>
      <c r="GQ51" s="3"/>
      <c r="GR51" s="3"/>
      <c r="GS51" s="3"/>
      <c r="GT51" s="3"/>
      <c r="GU51" s="3"/>
      <c r="GV51" s="3"/>
      <c r="GW51" s="3"/>
      <c r="GX51" s="3"/>
      <c r="GY51" s="3"/>
      <c r="GZ51" s="3"/>
      <c r="HA51" s="3"/>
      <c r="HB51" s="3"/>
      <c r="HC51" s="3"/>
      <c r="HD51" s="3"/>
      <c r="HE51" s="3"/>
      <c r="HF51" s="3"/>
    </row>
    <row r="52" spans="1:214" x14ac:dyDescent="0.25">
      <c r="A52" s="84">
        <v>1</v>
      </c>
      <c r="B52" s="182"/>
      <c r="C52" s="182">
        <v>3</v>
      </c>
      <c r="D52" s="182">
        <v>4</v>
      </c>
      <c r="E52" s="84">
        <v>5</v>
      </c>
      <c r="F52" s="179">
        <v>6</v>
      </c>
      <c r="G52" s="5">
        <v>7</v>
      </c>
      <c r="H52" s="5">
        <v>8</v>
      </c>
      <c r="I52" s="98">
        <v>9</v>
      </c>
      <c r="J52" s="5">
        <v>10</v>
      </c>
      <c r="K52" s="5">
        <v>11</v>
      </c>
      <c r="L52" s="114">
        <v>12</v>
      </c>
      <c r="M52" s="5">
        <v>7</v>
      </c>
      <c r="N52" s="5">
        <v>8</v>
      </c>
      <c r="O52" s="98">
        <v>9</v>
      </c>
      <c r="P52" s="5">
        <v>10</v>
      </c>
      <c r="Q52" s="5">
        <v>11</v>
      </c>
      <c r="R52" s="114">
        <v>12</v>
      </c>
      <c r="S52" s="112">
        <v>19</v>
      </c>
      <c r="T52" s="112">
        <v>20</v>
      </c>
      <c r="U52" s="113">
        <v>21</v>
      </c>
      <c r="V52" s="112">
        <v>22</v>
      </c>
      <c r="W52" s="112">
        <v>23</v>
      </c>
      <c r="X52" s="112">
        <v>24</v>
      </c>
      <c r="Y52" s="113">
        <v>25</v>
      </c>
      <c r="Z52" s="112">
        <v>26</v>
      </c>
      <c r="AA52" s="112">
        <v>27</v>
      </c>
      <c r="AB52" s="112">
        <v>28</v>
      </c>
      <c r="AC52" s="113">
        <v>29</v>
      </c>
      <c r="AD52" s="3">
        <v>30</v>
      </c>
      <c r="AE52" s="112">
        <v>31</v>
      </c>
      <c r="AF52" s="112">
        <v>32</v>
      </c>
      <c r="AG52" s="113">
        <v>33</v>
      </c>
      <c r="AH52" s="111">
        <v>34</v>
      </c>
      <c r="AI52" s="3">
        <v>35</v>
      </c>
      <c r="AJ52" s="112">
        <v>36</v>
      </c>
      <c r="AK52" s="113">
        <v>37</v>
      </c>
      <c r="AL52" s="112">
        <v>38</v>
      </c>
      <c r="AM52" s="111">
        <v>39</v>
      </c>
      <c r="AN52" s="3">
        <v>40</v>
      </c>
      <c r="AO52" s="113">
        <v>41</v>
      </c>
      <c r="AP52" s="112">
        <v>42</v>
      </c>
      <c r="AQ52" s="112">
        <v>43</v>
      </c>
      <c r="AR52" s="111">
        <v>44</v>
      </c>
      <c r="AS52" s="113">
        <v>45</v>
      </c>
      <c r="AT52" s="112">
        <v>46</v>
      </c>
      <c r="AU52" s="112">
        <v>47</v>
      </c>
      <c r="AV52" s="112">
        <v>48</v>
      </c>
      <c r="AW52" s="113">
        <v>49</v>
      </c>
      <c r="AX52" s="3">
        <v>50</v>
      </c>
      <c r="AY52" s="112">
        <v>51</v>
      </c>
      <c r="AZ52" s="112">
        <v>52</v>
      </c>
      <c r="BA52" s="113">
        <v>53</v>
      </c>
      <c r="BB52" s="111">
        <v>54</v>
      </c>
      <c r="BC52" s="3">
        <v>55</v>
      </c>
      <c r="BD52" s="112">
        <v>56</v>
      </c>
      <c r="BE52" s="113">
        <v>57</v>
      </c>
      <c r="BF52" s="112">
        <v>58</v>
      </c>
      <c r="BG52" s="111">
        <v>59</v>
      </c>
      <c r="BH52" s="3">
        <v>60</v>
      </c>
      <c r="BI52" s="113">
        <v>61</v>
      </c>
      <c r="BJ52" s="112">
        <v>62</v>
      </c>
      <c r="BK52" s="112">
        <v>63</v>
      </c>
      <c r="BL52" s="111">
        <v>64</v>
      </c>
      <c r="BM52" s="113">
        <v>65</v>
      </c>
      <c r="BN52" s="112">
        <v>66</v>
      </c>
      <c r="BO52" s="112">
        <v>67</v>
      </c>
      <c r="BP52" s="112">
        <v>68</v>
      </c>
      <c r="BQ52" s="113">
        <v>69</v>
      </c>
      <c r="BR52" s="3">
        <v>70</v>
      </c>
      <c r="BS52" s="112">
        <v>71</v>
      </c>
      <c r="BT52" s="112">
        <v>72</v>
      </c>
      <c r="BU52" s="113">
        <v>73</v>
      </c>
      <c r="BV52" s="111">
        <v>74</v>
      </c>
      <c r="BW52" s="3">
        <v>75</v>
      </c>
      <c r="BX52" s="112">
        <v>76</v>
      </c>
      <c r="BY52" s="113">
        <v>77</v>
      </c>
      <c r="BZ52" s="112">
        <v>78</v>
      </c>
      <c r="CA52" s="111">
        <v>79</v>
      </c>
      <c r="CB52" s="3">
        <v>80</v>
      </c>
      <c r="CC52" s="113">
        <v>81</v>
      </c>
      <c r="CD52" s="112">
        <v>82</v>
      </c>
      <c r="CE52" s="112">
        <v>83</v>
      </c>
      <c r="CF52" s="111">
        <v>84</v>
      </c>
      <c r="CG52" s="113">
        <v>85</v>
      </c>
      <c r="CH52" s="112">
        <v>86</v>
      </c>
      <c r="CI52" s="112">
        <v>87</v>
      </c>
      <c r="CJ52" s="112">
        <v>88</v>
      </c>
      <c r="CK52" s="113">
        <v>89</v>
      </c>
      <c r="CL52" s="3">
        <v>90</v>
      </c>
      <c r="CM52" s="112">
        <v>91</v>
      </c>
      <c r="CN52" s="112">
        <v>92</v>
      </c>
      <c r="CO52" s="113">
        <v>93</v>
      </c>
      <c r="CP52" s="111">
        <v>94</v>
      </c>
      <c r="CQ52" s="3">
        <v>95</v>
      </c>
      <c r="CR52" s="112">
        <v>96</v>
      </c>
      <c r="CS52" s="113">
        <v>97</v>
      </c>
      <c r="CT52" s="112">
        <v>98</v>
      </c>
      <c r="CU52" s="111">
        <v>99</v>
      </c>
      <c r="CV52" s="3">
        <v>100</v>
      </c>
      <c r="CW52" s="113">
        <v>101</v>
      </c>
      <c r="CX52" s="112">
        <v>102</v>
      </c>
      <c r="CY52" s="112">
        <v>103</v>
      </c>
      <c r="CZ52" s="111">
        <v>104</v>
      </c>
      <c r="DA52" s="113">
        <v>105</v>
      </c>
      <c r="DB52" s="112">
        <v>106</v>
      </c>
      <c r="DC52" s="112">
        <v>107</v>
      </c>
      <c r="DD52" s="112">
        <v>108</v>
      </c>
      <c r="DE52" s="113">
        <v>109</v>
      </c>
      <c r="DF52" s="3">
        <v>110</v>
      </c>
      <c r="DG52" s="112">
        <v>111</v>
      </c>
      <c r="DH52" s="112">
        <v>112</v>
      </c>
      <c r="DI52" s="113">
        <v>113</v>
      </c>
      <c r="DJ52" s="111">
        <v>114</v>
      </c>
      <c r="DK52" s="3">
        <v>115</v>
      </c>
      <c r="DL52" s="112">
        <v>116</v>
      </c>
      <c r="DM52" s="113">
        <v>117</v>
      </c>
      <c r="DN52" s="112">
        <v>118</v>
      </c>
      <c r="DO52" s="111">
        <v>119</v>
      </c>
      <c r="DP52" s="3">
        <v>120</v>
      </c>
      <c r="DQ52" s="113">
        <v>121</v>
      </c>
      <c r="DR52" s="112">
        <v>122</v>
      </c>
      <c r="DS52" s="112">
        <v>123</v>
      </c>
      <c r="DT52" s="111">
        <v>124</v>
      </c>
      <c r="DU52" s="113">
        <v>125</v>
      </c>
      <c r="DV52" s="112">
        <v>126</v>
      </c>
      <c r="DW52" s="112">
        <v>127</v>
      </c>
      <c r="DX52" s="112">
        <v>128</v>
      </c>
      <c r="DY52" s="113">
        <v>129</v>
      </c>
      <c r="DZ52" s="3">
        <v>130</v>
      </c>
      <c r="EA52" s="112">
        <v>131</v>
      </c>
      <c r="EB52" s="112">
        <v>132</v>
      </c>
      <c r="EC52" s="113">
        <v>133</v>
      </c>
      <c r="ED52" s="111">
        <v>134</v>
      </c>
      <c r="EE52" s="3">
        <v>135</v>
      </c>
      <c r="EF52" s="112">
        <v>136</v>
      </c>
      <c r="EG52" s="113">
        <v>137</v>
      </c>
      <c r="EH52" s="112">
        <v>138</v>
      </c>
      <c r="EI52" s="111">
        <v>139</v>
      </c>
      <c r="EJ52" s="3">
        <v>140</v>
      </c>
      <c r="EK52" s="113">
        <v>141</v>
      </c>
      <c r="EL52" s="112">
        <v>142</v>
      </c>
      <c r="EM52" s="112">
        <v>143</v>
      </c>
      <c r="EN52" s="111">
        <v>144</v>
      </c>
      <c r="EO52" s="113">
        <v>145</v>
      </c>
      <c r="EP52" s="112">
        <v>146</v>
      </c>
      <c r="EQ52" s="112">
        <v>147</v>
      </c>
      <c r="ER52" s="112">
        <v>148</v>
      </c>
      <c r="ES52" s="113">
        <v>149</v>
      </c>
      <c r="ET52" s="3">
        <v>150</v>
      </c>
      <c r="EU52" s="112">
        <v>151</v>
      </c>
      <c r="EV52" s="112">
        <v>152</v>
      </c>
      <c r="EW52" s="113">
        <v>153</v>
      </c>
      <c r="EX52" s="111">
        <v>154</v>
      </c>
      <c r="EY52" s="3">
        <v>155</v>
      </c>
      <c r="EZ52" s="112">
        <v>156</v>
      </c>
      <c r="FA52" s="113">
        <v>157</v>
      </c>
      <c r="FB52" s="112">
        <v>158</v>
      </c>
      <c r="FC52" s="111">
        <v>159</v>
      </c>
      <c r="FD52" s="3">
        <v>160</v>
      </c>
      <c r="FE52" s="113">
        <v>161</v>
      </c>
      <c r="FF52" s="112">
        <v>162</v>
      </c>
      <c r="FG52" s="112">
        <v>163</v>
      </c>
      <c r="FH52" s="111">
        <v>164</v>
      </c>
      <c r="FI52" s="113">
        <v>165</v>
      </c>
      <c r="FJ52" s="112">
        <v>166</v>
      </c>
      <c r="FK52" s="112">
        <v>167</v>
      </c>
      <c r="FL52" s="112">
        <v>168</v>
      </c>
      <c r="FM52" s="113">
        <v>169</v>
      </c>
      <c r="FN52" s="3">
        <v>170</v>
      </c>
      <c r="FO52" s="112">
        <v>171</v>
      </c>
      <c r="FP52" s="112">
        <v>172</v>
      </c>
      <c r="FQ52" s="113">
        <v>173</v>
      </c>
      <c r="FR52" s="111">
        <v>174</v>
      </c>
      <c r="FS52" s="3">
        <v>175</v>
      </c>
      <c r="FT52" s="112">
        <v>176</v>
      </c>
      <c r="FU52" s="113">
        <v>177</v>
      </c>
      <c r="FV52" s="112">
        <v>178</v>
      </c>
      <c r="FW52" s="111">
        <v>179</v>
      </c>
      <c r="FX52" s="3">
        <v>180</v>
      </c>
      <c r="FY52" s="113">
        <v>181</v>
      </c>
      <c r="FZ52" s="112">
        <v>182</v>
      </c>
      <c r="GA52" s="112">
        <v>183</v>
      </c>
      <c r="GB52" s="111">
        <v>184</v>
      </c>
      <c r="GC52" s="113">
        <v>185</v>
      </c>
      <c r="GD52" s="112">
        <v>186</v>
      </c>
      <c r="GE52" s="112">
        <v>187</v>
      </c>
      <c r="GF52" s="112">
        <v>188</v>
      </c>
      <c r="GG52" s="113">
        <v>189</v>
      </c>
      <c r="GH52" s="3">
        <v>190</v>
      </c>
      <c r="GI52" s="112">
        <v>191</v>
      </c>
      <c r="GJ52" s="112">
        <v>192</v>
      </c>
      <c r="GK52" s="113">
        <v>193</v>
      </c>
      <c r="GL52" s="111">
        <v>194</v>
      </c>
      <c r="GM52" s="3">
        <v>195</v>
      </c>
      <c r="GN52" s="112">
        <v>196</v>
      </c>
      <c r="GO52" s="113">
        <v>197</v>
      </c>
      <c r="GP52" s="112">
        <v>198</v>
      </c>
      <c r="GQ52" s="111">
        <v>199</v>
      </c>
      <c r="GR52" s="3">
        <v>200</v>
      </c>
      <c r="GS52" s="113">
        <v>201</v>
      </c>
      <c r="GT52" s="112">
        <v>202</v>
      </c>
      <c r="GU52" s="112">
        <v>203</v>
      </c>
      <c r="GV52" s="111">
        <v>204</v>
      </c>
      <c r="GW52" s="113">
        <v>205</v>
      </c>
      <c r="GX52" s="112">
        <v>206</v>
      </c>
      <c r="GY52" s="112">
        <v>207</v>
      </c>
      <c r="GZ52" s="112">
        <v>208</v>
      </c>
      <c r="HA52" s="113">
        <v>209</v>
      </c>
      <c r="HB52" s="3">
        <v>210</v>
      </c>
      <c r="HC52" s="112">
        <v>211</v>
      </c>
      <c r="HD52" s="112">
        <v>212</v>
      </c>
      <c r="HE52" s="113">
        <v>213</v>
      </c>
      <c r="HF52" s="3"/>
    </row>
    <row r="53" spans="1:214" x14ac:dyDescent="0.25">
      <c r="A53" s="185"/>
      <c r="B53" s="182"/>
      <c r="C53" s="182"/>
      <c r="D53" s="182"/>
      <c r="E53" s="186"/>
      <c r="F53" s="179"/>
      <c r="G53" s="4"/>
      <c r="H53" s="4"/>
      <c r="I53" s="4"/>
      <c r="J53" s="4"/>
      <c r="K53" s="4"/>
      <c r="L53" s="114"/>
      <c r="M53" s="4"/>
      <c r="N53" s="4"/>
      <c r="O53" s="4"/>
      <c r="P53" s="4"/>
      <c r="Q53" s="4"/>
      <c r="R53" s="114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  <c r="DL53" s="3"/>
      <c r="DM53" s="3"/>
      <c r="DN53" s="3"/>
      <c r="DO53" s="3"/>
      <c r="DP53" s="3"/>
      <c r="DQ53" s="3"/>
      <c r="DR53" s="3"/>
      <c r="DS53" s="3"/>
      <c r="DT53" s="3"/>
      <c r="DU53" s="3"/>
      <c r="DV53" s="3"/>
      <c r="DW53" s="3"/>
      <c r="DX53" s="3"/>
      <c r="DY53" s="3"/>
      <c r="DZ53" s="3"/>
      <c r="EA53" s="3"/>
      <c r="EB53" s="3"/>
      <c r="EC53" s="3"/>
      <c r="ED53" s="3"/>
      <c r="EE53" s="3"/>
      <c r="EF53" s="3"/>
      <c r="EG53" s="3"/>
      <c r="EH53" s="3"/>
      <c r="EI53" s="3"/>
      <c r="EJ53" s="3"/>
      <c r="EK53" s="3"/>
      <c r="EL53" s="3"/>
      <c r="EM53" s="3"/>
      <c r="EN53" s="3"/>
      <c r="EO53" s="3"/>
      <c r="EP53" s="3"/>
      <c r="EQ53" s="3"/>
      <c r="ER53" s="3"/>
      <c r="ES53" s="3"/>
      <c r="ET53" s="3"/>
      <c r="EU53" s="3"/>
      <c r="EV53" s="3"/>
      <c r="EW53" s="3"/>
      <c r="EX53" s="3"/>
      <c r="EY53" s="3"/>
      <c r="EZ53" s="3"/>
      <c r="FA53" s="3"/>
      <c r="FB53" s="3"/>
      <c r="FC53" s="3"/>
      <c r="FD53" s="3"/>
      <c r="FE53" s="3"/>
      <c r="FF53" s="3"/>
      <c r="FG53" s="3"/>
      <c r="FH53" s="3"/>
      <c r="FI53" s="3"/>
      <c r="FJ53" s="3"/>
      <c r="FK53" s="3"/>
      <c r="FL53" s="3"/>
      <c r="FM53" s="3"/>
      <c r="FN53" s="3"/>
      <c r="FO53" s="3"/>
      <c r="FP53" s="3"/>
      <c r="FQ53" s="3"/>
      <c r="FR53" s="3"/>
      <c r="FS53" s="3"/>
      <c r="FT53" s="3"/>
      <c r="FU53" s="3"/>
      <c r="FV53" s="3"/>
      <c r="FW53" s="3"/>
      <c r="FX53" s="3"/>
      <c r="FY53" s="3"/>
      <c r="FZ53" s="3"/>
      <c r="GA53" s="3"/>
      <c r="GB53" s="3"/>
      <c r="GC53" s="3"/>
      <c r="GD53" s="3"/>
      <c r="GE53" s="3"/>
      <c r="GF53" s="3"/>
      <c r="GG53" s="3"/>
      <c r="GH53" s="3"/>
      <c r="GI53" s="3"/>
      <c r="GJ53" s="3"/>
      <c r="GK53" s="3"/>
      <c r="GL53" s="3"/>
      <c r="GM53" s="3"/>
      <c r="GN53" s="3"/>
      <c r="GO53" s="3"/>
      <c r="GP53" s="3"/>
      <c r="GQ53" s="3"/>
      <c r="GR53" s="3"/>
      <c r="GS53" s="3"/>
      <c r="GT53" s="3"/>
      <c r="GU53" s="3"/>
      <c r="GV53" s="3"/>
      <c r="GW53" s="3"/>
      <c r="GX53" s="3"/>
      <c r="GY53" s="3"/>
      <c r="GZ53" s="3"/>
      <c r="HA53" s="3"/>
      <c r="HB53" s="3"/>
      <c r="HC53" s="3"/>
      <c r="HD53" s="3"/>
      <c r="HE53" s="3"/>
      <c r="HF53" s="3"/>
    </row>
    <row r="54" spans="1:214" x14ac:dyDescent="0.25">
      <c r="A54" s="185"/>
      <c r="B54" s="182"/>
      <c r="C54" s="182"/>
      <c r="D54" s="182"/>
      <c r="E54" s="186"/>
      <c r="F54" s="179"/>
      <c r="G54" s="4"/>
      <c r="H54" s="4"/>
      <c r="I54" s="4"/>
      <c r="J54" s="4"/>
      <c r="K54" s="4"/>
      <c r="L54" s="114"/>
      <c r="M54" s="4"/>
      <c r="N54" s="4"/>
      <c r="O54" s="4"/>
      <c r="P54" s="4"/>
      <c r="Q54" s="4"/>
      <c r="R54" s="114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  <c r="DL54" s="3"/>
      <c r="DM54" s="3"/>
      <c r="DN54" s="3"/>
      <c r="DO54" s="3"/>
      <c r="DP54" s="3"/>
      <c r="DQ54" s="3"/>
      <c r="DR54" s="3"/>
      <c r="DS54" s="3"/>
      <c r="DT54" s="3"/>
      <c r="DU54" s="3"/>
      <c r="DV54" s="3"/>
      <c r="DW54" s="3"/>
      <c r="DX54" s="3"/>
      <c r="DY54" s="3"/>
      <c r="DZ54" s="3"/>
      <c r="EA54" s="3"/>
      <c r="EB54" s="3"/>
      <c r="EC54" s="3"/>
      <c r="ED54" s="3"/>
      <c r="EE54" s="3"/>
      <c r="EF54" s="3"/>
      <c r="EG54" s="3"/>
      <c r="EH54" s="3"/>
      <c r="EI54" s="3"/>
      <c r="EJ54" s="3"/>
      <c r="EK54" s="3"/>
      <c r="EL54" s="3"/>
      <c r="EM54" s="3"/>
      <c r="EN54" s="3"/>
      <c r="EO54" s="3"/>
      <c r="EP54" s="3"/>
      <c r="EQ54" s="3"/>
      <c r="ER54" s="3"/>
      <c r="ES54" s="3"/>
      <c r="ET54" s="3"/>
      <c r="EU54" s="3"/>
      <c r="EV54" s="3"/>
      <c r="EW54" s="3"/>
      <c r="EX54" s="3"/>
      <c r="EY54" s="3"/>
      <c r="EZ54" s="3"/>
      <c r="FA54" s="3"/>
      <c r="FB54" s="3"/>
      <c r="FC54" s="3"/>
      <c r="FD54" s="3"/>
      <c r="FE54" s="3"/>
      <c r="FF54" s="3"/>
      <c r="FG54" s="3"/>
      <c r="FH54" s="3"/>
      <c r="FI54" s="3"/>
      <c r="FJ54" s="3"/>
      <c r="FK54" s="3"/>
      <c r="FL54" s="3"/>
      <c r="FM54" s="3"/>
      <c r="FN54" s="3"/>
      <c r="FO54" s="3"/>
      <c r="FP54" s="3"/>
      <c r="FQ54" s="3"/>
      <c r="FR54" s="3"/>
      <c r="FS54" s="3"/>
      <c r="FT54" s="3"/>
      <c r="FU54" s="3"/>
      <c r="FV54" s="3"/>
      <c r="FW54" s="3"/>
      <c r="FX54" s="3"/>
      <c r="FY54" s="3"/>
      <c r="FZ54" s="3"/>
      <c r="GA54" s="3"/>
      <c r="GB54" s="3"/>
      <c r="GC54" s="3"/>
      <c r="GD54" s="3"/>
      <c r="GE54" s="3"/>
      <c r="GF54" s="3"/>
      <c r="GG54" s="3"/>
      <c r="GH54" s="3"/>
      <c r="GI54" s="3"/>
      <c r="GJ54" s="3"/>
      <c r="GK54" s="3"/>
      <c r="GL54" s="3"/>
      <c r="GM54" s="3"/>
      <c r="GN54" s="3"/>
      <c r="GO54" s="3"/>
      <c r="GP54" s="3"/>
      <c r="GQ54" s="3"/>
      <c r="GR54" s="3"/>
      <c r="GS54" s="3"/>
      <c r="GT54" s="3"/>
      <c r="GU54" s="3"/>
      <c r="GV54" s="3"/>
      <c r="GW54" s="3"/>
      <c r="GX54" s="3"/>
      <c r="GY54" s="3"/>
      <c r="GZ54" s="3"/>
      <c r="HA54" s="3"/>
      <c r="HB54" s="3"/>
      <c r="HC54" s="3"/>
      <c r="HD54" s="3"/>
      <c r="HE54" s="3"/>
      <c r="HF54" s="3"/>
    </row>
    <row r="55" spans="1:214" x14ac:dyDescent="0.25">
      <c r="A55" s="185"/>
      <c r="B55" s="182"/>
      <c r="C55" s="182"/>
      <c r="D55" s="182"/>
      <c r="E55" s="186"/>
      <c r="F55" s="179"/>
      <c r="G55" s="4"/>
      <c r="H55" s="4"/>
      <c r="I55" s="4"/>
      <c r="J55" s="4"/>
      <c r="K55" s="4"/>
      <c r="L55" s="114"/>
      <c r="M55" s="4"/>
      <c r="N55" s="4"/>
      <c r="O55" s="4"/>
      <c r="P55" s="4"/>
      <c r="Q55" s="4"/>
      <c r="R55" s="114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  <c r="CU55" s="3"/>
      <c r="CV55" s="3"/>
      <c r="CW55" s="3"/>
      <c r="CX55" s="3"/>
      <c r="CY55" s="3"/>
      <c r="CZ55" s="3"/>
      <c r="DA55" s="3"/>
      <c r="DB55" s="3"/>
      <c r="DC55" s="3"/>
      <c r="DD55" s="3"/>
      <c r="DE55" s="3"/>
      <c r="DF55" s="3"/>
      <c r="DG55" s="3"/>
      <c r="DH55" s="3"/>
      <c r="DI55" s="3"/>
      <c r="DJ55" s="3"/>
      <c r="DK55" s="3"/>
      <c r="DL55" s="3"/>
      <c r="DM55" s="3"/>
      <c r="DN55" s="3"/>
      <c r="DO55" s="3"/>
      <c r="DP55" s="3"/>
      <c r="DQ55" s="3"/>
      <c r="DR55" s="3"/>
      <c r="DS55" s="3"/>
      <c r="DT55" s="3"/>
      <c r="DU55" s="3"/>
      <c r="DV55" s="3"/>
      <c r="DW55" s="3"/>
      <c r="DX55" s="3"/>
      <c r="DY55" s="3"/>
      <c r="DZ55" s="3"/>
      <c r="EA55" s="3"/>
      <c r="EB55" s="3"/>
      <c r="EC55" s="3"/>
      <c r="ED55" s="3"/>
      <c r="EE55" s="3"/>
      <c r="EF55" s="3"/>
      <c r="EG55" s="3"/>
      <c r="EH55" s="3"/>
      <c r="EI55" s="3"/>
      <c r="EJ55" s="3"/>
      <c r="EK55" s="3"/>
      <c r="EL55" s="3"/>
      <c r="EM55" s="3"/>
      <c r="EN55" s="3"/>
      <c r="EO55" s="3"/>
      <c r="EP55" s="3"/>
      <c r="EQ55" s="3"/>
      <c r="ER55" s="3"/>
      <c r="ES55" s="3"/>
      <c r="ET55" s="3"/>
      <c r="EU55" s="3"/>
      <c r="EV55" s="3"/>
      <c r="EW55" s="3"/>
      <c r="EX55" s="3"/>
      <c r="EY55" s="3"/>
      <c r="EZ55" s="3"/>
      <c r="FA55" s="3"/>
      <c r="FB55" s="3"/>
      <c r="FC55" s="3"/>
      <c r="FD55" s="3"/>
      <c r="FE55" s="3"/>
      <c r="FF55" s="3"/>
      <c r="FG55" s="3"/>
      <c r="FH55" s="3"/>
      <c r="FI55" s="3"/>
      <c r="FJ55" s="3"/>
      <c r="FK55" s="3"/>
      <c r="FL55" s="3"/>
      <c r="FM55" s="3"/>
      <c r="FN55" s="3"/>
      <c r="FO55" s="3"/>
      <c r="FP55" s="3"/>
      <c r="FQ55" s="3"/>
      <c r="FR55" s="3"/>
      <c r="FS55" s="3"/>
      <c r="FT55" s="3"/>
      <c r="FU55" s="3"/>
      <c r="FV55" s="3"/>
      <c r="FW55" s="3"/>
      <c r="FX55" s="3"/>
      <c r="FY55" s="3"/>
      <c r="FZ55" s="3"/>
      <c r="GA55" s="3"/>
      <c r="GB55" s="3"/>
      <c r="GC55" s="3"/>
      <c r="GD55" s="3"/>
      <c r="GE55" s="3"/>
      <c r="GF55" s="3"/>
      <c r="GG55" s="3"/>
      <c r="GH55" s="3"/>
      <c r="GI55" s="3"/>
      <c r="GJ55" s="3"/>
      <c r="GK55" s="3"/>
      <c r="GL55" s="3"/>
      <c r="GM55" s="3"/>
      <c r="GN55" s="3"/>
      <c r="GO55" s="3"/>
      <c r="GP55" s="3"/>
      <c r="GQ55" s="3"/>
      <c r="GR55" s="3"/>
      <c r="GS55" s="3"/>
      <c r="GT55" s="3"/>
      <c r="GU55" s="3"/>
      <c r="GV55" s="3"/>
      <c r="GW55" s="3"/>
      <c r="GX55" s="3"/>
      <c r="GY55" s="3"/>
      <c r="GZ55" s="3"/>
      <c r="HA55" s="3"/>
      <c r="HB55" s="3"/>
      <c r="HC55" s="3"/>
      <c r="HD55" s="3"/>
      <c r="HE55" s="3"/>
      <c r="HF55" s="3"/>
    </row>
    <row r="56" spans="1:214" x14ac:dyDescent="0.25">
      <c r="A56" s="185"/>
      <c r="B56" s="182"/>
      <c r="C56" s="182"/>
      <c r="D56" s="182"/>
      <c r="E56" s="186"/>
      <c r="F56" s="179"/>
      <c r="G56" s="4"/>
      <c r="H56" s="4"/>
      <c r="I56" s="4"/>
      <c r="J56" s="4"/>
      <c r="K56" s="4"/>
      <c r="L56" s="114"/>
      <c r="M56" s="4"/>
      <c r="N56" s="4"/>
      <c r="O56" s="4"/>
      <c r="P56" s="4"/>
      <c r="Q56" s="4"/>
      <c r="R56" s="114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  <c r="CP56" s="3"/>
      <c r="CQ56" s="3"/>
      <c r="CR56" s="3"/>
      <c r="CS56" s="3"/>
      <c r="CT56" s="3"/>
      <c r="CU56" s="3"/>
      <c r="CV56" s="3"/>
      <c r="CW56" s="3"/>
      <c r="CX56" s="3"/>
      <c r="CY56" s="3"/>
      <c r="CZ56" s="3"/>
      <c r="DA56" s="3"/>
      <c r="DB56" s="3"/>
      <c r="DC56" s="3"/>
      <c r="DD56" s="3"/>
      <c r="DE56" s="3"/>
      <c r="DF56" s="3"/>
      <c r="DG56" s="3"/>
      <c r="DH56" s="3"/>
      <c r="DI56" s="3"/>
      <c r="DJ56" s="3"/>
      <c r="DK56" s="3"/>
      <c r="DL56" s="3"/>
      <c r="DM56" s="3"/>
      <c r="DN56" s="3"/>
      <c r="DO56" s="3"/>
      <c r="DP56" s="3"/>
      <c r="DQ56" s="3"/>
      <c r="DR56" s="3"/>
      <c r="DS56" s="3"/>
      <c r="DT56" s="3"/>
      <c r="DU56" s="3"/>
      <c r="DV56" s="3"/>
      <c r="DW56" s="3"/>
      <c r="DX56" s="3"/>
      <c r="DY56" s="3"/>
      <c r="DZ56" s="3"/>
      <c r="EA56" s="3"/>
      <c r="EB56" s="3"/>
      <c r="EC56" s="3"/>
      <c r="ED56" s="3"/>
      <c r="EE56" s="3"/>
      <c r="EF56" s="3"/>
      <c r="EG56" s="3"/>
      <c r="EH56" s="3"/>
      <c r="EI56" s="3"/>
      <c r="EJ56" s="3"/>
      <c r="EK56" s="3"/>
      <c r="EL56" s="3"/>
      <c r="EM56" s="3"/>
      <c r="EN56" s="3"/>
      <c r="EO56" s="3"/>
      <c r="EP56" s="3"/>
      <c r="EQ56" s="3"/>
      <c r="ER56" s="3"/>
      <c r="ES56" s="3"/>
      <c r="ET56" s="3"/>
      <c r="EU56" s="3"/>
      <c r="EV56" s="3"/>
      <c r="EW56" s="3"/>
      <c r="EX56" s="3"/>
      <c r="EY56" s="3"/>
      <c r="EZ56" s="3"/>
      <c r="FA56" s="3"/>
      <c r="FB56" s="3"/>
      <c r="FC56" s="3"/>
      <c r="FD56" s="3"/>
      <c r="FE56" s="3"/>
      <c r="FF56" s="3"/>
      <c r="FG56" s="3"/>
      <c r="FH56" s="3"/>
      <c r="FI56" s="3"/>
      <c r="FJ56" s="3"/>
      <c r="FK56" s="3"/>
      <c r="FL56" s="3"/>
      <c r="FM56" s="3"/>
      <c r="FN56" s="3"/>
      <c r="FO56" s="3"/>
      <c r="FP56" s="3"/>
      <c r="FQ56" s="3"/>
      <c r="FR56" s="3"/>
      <c r="FS56" s="3"/>
      <c r="FT56" s="3"/>
      <c r="FU56" s="3"/>
      <c r="FV56" s="3"/>
      <c r="FW56" s="3"/>
      <c r="FX56" s="3"/>
      <c r="FY56" s="3"/>
      <c r="FZ56" s="3"/>
      <c r="GA56" s="3"/>
      <c r="GB56" s="3"/>
      <c r="GC56" s="3"/>
      <c r="GD56" s="3"/>
      <c r="GE56" s="3"/>
      <c r="GF56" s="3"/>
      <c r="GG56" s="3"/>
      <c r="GH56" s="3"/>
      <c r="GI56" s="3"/>
      <c r="GJ56" s="3"/>
      <c r="GK56" s="3"/>
      <c r="GL56" s="3"/>
      <c r="GM56" s="3"/>
      <c r="GN56" s="3"/>
      <c r="GO56" s="3"/>
      <c r="GP56" s="3"/>
      <c r="GQ56" s="3"/>
      <c r="GR56" s="3"/>
      <c r="GS56" s="3"/>
      <c r="GT56" s="3"/>
      <c r="GU56" s="3"/>
      <c r="GV56" s="3"/>
      <c r="GW56" s="3"/>
      <c r="GX56" s="3"/>
      <c r="GY56" s="3"/>
      <c r="GZ56" s="3"/>
      <c r="HA56" s="3"/>
      <c r="HB56" s="3"/>
      <c r="HC56" s="3"/>
      <c r="HD56" s="3"/>
      <c r="HE56" s="3"/>
      <c r="HF56" s="3"/>
    </row>
    <row r="57" spans="1:214" x14ac:dyDescent="0.25">
      <c r="A57" s="185"/>
      <c r="B57" s="182"/>
      <c r="C57" s="182"/>
      <c r="D57" s="182"/>
      <c r="E57" s="186"/>
      <c r="F57" s="179"/>
      <c r="G57" s="4"/>
      <c r="H57" s="4"/>
      <c r="I57" s="4"/>
      <c r="J57" s="4"/>
      <c r="K57" s="4"/>
      <c r="L57" s="114"/>
      <c r="M57" s="4"/>
      <c r="N57" s="4"/>
      <c r="O57" s="4"/>
      <c r="P57" s="4"/>
      <c r="Q57" s="4"/>
      <c r="R57" s="114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  <c r="CP57" s="3"/>
      <c r="CQ57" s="3"/>
      <c r="CR57" s="3"/>
      <c r="CS57" s="3"/>
      <c r="CT57" s="3"/>
      <c r="CU57" s="3"/>
      <c r="CV57" s="3"/>
      <c r="CW57" s="3"/>
      <c r="CX57" s="3"/>
      <c r="CY57" s="3"/>
      <c r="CZ57" s="3"/>
      <c r="DA57" s="3"/>
      <c r="DB57" s="3"/>
      <c r="DC57" s="3"/>
      <c r="DD57" s="3"/>
      <c r="DE57" s="3"/>
      <c r="DF57" s="3"/>
      <c r="DG57" s="3"/>
      <c r="DH57" s="3"/>
      <c r="DI57" s="3"/>
      <c r="DJ57" s="3"/>
      <c r="DK57" s="3"/>
      <c r="DL57" s="3"/>
      <c r="DM57" s="3"/>
      <c r="DN57" s="3"/>
      <c r="DO57" s="3"/>
      <c r="DP57" s="3"/>
      <c r="DQ57" s="3"/>
      <c r="DR57" s="3"/>
      <c r="DS57" s="3"/>
      <c r="DT57" s="3"/>
      <c r="DU57" s="3"/>
      <c r="DV57" s="3"/>
      <c r="DW57" s="3"/>
      <c r="DX57" s="3"/>
      <c r="DY57" s="3"/>
      <c r="DZ57" s="3"/>
      <c r="EA57" s="3"/>
      <c r="EB57" s="3"/>
      <c r="EC57" s="3"/>
      <c r="ED57" s="3"/>
      <c r="EE57" s="3"/>
      <c r="EF57" s="3"/>
      <c r="EG57" s="3"/>
      <c r="EH57" s="3"/>
      <c r="EI57" s="3"/>
      <c r="EJ57" s="3"/>
      <c r="EK57" s="3"/>
      <c r="EL57" s="3"/>
      <c r="EM57" s="3"/>
      <c r="EN57" s="3"/>
      <c r="EO57" s="3"/>
      <c r="EP57" s="3"/>
      <c r="EQ57" s="3"/>
      <c r="ER57" s="3"/>
      <c r="ES57" s="3"/>
      <c r="ET57" s="3"/>
      <c r="EU57" s="3"/>
      <c r="EV57" s="3"/>
      <c r="EW57" s="3"/>
      <c r="EX57" s="3"/>
      <c r="EY57" s="3"/>
      <c r="EZ57" s="3"/>
      <c r="FA57" s="3"/>
      <c r="FB57" s="3"/>
      <c r="FC57" s="3"/>
      <c r="FD57" s="3"/>
      <c r="FE57" s="3"/>
      <c r="FF57" s="3"/>
      <c r="FG57" s="3"/>
      <c r="FH57" s="3"/>
      <c r="FI57" s="3"/>
      <c r="FJ57" s="3"/>
      <c r="FK57" s="3"/>
      <c r="FL57" s="3"/>
      <c r="FM57" s="3"/>
      <c r="FN57" s="3"/>
      <c r="FO57" s="3"/>
      <c r="FP57" s="3"/>
      <c r="FQ57" s="3"/>
      <c r="FR57" s="3"/>
      <c r="FS57" s="3"/>
      <c r="FT57" s="3"/>
      <c r="FU57" s="3"/>
      <c r="FV57" s="3"/>
      <c r="FW57" s="3"/>
      <c r="FX57" s="3"/>
      <c r="FY57" s="3"/>
      <c r="FZ57" s="3"/>
      <c r="GA57" s="3"/>
      <c r="GB57" s="3"/>
      <c r="GC57" s="3"/>
      <c r="GD57" s="3"/>
      <c r="GE57" s="3"/>
      <c r="GF57" s="3"/>
      <c r="GG57" s="3"/>
      <c r="GH57" s="3"/>
      <c r="GI57" s="3"/>
      <c r="GJ57" s="3"/>
      <c r="GK57" s="3"/>
      <c r="GL57" s="3"/>
      <c r="GM57" s="3"/>
      <c r="GN57" s="3"/>
      <c r="GO57" s="3"/>
      <c r="GP57" s="3"/>
      <c r="GQ57" s="3"/>
      <c r="GR57" s="3"/>
      <c r="GS57" s="3"/>
      <c r="GT57" s="3"/>
      <c r="GU57" s="3"/>
      <c r="GV57" s="3"/>
      <c r="GW57" s="3"/>
      <c r="GX57" s="3"/>
      <c r="GY57" s="3"/>
      <c r="GZ57" s="3"/>
      <c r="HA57" s="3"/>
      <c r="HB57" s="3"/>
      <c r="HC57" s="3"/>
      <c r="HD57" s="3"/>
      <c r="HE57" s="3"/>
      <c r="HF57" s="3"/>
    </row>
    <row r="58" spans="1:214" x14ac:dyDescent="0.25">
      <c r="A58" s="185"/>
      <c r="B58" s="182"/>
      <c r="C58" s="182"/>
      <c r="D58" s="182"/>
      <c r="E58" s="186"/>
      <c r="F58" s="179"/>
      <c r="G58" s="4"/>
      <c r="H58" s="4"/>
      <c r="I58" s="4"/>
      <c r="J58" s="4"/>
      <c r="K58" s="4"/>
      <c r="L58" s="114"/>
      <c r="M58" s="4"/>
      <c r="N58" s="4"/>
      <c r="O58" s="4"/>
      <c r="P58" s="4"/>
      <c r="Q58" s="4"/>
      <c r="R58" s="114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  <c r="CU58" s="3"/>
      <c r="CV58" s="3"/>
      <c r="CW58" s="3"/>
      <c r="CX58" s="3"/>
      <c r="CY58" s="3"/>
      <c r="CZ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  <c r="DL58" s="3"/>
      <c r="DM58" s="3"/>
      <c r="DN58" s="3"/>
      <c r="DO58" s="3"/>
      <c r="DP58" s="3"/>
      <c r="DQ58" s="3"/>
      <c r="DR58" s="3"/>
      <c r="DS58" s="3"/>
      <c r="DT58" s="3"/>
      <c r="DU58" s="3"/>
      <c r="DV58" s="3"/>
      <c r="DW58" s="3"/>
      <c r="DX58" s="3"/>
      <c r="DY58" s="3"/>
      <c r="DZ58" s="3"/>
      <c r="EA58" s="3"/>
      <c r="EB58" s="3"/>
      <c r="EC58" s="3"/>
      <c r="ED58" s="3"/>
      <c r="EE58" s="3"/>
      <c r="EF58" s="3"/>
      <c r="EG58" s="3"/>
      <c r="EH58" s="3"/>
      <c r="EI58" s="3"/>
      <c r="EJ58" s="3"/>
      <c r="EK58" s="3"/>
      <c r="EL58" s="3"/>
      <c r="EM58" s="3"/>
      <c r="EN58" s="3"/>
      <c r="EO58" s="3"/>
      <c r="EP58" s="3"/>
      <c r="EQ58" s="3"/>
      <c r="ER58" s="3"/>
      <c r="ES58" s="3"/>
      <c r="ET58" s="3"/>
      <c r="EU58" s="3"/>
      <c r="EV58" s="3"/>
      <c r="EW58" s="3"/>
      <c r="EX58" s="3"/>
      <c r="EY58" s="3"/>
      <c r="EZ58" s="3"/>
      <c r="FA58" s="3"/>
      <c r="FB58" s="3"/>
      <c r="FC58" s="3"/>
      <c r="FD58" s="3"/>
      <c r="FE58" s="3"/>
      <c r="FF58" s="3"/>
      <c r="FG58" s="3"/>
      <c r="FH58" s="3"/>
      <c r="FI58" s="3"/>
      <c r="FJ58" s="3"/>
      <c r="FK58" s="3"/>
      <c r="FL58" s="3"/>
      <c r="FM58" s="3"/>
      <c r="FN58" s="3"/>
      <c r="FO58" s="3"/>
      <c r="FP58" s="3"/>
      <c r="FQ58" s="3"/>
      <c r="FR58" s="3"/>
      <c r="FS58" s="3"/>
      <c r="FT58" s="3"/>
      <c r="FU58" s="3"/>
      <c r="FV58" s="3"/>
      <c r="FW58" s="3"/>
      <c r="FX58" s="3"/>
      <c r="FY58" s="3"/>
      <c r="FZ58" s="3"/>
      <c r="GA58" s="3"/>
      <c r="GB58" s="3"/>
      <c r="GC58" s="3"/>
      <c r="GD58" s="3"/>
      <c r="GE58" s="3"/>
      <c r="GF58" s="3"/>
      <c r="GG58" s="3"/>
      <c r="GH58" s="3"/>
      <c r="GI58" s="3"/>
      <c r="GJ58" s="3"/>
      <c r="GK58" s="3"/>
      <c r="GL58" s="3"/>
      <c r="GM58" s="3"/>
      <c r="GN58" s="3"/>
      <c r="GO58" s="3"/>
      <c r="GP58" s="3"/>
      <c r="GQ58" s="3"/>
      <c r="GR58" s="3"/>
      <c r="GS58" s="3"/>
      <c r="GT58" s="3"/>
      <c r="GU58" s="3"/>
      <c r="GV58" s="3"/>
      <c r="GW58" s="3"/>
      <c r="GX58" s="3"/>
      <c r="GY58" s="3"/>
      <c r="GZ58" s="3"/>
      <c r="HA58" s="3"/>
      <c r="HB58" s="3"/>
      <c r="HC58" s="3"/>
      <c r="HD58" s="3"/>
      <c r="HE58" s="3"/>
      <c r="HF58" s="3"/>
    </row>
    <row r="59" spans="1:214" x14ac:dyDescent="0.25">
      <c r="A59" s="185"/>
      <c r="B59" s="182"/>
      <c r="C59" s="182"/>
      <c r="D59" s="182"/>
      <c r="E59" s="186"/>
      <c r="F59" s="179"/>
      <c r="G59" s="4"/>
      <c r="H59" s="4"/>
      <c r="I59" s="4"/>
      <c r="J59" s="4"/>
      <c r="K59" s="4"/>
      <c r="L59" s="114"/>
      <c r="M59" s="4"/>
      <c r="N59" s="4"/>
      <c r="O59" s="4"/>
      <c r="P59" s="4"/>
      <c r="Q59" s="4"/>
      <c r="R59" s="114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  <c r="CP59" s="3"/>
      <c r="CQ59" s="3"/>
      <c r="CR59" s="3"/>
      <c r="CS59" s="3"/>
      <c r="CT59" s="3"/>
      <c r="CU59" s="3"/>
      <c r="CV59" s="3"/>
      <c r="CW59" s="3"/>
      <c r="CX59" s="3"/>
      <c r="CY59" s="3"/>
      <c r="CZ59" s="3"/>
      <c r="DA59" s="3"/>
      <c r="DB59" s="3"/>
      <c r="DC59" s="3"/>
      <c r="DD59" s="3"/>
      <c r="DE59" s="3"/>
      <c r="DF59" s="3"/>
      <c r="DG59" s="3"/>
      <c r="DH59" s="3"/>
      <c r="DI59" s="3"/>
      <c r="DJ59" s="3"/>
      <c r="DK59" s="3"/>
      <c r="DL59" s="3"/>
      <c r="DM59" s="3"/>
      <c r="DN59" s="3"/>
      <c r="DO59" s="3"/>
      <c r="DP59" s="3"/>
      <c r="DQ59" s="3"/>
      <c r="DR59" s="3"/>
      <c r="DS59" s="3"/>
      <c r="DT59" s="3"/>
      <c r="DU59" s="3"/>
      <c r="DV59" s="3"/>
      <c r="DW59" s="3"/>
      <c r="DX59" s="3"/>
      <c r="DY59" s="3"/>
      <c r="DZ59" s="3"/>
      <c r="EA59" s="3"/>
      <c r="EB59" s="3"/>
      <c r="EC59" s="3"/>
      <c r="ED59" s="3"/>
      <c r="EE59" s="3"/>
      <c r="EF59" s="3"/>
      <c r="EG59" s="3"/>
      <c r="EH59" s="3"/>
      <c r="EI59" s="3"/>
      <c r="EJ59" s="3"/>
      <c r="EK59" s="3"/>
      <c r="EL59" s="3"/>
      <c r="EM59" s="3"/>
      <c r="EN59" s="3"/>
      <c r="EO59" s="3"/>
      <c r="EP59" s="3"/>
      <c r="EQ59" s="3"/>
      <c r="ER59" s="3"/>
      <c r="ES59" s="3"/>
      <c r="ET59" s="3"/>
      <c r="EU59" s="3"/>
      <c r="EV59" s="3"/>
      <c r="EW59" s="3"/>
      <c r="EX59" s="3"/>
      <c r="EY59" s="3"/>
      <c r="EZ59" s="3"/>
      <c r="FA59" s="3"/>
      <c r="FB59" s="3"/>
      <c r="FC59" s="3"/>
      <c r="FD59" s="3"/>
      <c r="FE59" s="3"/>
      <c r="FF59" s="3"/>
      <c r="FG59" s="3"/>
      <c r="FH59" s="3"/>
      <c r="FI59" s="3"/>
      <c r="FJ59" s="3"/>
      <c r="FK59" s="3"/>
      <c r="FL59" s="3"/>
      <c r="FM59" s="3"/>
      <c r="FN59" s="3"/>
      <c r="FO59" s="3"/>
      <c r="FP59" s="3"/>
      <c r="FQ59" s="3"/>
      <c r="FR59" s="3"/>
      <c r="FS59" s="3"/>
      <c r="FT59" s="3"/>
      <c r="FU59" s="3"/>
      <c r="FV59" s="3"/>
      <c r="FW59" s="3"/>
      <c r="FX59" s="3"/>
      <c r="FY59" s="3"/>
      <c r="FZ59" s="3"/>
      <c r="GA59" s="3"/>
      <c r="GB59" s="3"/>
      <c r="GC59" s="3"/>
      <c r="GD59" s="3"/>
      <c r="GE59" s="3"/>
      <c r="GF59" s="3"/>
      <c r="GG59" s="3"/>
      <c r="GH59" s="3"/>
      <c r="GI59" s="3"/>
      <c r="GJ59" s="3"/>
      <c r="GK59" s="3"/>
      <c r="GL59" s="3"/>
      <c r="GM59" s="3"/>
      <c r="GN59" s="3"/>
      <c r="GO59" s="3"/>
      <c r="GP59" s="3"/>
      <c r="GQ59" s="3"/>
      <c r="GR59" s="3"/>
      <c r="GS59" s="3"/>
      <c r="GT59" s="3"/>
      <c r="GU59" s="3"/>
      <c r="GV59" s="3"/>
      <c r="GW59" s="3"/>
      <c r="GX59" s="3"/>
      <c r="GY59" s="3"/>
      <c r="GZ59" s="3"/>
      <c r="HA59" s="3"/>
      <c r="HB59" s="3"/>
      <c r="HC59" s="3"/>
      <c r="HD59" s="3"/>
      <c r="HE59" s="3"/>
      <c r="HF59" s="3"/>
    </row>
    <row r="60" spans="1:214" x14ac:dyDescent="0.25">
      <c r="A60" s="185"/>
      <c r="B60" s="182"/>
      <c r="C60" s="182"/>
      <c r="D60" s="182"/>
      <c r="E60" s="186"/>
      <c r="F60" s="179"/>
      <c r="G60" s="4"/>
      <c r="H60" s="4"/>
      <c r="I60" s="4"/>
      <c r="J60" s="4"/>
      <c r="K60" s="4"/>
      <c r="L60" s="114"/>
      <c r="M60" s="4"/>
      <c r="N60" s="4"/>
      <c r="O60" s="4"/>
      <c r="P60" s="4"/>
      <c r="Q60" s="4"/>
      <c r="R60" s="114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  <c r="DK60" s="3"/>
      <c r="DL60" s="3"/>
      <c r="DM60" s="3"/>
      <c r="DN60" s="3"/>
      <c r="DO60" s="3"/>
      <c r="DP60" s="3"/>
      <c r="DQ60" s="3"/>
      <c r="DR60" s="3"/>
      <c r="DS60" s="3"/>
      <c r="DT60" s="3"/>
      <c r="DU60" s="3"/>
      <c r="DV60" s="3"/>
      <c r="DW60" s="3"/>
      <c r="DX60" s="3"/>
      <c r="DY60" s="3"/>
      <c r="DZ60" s="3"/>
      <c r="EA60" s="3"/>
      <c r="EB60" s="3"/>
      <c r="EC60" s="3"/>
      <c r="ED60" s="3"/>
      <c r="EE60" s="3"/>
      <c r="EF60" s="3"/>
      <c r="EG60" s="3"/>
      <c r="EH60" s="3"/>
      <c r="EI60" s="3"/>
      <c r="EJ60" s="3"/>
      <c r="EK60" s="3"/>
      <c r="EL60" s="3"/>
      <c r="EM60" s="3"/>
      <c r="EN60" s="3"/>
      <c r="EO60" s="3"/>
      <c r="EP60" s="3"/>
      <c r="EQ60" s="3"/>
      <c r="ER60" s="3"/>
      <c r="ES60" s="3"/>
      <c r="ET60" s="3"/>
      <c r="EU60" s="3"/>
      <c r="EV60" s="3"/>
      <c r="EW60" s="3"/>
      <c r="EX60" s="3"/>
      <c r="EY60" s="3"/>
      <c r="EZ60" s="3"/>
      <c r="FA60" s="3"/>
      <c r="FB60" s="3"/>
      <c r="FC60" s="3"/>
      <c r="FD60" s="3"/>
      <c r="FE60" s="3"/>
      <c r="FF60" s="3"/>
      <c r="FG60" s="3"/>
      <c r="FH60" s="3"/>
      <c r="FI60" s="3"/>
      <c r="FJ60" s="3"/>
      <c r="FK60" s="3"/>
      <c r="FL60" s="3"/>
      <c r="FM60" s="3"/>
      <c r="FN60" s="3"/>
      <c r="FO60" s="3"/>
      <c r="FP60" s="3"/>
      <c r="FQ60" s="3"/>
      <c r="FR60" s="3"/>
      <c r="FS60" s="3"/>
      <c r="FT60" s="3"/>
      <c r="FU60" s="3"/>
      <c r="FV60" s="3"/>
      <c r="FW60" s="3"/>
      <c r="FX60" s="3"/>
      <c r="FY60" s="3"/>
      <c r="FZ60" s="3"/>
      <c r="GA60" s="3"/>
      <c r="GB60" s="3"/>
      <c r="GC60" s="3"/>
      <c r="GD60" s="3"/>
      <c r="GE60" s="3"/>
      <c r="GF60" s="3"/>
      <c r="GG60" s="3"/>
      <c r="GH60" s="3"/>
      <c r="GI60" s="3"/>
      <c r="GJ60" s="3"/>
      <c r="GK60" s="3"/>
      <c r="GL60" s="3"/>
      <c r="GM60" s="3"/>
      <c r="GN60" s="3"/>
      <c r="GO60" s="3"/>
      <c r="GP60" s="3"/>
      <c r="GQ60" s="3"/>
      <c r="GR60" s="3"/>
      <c r="GS60" s="3"/>
      <c r="GT60" s="3"/>
      <c r="GU60" s="3"/>
      <c r="GV60" s="3"/>
      <c r="GW60" s="3"/>
      <c r="GX60" s="3"/>
      <c r="GY60" s="3"/>
      <c r="GZ60" s="3"/>
      <c r="HA60" s="3"/>
      <c r="HB60" s="3"/>
      <c r="HC60" s="3"/>
      <c r="HD60" s="3"/>
      <c r="HE60" s="3"/>
      <c r="HF60" s="3"/>
    </row>
    <row r="61" spans="1:214" x14ac:dyDescent="0.25">
      <c r="A61" s="185"/>
      <c r="B61" s="182"/>
      <c r="C61" s="182"/>
      <c r="D61" s="182"/>
      <c r="E61" s="186"/>
      <c r="F61" s="179"/>
      <c r="G61" s="4"/>
      <c r="H61" s="4"/>
      <c r="I61" s="4"/>
      <c r="J61" s="4"/>
      <c r="K61" s="4"/>
      <c r="L61" s="114"/>
      <c r="M61" s="4"/>
      <c r="N61" s="4"/>
      <c r="O61" s="4"/>
      <c r="P61" s="4"/>
      <c r="Q61" s="4"/>
      <c r="R61" s="114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3"/>
      <c r="CQ61" s="3"/>
      <c r="CR61" s="3"/>
      <c r="CS61" s="3"/>
      <c r="CT61" s="3"/>
      <c r="CU61" s="3"/>
      <c r="CV61" s="3"/>
      <c r="CW61" s="3"/>
      <c r="CX61" s="3"/>
      <c r="CY61" s="3"/>
      <c r="CZ61" s="3"/>
      <c r="DA61" s="3"/>
      <c r="DB61" s="3"/>
      <c r="DC61" s="3"/>
      <c r="DD61" s="3"/>
      <c r="DE61" s="3"/>
      <c r="DF61" s="3"/>
      <c r="DG61" s="3"/>
      <c r="DH61" s="3"/>
      <c r="DI61" s="3"/>
      <c r="DJ61" s="3"/>
      <c r="DK61" s="3"/>
      <c r="DL61" s="3"/>
      <c r="DM61" s="3"/>
      <c r="DN61" s="3"/>
      <c r="DO61" s="3"/>
      <c r="DP61" s="3"/>
      <c r="DQ61" s="3"/>
      <c r="DR61" s="3"/>
      <c r="DS61" s="3"/>
      <c r="DT61" s="3"/>
      <c r="DU61" s="3"/>
      <c r="DV61" s="3"/>
      <c r="DW61" s="3"/>
      <c r="DX61" s="3"/>
      <c r="DY61" s="3"/>
      <c r="DZ61" s="3"/>
      <c r="EA61" s="3"/>
      <c r="EB61" s="3"/>
      <c r="EC61" s="3"/>
      <c r="ED61" s="3"/>
      <c r="EE61" s="3"/>
      <c r="EF61" s="3"/>
      <c r="EG61" s="3"/>
      <c r="EH61" s="3"/>
      <c r="EI61" s="3"/>
      <c r="EJ61" s="3"/>
      <c r="EK61" s="3"/>
      <c r="EL61" s="3"/>
      <c r="EM61" s="3"/>
      <c r="EN61" s="3"/>
      <c r="EO61" s="3"/>
      <c r="EP61" s="3"/>
      <c r="EQ61" s="3"/>
      <c r="ER61" s="3"/>
      <c r="ES61" s="3"/>
      <c r="ET61" s="3"/>
      <c r="EU61" s="3"/>
      <c r="EV61" s="3"/>
      <c r="EW61" s="3"/>
      <c r="EX61" s="3"/>
      <c r="EY61" s="3"/>
      <c r="EZ61" s="3"/>
      <c r="FA61" s="3"/>
      <c r="FB61" s="3"/>
      <c r="FC61" s="3"/>
      <c r="FD61" s="3"/>
      <c r="FE61" s="3"/>
      <c r="FF61" s="3"/>
      <c r="FG61" s="3"/>
      <c r="FH61" s="3"/>
      <c r="FI61" s="3"/>
      <c r="FJ61" s="3"/>
      <c r="FK61" s="3"/>
      <c r="FL61" s="3"/>
      <c r="FM61" s="3"/>
      <c r="FN61" s="3"/>
      <c r="FO61" s="3"/>
      <c r="FP61" s="3"/>
      <c r="FQ61" s="3"/>
      <c r="FR61" s="3"/>
      <c r="FS61" s="3"/>
      <c r="FT61" s="3"/>
      <c r="FU61" s="3"/>
      <c r="FV61" s="3"/>
      <c r="FW61" s="3"/>
      <c r="FX61" s="3"/>
      <c r="FY61" s="3"/>
      <c r="FZ61" s="3"/>
      <c r="GA61" s="3"/>
      <c r="GB61" s="3"/>
      <c r="GC61" s="3"/>
      <c r="GD61" s="3"/>
      <c r="GE61" s="3"/>
      <c r="GF61" s="3"/>
      <c r="GG61" s="3"/>
      <c r="GH61" s="3"/>
      <c r="GI61" s="3"/>
      <c r="GJ61" s="3"/>
      <c r="GK61" s="3"/>
      <c r="GL61" s="3"/>
      <c r="GM61" s="3"/>
      <c r="GN61" s="3"/>
      <c r="GO61" s="3"/>
      <c r="GP61" s="3"/>
      <c r="GQ61" s="3"/>
      <c r="GR61" s="3"/>
      <c r="GS61" s="3"/>
      <c r="GT61" s="3"/>
      <c r="GU61" s="3"/>
      <c r="GV61" s="3"/>
      <c r="GW61" s="3"/>
      <c r="GX61" s="3"/>
      <c r="GY61" s="3"/>
      <c r="GZ61" s="3"/>
      <c r="HA61" s="3"/>
      <c r="HB61" s="3"/>
      <c r="HC61" s="3"/>
      <c r="HD61" s="3"/>
      <c r="HE61" s="3"/>
      <c r="HF61" s="3"/>
    </row>
    <row r="62" spans="1:214" x14ac:dyDescent="0.25">
      <c r="A62" s="185"/>
      <c r="B62" s="182"/>
      <c r="C62" s="182"/>
      <c r="D62" s="182"/>
      <c r="E62" s="186"/>
      <c r="F62" s="179"/>
      <c r="G62" s="4"/>
      <c r="H62" s="4"/>
      <c r="I62" s="4"/>
      <c r="J62" s="4"/>
      <c r="K62" s="4"/>
      <c r="L62" s="114"/>
      <c r="M62" s="4"/>
      <c r="N62" s="4"/>
      <c r="O62" s="4"/>
      <c r="P62" s="4"/>
      <c r="Q62" s="4"/>
      <c r="R62" s="114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  <c r="CP62" s="3"/>
      <c r="CQ62" s="3"/>
      <c r="CR62" s="3"/>
      <c r="CS62" s="3"/>
      <c r="CT62" s="3"/>
      <c r="CU62" s="3"/>
      <c r="CV62" s="3"/>
      <c r="CW62" s="3"/>
      <c r="CX62" s="3"/>
      <c r="CY62" s="3"/>
      <c r="CZ62" s="3"/>
      <c r="DA62" s="3"/>
      <c r="DB62" s="3"/>
      <c r="DC62" s="3"/>
      <c r="DD62" s="3"/>
      <c r="DE62" s="3"/>
      <c r="DF62" s="3"/>
      <c r="DG62" s="3"/>
      <c r="DH62" s="3"/>
      <c r="DI62" s="3"/>
      <c r="DJ62" s="3"/>
      <c r="DK62" s="3"/>
      <c r="DL62" s="3"/>
      <c r="DM62" s="3"/>
      <c r="DN62" s="3"/>
      <c r="DO62" s="3"/>
      <c r="DP62" s="3"/>
      <c r="DQ62" s="3"/>
      <c r="DR62" s="3"/>
      <c r="DS62" s="3"/>
      <c r="DT62" s="3"/>
      <c r="DU62" s="3"/>
      <c r="DV62" s="3"/>
      <c r="DW62" s="3"/>
      <c r="DX62" s="3"/>
      <c r="DY62" s="3"/>
      <c r="DZ62" s="3"/>
      <c r="EA62" s="3"/>
      <c r="EB62" s="3"/>
      <c r="EC62" s="3"/>
      <c r="ED62" s="3"/>
      <c r="EE62" s="3"/>
      <c r="EF62" s="3"/>
      <c r="EG62" s="3"/>
      <c r="EH62" s="3"/>
      <c r="EI62" s="3"/>
      <c r="EJ62" s="3"/>
      <c r="EK62" s="3"/>
      <c r="EL62" s="3"/>
      <c r="EM62" s="3"/>
      <c r="EN62" s="3"/>
      <c r="EO62" s="3"/>
      <c r="EP62" s="3"/>
      <c r="EQ62" s="3"/>
      <c r="ER62" s="3"/>
      <c r="ES62" s="3"/>
      <c r="ET62" s="3"/>
      <c r="EU62" s="3"/>
      <c r="EV62" s="3"/>
      <c r="EW62" s="3"/>
      <c r="EX62" s="3"/>
      <c r="EY62" s="3"/>
      <c r="EZ62" s="3"/>
      <c r="FA62" s="3"/>
      <c r="FB62" s="3"/>
      <c r="FC62" s="3"/>
      <c r="FD62" s="3"/>
      <c r="FE62" s="3"/>
      <c r="FF62" s="3"/>
      <c r="FG62" s="3"/>
      <c r="FH62" s="3"/>
      <c r="FI62" s="3"/>
      <c r="FJ62" s="3"/>
      <c r="FK62" s="3"/>
      <c r="FL62" s="3"/>
      <c r="FM62" s="3"/>
      <c r="FN62" s="3"/>
      <c r="FO62" s="3"/>
      <c r="FP62" s="3"/>
      <c r="FQ62" s="3"/>
      <c r="FR62" s="3"/>
      <c r="FS62" s="3"/>
      <c r="FT62" s="3"/>
      <c r="FU62" s="3"/>
      <c r="FV62" s="3"/>
      <c r="FW62" s="3"/>
      <c r="FX62" s="3"/>
      <c r="FY62" s="3"/>
      <c r="FZ62" s="3"/>
      <c r="GA62" s="3"/>
      <c r="GB62" s="3"/>
      <c r="GC62" s="3"/>
      <c r="GD62" s="3"/>
      <c r="GE62" s="3"/>
      <c r="GF62" s="3"/>
      <c r="GG62" s="3"/>
      <c r="GH62" s="3"/>
      <c r="GI62" s="3"/>
      <c r="GJ62" s="3"/>
      <c r="GK62" s="3"/>
      <c r="GL62" s="3"/>
      <c r="GM62" s="3"/>
      <c r="GN62" s="3"/>
      <c r="GO62" s="3"/>
      <c r="GP62" s="3"/>
      <c r="GQ62" s="3"/>
      <c r="GR62" s="3"/>
      <c r="GS62" s="3"/>
      <c r="GT62" s="3"/>
      <c r="GU62" s="3"/>
      <c r="GV62" s="3"/>
      <c r="GW62" s="3"/>
      <c r="GX62" s="3"/>
      <c r="GY62" s="3"/>
      <c r="GZ62" s="3"/>
      <c r="HA62" s="3"/>
      <c r="HB62" s="3"/>
      <c r="HC62" s="3"/>
      <c r="HD62" s="3"/>
      <c r="HE62" s="3"/>
      <c r="HF62" s="3"/>
    </row>
    <row r="63" spans="1:214" x14ac:dyDescent="0.25">
      <c r="A63" s="185"/>
      <c r="B63" s="182"/>
      <c r="C63" s="182"/>
      <c r="D63" s="182"/>
      <c r="E63" s="186"/>
      <c r="F63" s="179"/>
      <c r="G63" s="4"/>
      <c r="H63" s="4"/>
      <c r="I63" s="4"/>
      <c r="J63" s="4"/>
      <c r="K63" s="4"/>
      <c r="L63" s="114"/>
      <c r="M63" s="4"/>
      <c r="N63" s="4"/>
      <c r="O63" s="4"/>
      <c r="P63" s="4"/>
      <c r="Q63" s="4"/>
      <c r="R63" s="114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  <c r="CT63" s="3"/>
      <c r="CU63" s="3"/>
      <c r="CV63" s="3"/>
      <c r="CW63" s="3"/>
      <c r="CX63" s="3"/>
      <c r="CY63" s="3"/>
      <c r="CZ63" s="3"/>
      <c r="DA63" s="3"/>
      <c r="DB63" s="3"/>
      <c r="DC63" s="3"/>
      <c r="DD63" s="3"/>
      <c r="DE63" s="3"/>
      <c r="DF63" s="3"/>
      <c r="DG63" s="3"/>
      <c r="DH63" s="3"/>
      <c r="DI63" s="3"/>
      <c r="DJ63" s="3"/>
      <c r="DK63" s="3"/>
      <c r="DL63" s="3"/>
      <c r="DM63" s="3"/>
      <c r="DN63" s="3"/>
      <c r="DO63" s="3"/>
      <c r="DP63" s="3"/>
      <c r="DQ63" s="3"/>
      <c r="DR63" s="3"/>
      <c r="DS63" s="3"/>
      <c r="DT63" s="3"/>
      <c r="DU63" s="3"/>
      <c r="DV63" s="3"/>
      <c r="DW63" s="3"/>
      <c r="DX63" s="3"/>
      <c r="DY63" s="3"/>
      <c r="DZ63" s="3"/>
      <c r="EA63" s="3"/>
      <c r="EB63" s="3"/>
      <c r="EC63" s="3"/>
      <c r="ED63" s="3"/>
      <c r="EE63" s="3"/>
      <c r="EF63" s="3"/>
      <c r="EG63" s="3"/>
      <c r="EH63" s="3"/>
      <c r="EI63" s="3"/>
      <c r="EJ63" s="3"/>
      <c r="EK63" s="3"/>
      <c r="EL63" s="3"/>
      <c r="EM63" s="3"/>
      <c r="EN63" s="3"/>
      <c r="EO63" s="3"/>
      <c r="EP63" s="3"/>
      <c r="EQ63" s="3"/>
      <c r="ER63" s="3"/>
      <c r="ES63" s="3"/>
      <c r="ET63" s="3"/>
      <c r="EU63" s="3"/>
      <c r="EV63" s="3"/>
      <c r="EW63" s="3"/>
      <c r="EX63" s="3"/>
      <c r="EY63" s="3"/>
      <c r="EZ63" s="3"/>
      <c r="FA63" s="3"/>
      <c r="FB63" s="3"/>
      <c r="FC63" s="3"/>
      <c r="FD63" s="3"/>
      <c r="FE63" s="3"/>
      <c r="FF63" s="3"/>
      <c r="FG63" s="3"/>
      <c r="FH63" s="3"/>
      <c r="FI63" s="3"/>
      <c r="FJ63" s="3"/>
      <c r="FK63" s="3"/>
      <c r="FL63" s="3"/>
      <c r="FM63" s="3"/>
      <c r="FN63" s="3"/>
      <c r="FO63" s="3"/>
      <c r="FP63" s="3"/>
      <c r="FQ63" s="3"/>
      <c r="FR63" s="3"/>
      <c r="FS63" s="3"/>
      <c r="FT63" s="3"/>
      <c r="FU63" s="3"/>
      <c r="FV63" s="3"/>
      <c r="FW63" s="3"/>
      <c r="FX63" s="3"/>
      <c r="FY63" s="3"/>
      <c r="FZ63" s="3"/>
      <c r="GA63" s="3"/>
      <c r="GB63" s="3"/>
      <c r="GC63" s="3"/>
      <c r="GD63" s="3"/>
      <c r="GE63" s="3"/>
      <c r="GF63" s="3"/>
      <c r="GG63" s="3"/>
      <c r="GH63" s="3"/>
      <c r="GI63" s="3"/>
      <c r="GJ63" s="3"/>
      <c r="GK63" s="3"/>
      <c r="GL63" s="3"/>
      <c r="GM63" s="3"/>
      <c r="GN63" s="3"/>
      <c r="GO63" s="3"/>
      <c r="GP63" s="3"/>
      <c r="GQ63" s="3"/>
      <c r="GR63" s="3"/>
      <c r="GS63" s="3"/>
      <c r="GT63" s="3"/>
      <c r="GU63" s="3"/>
      <c r="GV63" s="3"/>
      <c r="GW63" s="3"/>
      <c r="GX63" s="3"/>
      <c r="GY63" s="3"/>
      <c r="GZ63" s="3"/>
      <c r="HA63" s="3"/>
      <c r="HB63" s="3"/>
      <c r="HC63" s="3"/>
      <c r="HD63" s="3"/>
      <c r="HE63" s="3"/>
      <c r="HF63" s="3"/>
    </row>
    <row r="64" spans="1:214" x14ac:dyDescent="0.25">
      <c r="A64" s="187"/>
      <c r="B64" s="182"/>
      <c r="C64" s="182"/>
      <c r="D64" s="182"/>
      <c r="E64" s="186"/>
      <c r="F64" s="179"/>
      <c r="G64" s="4"/>
      <c r="H64" s="4"/>
      <c r="I64" s="4"/>
      <c r="J64" s="4"/>
      <c r="K64" s="4"/>
      <c r="L64" s="114"/>
      <c r="M64" s="4"/>
      <c r="N64" s="4"/>
      <c r="O64" s="4"/>
      <c r="P64" s="4"/>
      <c r="Q64" s="4"/>
      <c r="R64" s="114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  <c r="CR64" s="3"/>
      <c r="CS64" s="3"/>
      <c r="CT64" s="3"/>
      <c r="CU64" s="3"/>
      <c r="CV64" s="3"/>
      <c r="CW64" s="3"/>
      <c r="CX64" s="3"/>
      <c r="CY64" s="3"/>
      <c r="CZ64" s="3"/>
      <c r="DA64" s="3"/>
      <c r="DB64" s="3"/>
      <c r="DC64" s="3"/>
      <c r="DD64" s="3"/>
      <c r="DE64" s="3"/>
      <c r="DF64" s="3"/>
      <c r="DG64" s="3"/>
      <c r="DH64" s="3"/>
      <c r="DI64" s="3"/>
      <c r="DJ64" s="3"/>
      <c r="DK64" s="3"/>
      <c r="DL64" s="3"/>
      <c r="DM64" s="3"/>
      <c r="DN64" s="3"/>
      <c r="DO64" s="3"/>
      <c r="DP64" s="3"/>
      <c r="DQ64" s="3"/>
      <c r="DR64" s="3"/>
      <c r="DS64" s="3"/>
      <c r="DT64" s="3"/>
      <c r="DU64" s="3"/>
      <c r="DV64" s="3"/>
      <c r="DW64" s="3"/>
      <c r="DX64" s="3"/>
      <c r="DY64" s="3"/>
      <c r="DZ64" s="3"/>
      <c r="EA64" s="3"/>
      <c r="EB64" s="3"/>
      <c r="EC64" s="3"/>
      <c r="ED64" s="3"/>
      <c r="EE64" s="3"/>
      <c r="EF64" s="3"/>
      <c r="EG64" s="3"/>
      <c r="EH64" s="3"/>
      <c r="EI64" s="3"/>
      <c r="EJ64" s="3"/>
      <c r="EK64" s="3"/>
      <c r="EL64" s="3"/>
      <c r="EM64" s="3"/>
      <c r="EN64" s="3"/>
      <c r="EO64" s="3"/>
      <c r="EP64" s="3"/>
      <c r="EQ64" s="3"/>
      <c r="ER64" s="3"/>
      <c r="ES64" s="3"/>
      <c r="ET64" s="3"/>
      <c r="EU64" s="3"/>
      <c r="EV64" s="3"/>
      <c r="EW64" s="3"/>
      <c r="EX64" s="3"/>
      <c r="EY64" s="3"/>
      <c r="EZ64" s="3"/>
      <c r="FA64" s="3"/>
      <c r="FB64" s="3"/>
      <c r="FC64" s="3"/>
      <c r="FD64" s="3"/>
      <c r="FE64" s="3"/>
      <c r="FF64" s="3"/>
      <c r="FG64" s="3"/>
      <c r="FH64" s="3"/>
      <c r="FI64" s="3"/>
      <c r="FJ64" s="3"/>
      <c r="FK64" s="3"/>
      <c r="FL64" s="3"/>
      <c r="FM64" s="3"/>
      <c r="FN64" s="3"/>
      <c r="FO64" s="3"/>
      <c r="FP64" s="3"/>
      <c r="FQ64" s="3"/>
      <c r="FR64" s="3"/>
      <c r="FS64" s="3"/>
      <c r="FT64" s="3"/>
      <c r="FU64" s="3"/>
      <c r="FV64" s="3"/>
      <c r="FW64" s="3"/>
      <c r="FX64" s="3"/>
      <c r="FY64" s="3"/>
      <c r="FZ64" s="3"/>
      <c r="GA64" s="3"/>
      <c r="GB64" s="3"/>
      <c r="GC64" s="3"/>
      <c r="GD64" s="3"/>
      <c r="GE64" s="3"/>
      <c r="GF64" s="3"/>
      <c r="GG64" s="3"/>
      <c r="GH64" s="3"/>
      <c r="GI64" s="3"/>
      <c r="GJ64" s="3"/>
      <c r="GK64" s="3"/>
      <c r="GL64" s="3"/>
      <c r="GM64" s="3"/>
      <c r="GN64" s="3"/>
      <c r="GO64" s="3"/>
      <c r="GP64" s="3"/>
      <c r="GQ64" s="3"/>
      <c r="GR64" s="3"/>
      <c r="GS64" s="3"/>
      <c r="GT64" s="3"/>
      <c r="GU64" s="3"/>
      <c r="GV64" s="3"/>
      <c r="GW64" s="3"/>
      <c r="GX64" s="3"/>
      <c r="GY64" s="3"/>
      <c r="GZ64" s="3"/>
      <c r="HA64" s="3"/>
      <c r="HB64" s="3"/>
      <c r="HC64" s="3"/>
      <c r="HD64" s="3"/>
      <c r="HE64" s="3"/>
      <c r="HF64" s="3"/>
    </row>
    <row r="65" spans="1:214" x14ac:dyDescent="0.25">
      <c r="A65" s="44"/>
      <c r="B65" s="182"/>
      <c r="C65" s="44"/>
      <c r="D65" s="182"/>
      <c r="E65" s="186"/>
      <c r="F65" s="179"/>
      <c r="G65" s="4"/>
      <c r="H65" s="4"/>
      <c r="I65" s="4"/>
      <c r="J65" s="4"/>
      <c r="K65" s="4"/>
      <c r="L65" s="114"/>
      <c r="M65" s="4"/>
      <c r="N65" s="4"/>
      <c r="O65" s="4"/>
      <c r="P65" s="4"/>
      <c r="Q65" s="4"/>
      <c r="R65" s="114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  <c r="DL65" s="3"/>
      <c r="DM65" s="3"/>
      <c r="DN65" s="3"/>
      <c r="DO65" s="3"/>
      <c r="DP65" s="3"/>
      <c r="DQ65" s="3"/>
      <c r="DR65" s="3"/>
      <c r="DS65" s="3"/>
      <c r="DT65" s="3"/>
      <c r="DU65" s="3"/>
      <c r="DV65" s="3"/>
      <c r="DW65" s="3"/>
      <c r="DX65" s="3"/>
      <c r="DY65" s="3"/>
      <c r="DZ65" s="3"/>
      <c r="EA65" s="3"/>
      <c r="EB65" s="3"/>
      <c r="EC65" s="3"/>
      <c r="ED65" s="3"/>
      <c r="EE65" s="3"/>
      <c r="EF65" s="3"/>
      <c r="EG65" s="3"/>
      <c r="EH65" s="3"/>
      <c r="EI65" s="3"/>
      <c r="EJ65" s="3"/>
      <c r="EK65" s="3"/>
      <c r="EL65" s="3"/>
      <c r="EM65" s="3"/>
      <c r="EN65" s="3"/>
      <c r="EO65" s="3"/>
      <c r="EP65" s="3"/>
      <c r="EQ65" s="3"/>
      <c r="ER65" s="3"/>
      <c r="ES65" s="3"/>
      <c r="ET65" s="3"/>
      <c r="EU65" s="3"/>
      <c r="EV65" s="3"/>
      <c r="EW65" s="3"/>
      <c r="EX65" s="3"/>
      <c r="EY65" s="3"/>
      <c r="EZ65" s="3"/>
      <c r="FA65" s="3"/>
      <c r="FB65" s="3"/>
      <c r="FC65" s="3"/>
      <c r="FD65" s="3"/>
      <c r="FE65" s="3"/>
      <c r="FF65" s="3"/>
      <c r="FG65" s="3"/>
      <c r="FH65" s="3"/>
      <c r="FI65" s="3"/>
      <c r="FJ65" s="3"/>
      <c r="FK65" s="3"/>
      <c r="FL65" s="3"/>
      <c r="FM65" s="3"/>
      <c r="FN65" s="3"/>
      <c r="FO65" s="3"/>
      <c r="FP65" s="3"/>
      <c r="FQ65" s="3"/>
      <c r="FR65" s="3"/>
      <c r="FS65" s="3"/>
      <c r="FT65" s="3"/>
      <c r="FU65" s="3"/>
      <c r="FV65" s="3"/>
      <c r="FW65" s="3"/>
      <c r="FX65" s="3"/>
      <c r="FY65" s="3"/>
      <c r="FZ65" s="3"/>
      <c r="GA65" s="3"/>
      <c r="GB65" s="3"/>
      <c r="GC65" s="3"/>
      <c r="GD65" s="3"/>
      <c r="GE65" s="3"/>
      <c r="GF65" s="3"/>
      <c r="GG65" s="3"/>
      <c r="GH65" s="3"/>
      <c r="GI65" s="3"/>
      <c r="GJ65" s="3"/>
      <c r="GK65" s="3"/>
      <c r="GL65" s="3"/>
      <c r="GM65" s="3"/>
      <c r="GN65" s="3"/>
      <c r="GO65" s="3"/>
      <c r="GP65" s="3"/>
      <c r="GQ65" s="3"/>
      <c r="GR65" s="3"/>
      <c r="GS65" s="3"/>
      <c r="GT65" s="3"/>
      <c r="GU65" s="3"/>
      <c r="GV65" s="3"/>
      <c r="GW65" s="3"/>
      <c r="GX65" s="3"/>
      <c r="GY65" s="3"/>
      <c r="GZ65" s="3"/>
      <c r="HA65" s="3"/>
      <c r="HB65" s="3"/>
      <c r="HC65" s="3"/>
      <c r="HD65" s="3"/>
      <c r="HE65" s="3"/>
      <c r="HF65" s="3"/>
    </row>
    <row r="66" spans="1:214" x14ac:dyDescent="0.25">
      <c r="A66" s="44"/>
      <c r="B66" s="44"/>
      <c r="C66" s="44"/>
      <c r="D66" s="44"/>
      <c r="E66" s="186"/>
      <c r="F66" s="179"/>
      <c r="G66" s="4"/>
      <c r="H66" s="4"/>
      <c r="I66" s="4"/>
      <c r="J66" s="4"/>
      <c r="K66" s="4"/>
      <c r="L66" s="114"/>
      <c r="M66" s="4"/>
      <c r="N66" s="4"/>
      <c r="O66" s="4"/>
      <c r="P66" s="4"/>
      <c r="Q66" s="4"/>
      <c r="R66" s="114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  <c r="EQ66" s="3"/>
      <c r="ER66" s="3"/>
      <c r="ES66" s="3"/>
      <c r="ET66" s="3"/>
      <c r="EU66" s="3"/>
      <c r="EV66" s="3"/>
      <c r="EW66" s="3"/>
      <c r="EX66" s="3"/>
      <c r="EY66" s="3"/>
      <c r="EZ66" s="3"/>
      <c r="FA66" s="3"/>
      <c r="FB66" s="3"/>
      <c r="FC66" s="3"/>
      <c r="FD66" s="3"/>
      <c r="FE66" s="3"/>
      <c r="FF66" s="3"/>
      <c r="FG66" s="3"/>
      <c r="FH66" s="3"/>
      <c r="FI66" s="3"/>
      <c r="FJ66" s="3"/>
      <c r="FK66" s="3"/>
      <c r="FL66" s="3"/>
      <c r="FM66" s="3"/>
      <c r="FN66" s="3"/>
      <c r="FO66" s="3"/>
      <c r="FP66" s="3"/>
      <c r="FQ66" s="3"/>
      <c r="FR66" s="3"/>
      <c r="FS66" s="3"/>
      <c r="FT66" s="3"/>
      <c r="FU66" s="3"/>
      <c r="FV66" s="3"/>
      <c r="FW66" s="3"/>
      <c r="FX66" s="3"/>
      <c r="FY66" s="3"/>
      <c r="FZ66" s="3"/>
      <c r="GA66" s="3"/>
      <c r="GB66" s="3"/>
      <c r="GC66" s="3"/>
      <c r="GD66" s="3"/>
      <c r="GE66" s="3"/>
      <c r="GF66" s="3"/>
      <c r="GG66" s="3"/>
      <c r="GH66" s="3"/>
      <c r="GI66" s="3"/>
      <c r="GJ66" s="3"/>
      <c r="GK66" s="3"/>
      <c r="GL66" s="3"/>
      <c r="GM66" s="3"/>
      <c r="GN66" s="3"/>
      <c r="GO66" s="3"/>
      <c r="GP66" s="3"/>
      <c r="GQ66" s="3"/>
      <c r="GR66" s="3"/>
      <c r="GS66" s="3"/>
      <c r="GT66" s="3"/>
      <c r="GU66" s="3"/>
      <c r="GV66" s="3"/>
      <c r="GW66" s="3"/>
      <c r="GX66" s="3"/>
      <c r="GY66" s="3"/>
      <c r="GZ66" s="3"/>
      <c r="HA66" s="3"/>
      <c r="HB66" s="3"/>
      <c r="HC66" s="3"/>
      <c r="HD66" s="3"/>
      <c r="HE66" s="3"/>
      <c r="HF66" s="3"/>
    </row>
    <row r="67" spans="1:214" x14ac:dyDescent="0.25">
      <c r="A67" s="44"/>
      <c r="B67" s="44"/>
      <c r="C67" s="44"/>
      <c r="D67" s="44"/>
      <c r="E67" s="186"/>
      <c r="F67" s="179"/>
      <c r="G67" s="4"/>
      <c r="H67" s="4"/>
      <c r="I67" s="4"/>
      <c r="J67" s="4"/>
      <c r="K67" s="4"/>
      <c r="L67" s="114"/>
      <c r="M67" s="4"/>
      <c r="N67" s="4"/>
      <c r="O67" s="4"/>
      <c r="P67" s="4"/>
      <c r="Q67" s="4"/>
      <c r="R67" s="114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  <c r="CW67" s="3"/>
      <c r="CX67" s="3"/>
      <c r="CY67" s="3"/>
      <c r="CZ67" s="3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  <c r="DL67" s="3"/>
      <c r="DM67" s="3"/>
      <c r="DN67" s="3"/>
      <c r="DO67" s="3"/>
      <c r="DP67" s="3"/>
      <c r="DQ67" s="3"/>
      <c r="DR67" s="3"/>
      <c r="DS67" s="3"/>
      <c r="DT67" s="3"/>
      <c r="DU67" s="3"/>
      <c r="DV67" s="3"/>
      <c r="DW67" s="3"/>
      <c r="DX67" s="3"/>
      <c r="DY67" s="3"/>
      <c r="DZ67" s="3"/>
      <c r="EA67" s="3"/>
      <c r="EB67" s="3"/>
      <c r="EC67" s="3"/>
      <c r="ED67" s="3"/>
      <c r="EE67" s="3"/>
      <c r="EF67" s="3"/>
      <c r="EG67" s="3"/>
      <c r="EH67" s="3"/>
      <c r="EI67" s="3"/>
      <c r="EJ67" s="3"/>
      <c r="EK67" s="3"/>
      <c r="EL67" s="3"/>
      <c r="EM67" s="3"/>
      <c r="EN67" s="3"/>
      <c r="EO67" s="3"/>
      <c r="EP67" s="3"/>
      <c r="EQ67" s="3"/>
      <c r="ER67" s="3"/>
      <c r="ES67" s="3"/>
      <c r="ET67" s="3"/>
      <c r="EU67" s="3"/>
      <c r="EV67" s="3"/>
      <c r="EW67" s="3"/>
      <c r="EX67" s="3"/>
      <c r="EY67" s="3"/>
      <c r="EZ67" s="3"/>
      <c r="FA67" s="3"/>
      <c r="FB67" s="3"/>
      <c r="FC67" s="3"/>
      <c r="FD67" s="3"/>
      <c r="FE67" s="3"/>
      <c r="FF67" s="3"/>
      <c r="FG67" s="3"/>
      <c r="FH67" s="3"/>
      <c r="FI67" s="3"/>
      <c r="FJ67" s="3"/>
      <c r="FK67" s="3"/>
      <c r="FL67" s="3"/>
      <c r="FM67" s="3"/>
      <c r="FN67" s="3"/>
      <c r="FO67" s="3"/>
      <c r="FP67" s="3"/>
      <c r="FQ67" s="3"/>
      <c r="FR67" s="3"/>
      <c r="FS67" s="3"/>
      <c r="FT67" s="3"/>
      <c r="FU67" s="3"/>
      <c r="FV67" s="3"/>
      <c r="FW67" s="3"/>
      <c r="FX67" s="3"/>
      <c r="FY67" s="3"/>
      <c r="FZ67" s="3"/>
      <c r="GA67" s="3"/>
      <c r="GB67" s="3"/>
      <c r="GC67" s="3"/>
      <c r="GD67" s="3"/>
      <c r="GE67" s="3"/>
      <c r="GF67" s="3"/>
      <c r="GG67" s="3"/>
      <c r="GH67" s="3"/>
      <c r="GI67" s="3"/>
      <c r="GJ67" s="3"/>
      <c r="GK67" s="3"/>
      <c r="GL67" s="3"/>
      <c r="GM67" s="3"/>
      <c r="GN67" s="3"/>
      <c r="GO67" s="3"/>
      <c r="GP67" s="3"/>
      <c r="GQ67" s="3"/>
      <c r="GR67" s="3"/>
      <c r="GS67" s="3"/>
      <c r="GT67" s="3"/>
      <c r="GU67" s="3"/>
      <c r="GV67" s="3"/>
      <c r="GW67" s="3"/>
      <c r="GX67" s="3"/>
      <c r="GY67" s="3"/>
      <c r="GZ67" s="3"/>
      <c r="HA67" s="3"/>
      <c r="HB67" s="3"/>
      <c r="HC67" s="3"/>
      <c r="HD67" s="3"/>
      <c r="HE67" s="3"/>
      <c r="HF67" s="3"/>
    </row>
    <row r="68" spans="1:214" x14ac:dyDescent="0.25">
      <c r="A68" s="44"/>
      <c r="B68" s="44"/>
      <c r="C68" s="44"/>
      <c r="D68" s="44"/>
      <c r="E68" s="186"/>
      <c r="F68" s="179"/>
      <c r="G68" s="4"/>
      <c r="H68" s="4"/>
      <c r="I68" s="4"/>
      <c r="J68" s="4"/>
      <c r="K68" s="4"/>
      <c r="L68" s="114"/>
      <c r="M68" s="4"/>
      <c r="N68" s="4"/>
      <c r="O68" s="4"/>
      <c r="P68" s="4"/>
      <c r="Q68" s="4"/>
      <c r="R68" s="114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  <c r="DN68" s="3"/>
      <c r="DO68" s="3"/>
      <c r="DP68" s="3"/>
      <c r="DQ68" s="3"/>
      <c r="DR68" s="3"/>
      <c r="DS68" s="3"/>
      <c r="DT68" s="3"/>
      <c r="DU68" s="3"/>
      <c r="DV68" s="3"/>
      <c r="DW68" s="3"/>
      <c r="DX68" s="3"/>
      <c r="DY68" s="3"/>
      <c r="DZ68" s="3"/>
      <c r="EA68" s="3"/>
      <c r="EB68" s="3"/>
      <c r="EC68" s="3"/>
      <c r="ED68" s="3"/>
      <c r="EE68" s="3"/>
      <c r="EF68" s="3"/>
      <c r="EG68" s="3"/>
      <c r="EH68" s="3"/>
      <c r="EI68" s="3"/>
      <c r="EJ68" s="3"/>
      <c r="EK68" s="3"/>
      <c r="EL68" s="3"/>
      <c r="EM68" s="3"/>
      <c r="EN68" s="3"/>
      <c r="EO68" s="3"/>
      <c r="EP68" s="3"/>
      <c r="EQ68" s="3"/>
      <c r="ER68" s="3"/>
      <c r="ES68" s="3"/>
      <c r="ET68" s="3"/>
      <c r="EU68" s="3"/>
      <c r="EV68" s="3"/>
      <c r="EW68" s="3"/>
      <c r="EX68" s="3"/>
      <c r="EY68" s="3"/>
      <c r="EZ68" s="3"/>
      <c r="FA68" s="3"/>
      <c r="FB68" s="3"/>
      <c r="FC68" s="3"/>
      <c r="FD68" s="3"/>
      <c r="FE68" s="3"/>
      <c r="FF68" s="3"/>
      <c r="FG68" s="3"/>
      <c r="FH68" s="3"/>
      <c r="FI68" s="3"/>
      <c r="FJ68" s="3"/>
      <c r="FK68" s="3"/>
      <c r="FL68" s="3"/>
      <c r="FM68" s="3"/>
      <c r="FN68" s="3"/>
      <c r="FO68" s="3"/>
      <c r="FP68" s="3"/>
      <c r="FQ68" s="3"/>
      <c r="FR68" s="3"/>
      <c r="FS68" s="3"/>
      <c r="FT68" s="3"/>
      <c r="FU68" s="3"/>
      <c r="FV68" s="3"/>
      <c r="FW68" s="3"/>
      <c r="FX68" s="3"/>
      <c r="FY68" s="3"/>
      <c r="FZ68" s="3"/>
      <c r="GA68" s="3"/>
      <c r="GB68" s="3"/>
      <c r="GC68" s="3"/>
      <c r="GD68" s="3"/>
      <c r="GE68" s="3"/>
      <c r="GF68" s="3"/>
      <c r="GG68" s="3"/>
      <c r="GH68" s="3"/>
      <c r="GI68" s="3"/>
      <c r="GJ68" s="3"/>
      <c r="GK68" s="3"/>
      <c r="GL68" s="3"/>
      <c r="GM68" s="3"/>
      <c r="GN68" s="3"/>
      <c r="GO68" s="3"/>
      <c r="GP68" s="3"/>
      <c r="GQ68" s="3"/>
      <c r="GR68" s="3"/>
      <c r="GS68" s="3"/>
      <c r="GT68" s="3"/>
      <c r="GU68" s="3"/>
      <c r="GV68" s="3"/>
      <c r="GW68" s="3"/>
      <c r="GX68" s="3"/>
      <c r="GY68" s="3"/>
      <c r="GZ68" s="3"/>
      <c r="HA68" s="3"/>
      <c r="HB68" s="3"/>
      <c r="HC68" s="3"/>
      <c r="HD68" s="3"/>
      <c r="HE68" s="3"/>
      <c r="HF68" s="3"/>
    </row>
    <row r="69" spans="1:214" x14ac:dyDescent="0.25">
      <c r="A69" s="44"/>
      <c r="B69" s="44"/>
      <c r="C69" s="44"/>
      <c r="D69" s="44"/>
      <c r="E69" s="186"/>
      <c r="F69" s="179"/>
      <c r="G69" s="4"/>
      <c r="H69" s="4"/>
      <c r="I69" s="4"/>
      <c r="J69" s="4"/>
      <c r="K69" s="4"/>
      <c r="L69" s="114"/>
      <c r="M69" s="4"/>
      <c r="N69" s="4"/>
      <c r="O69" s="4"/>
      <c r="P69" s="4"/>
      <c r="Q69" s="4"/>
      <c r="R69" s="114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  <c r="DL69" s="3"/>
      <c r="DM69" s="3"/>
      <c r="DN69" s="3"/>
      <c r="DO69" s="3"/>
      <c r="DP69" s="3"/>
      <c r="DQ69" s="3"/>
      <c r="DR69" s="3"/>
      <c r="DS69" s="3"/>
      <c r="DT69" s="3"/>
      <c r="DU69" s="3"/>
      <c r="DV69" s="3"/>
      <c r="DW69" s="3"/>
      <c r="DX69" s="3"/>
      <c r="DY69" s="3"/>
      <c r="DZ69" s="3"/>
      <c r="EA69" s="3"/>
      <c r="EB69" s="3"/>
      <c r="EC69" s="3"/>
      <c r="ED69" s="3"/>
      <c r="EE69" s="3"/>
      <c r="EF69" s="3"/>
      <c r="EG69" s="3"/>
      <c r="EH69" s="3"/>
      <c r="EI69" s="3"/>
      <c r="EJ69" s="3"/>
      <c r="EK69" s="3"/>
      <c r="EL69" s="3"/>
      <c r="EM69" s="3"/>
      <c r="EN69" s="3"/>
      <c r="EO69" s="3"/>
      <c r="EP69" s="3"/>
      <c r="EQ69" s="3"/>
      <c r="ER69" s="3"/>
      <c r="ES69" s="3"/>
      <c r="ET69" s="3"/>
      <c r="EU69" s="3"/>
      <c r="EV69" s="3"/>
      <c r="EW69" s="3"/>
      <c r="EX69" s="3"/>
      <c r="EY69" s="3"/>
      <c r="EZ69" s="3"/>
      <c r="FA69" s="3"/>
      <c r="FB69" s="3"/>
      <c r="FC69" s="3"/>
      <c r="FD69" s="3"/>
      <c r="FE69" s="3"/>
      <c r="FF69" s="3"/>
      <c r="FG69" s="3"/>
      <c r="FH69" s="3"/>
      <c r="FI69" s="3"/>
      <c r="FJ69" s="3"/>
      <c r="FK69" s="3"/>
      <c r="FL69" s="3"/>
      <c r="FM69" s="3"/>
      <c r="FN69" s="3"/>
      <c r="FO69" s="3"/>
      <c r="FP69" s="3"/>
      <c r="FQ69" s="3"/>
      <c r="FR69" s="3"/>
      <c r="FS69" s="3"/>
      <c r="FT69" s="3"/>
      <c r="FU69" s="3"/>
      <c r="FV69" s="3"/>
      <c r="FW69" s="3"/>
      <c r="FX69" s="3"/>
      <c r="FY69" s="3"/>
      <c r="FZ69" s="3"/>
      <c r="GA69" s="3"/>
      <c r="GB69" s="3"/>
      <c r="GC69" s="3"/>
      <c r="GD69" s="3"/>
      <c r="GE69" s="3"/>
      <c r="GF69" s="3"/>
      <c r="GG69" s="3"/>
      <c r="GH69" s="3"/>
      <c r="GI69" s="3"/>
      <c r="GJ69" s="3"/>
      <c r="GK69" s="3"/>
      <c r="GL69" s="3"/>
      <c r="GM69" s="3"/>
      <c r="GN69" s="3"/>
      <c r="GO69" s="3"/>
      <c r="GP69" s="3"/>
      <c r="GQ69" s="3"/>
      <c r="GR69" s="3"/>
      <c r="GS69" s="3"/>
      <c r="GT69" s="3"/>
      <c r="GU69" s="3"/>
      <c r="GV69" s="3"/>
      <c r="GW69" s="3"/>
      <c r="GX69" s="3"/>
      <c r="GY69" s="3"/>
      <c r="GZ69" s="3"/>
      <c r="HA69" s="3"/>
      <c r="HB69" s="3"/>
      <c r="HC69" s="3"/>
      <c r="HD69" s="3"/>
      <c r="HE69" s="3"/>
      <c r="HF69" s="3"/>
    </row>
    <row r="70" spans="1:214" x14ac:dyDescent="0.25">
      <c r="A70" s="44"/>
      <c r="B70" s="44"/>
      <c r="C70" s="44"/>
      <c r="D70" s="44"/>
      <c r="E70" s="186"/>
      <c r="F70" s="179"/>
      <c r="G70" s="4"/>
      <c r="H70" s="4"/>
      <c r="I70" s="4"/>
      <c r="J70" s="4"/>
      <c r="K70" s="4"/>
      <c r="L70" s="114"/>
      <c r="M70" s="4"/>
      <c r="N70" s="4"/>
      <c r="O70" s="4"/>
      <c r="P70" s="4"/>
      <c r="Q70" s="4"/>
      <c r="R70" s="114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T70" s="3"/>
      <c r="CU70" s="3"/>
      <c r="CV70" s="3"/>
      <c r="CW70" s="3"/>
      <c r="CX70" s="3"/>
      <c r="CY70" s="3"/>
      <c r="CZ70" s="3"/>
      <c r="DA70" s="3"/>
      <c r="DB70" s="3"/>
      <c r="DC70" s="3"/>
      <c r="DD70" s="3"/>
      <c r="DE70" s="3"/>
      <c r="DF70" s="3"/>
      <c r="DG70" s="3"/>
      <c r="DH70" s="3"/>
      <c r="DI70" s="3"/>
      <c r="DJ70" s="3"/>
      <c r="DK70" s="3"/>
      <c r="DL70" s="3"/>
      <c r="DM70" s="3"/>
      <c r="DN70" s="3"/>
      <c r="DO70" s="3"/>
      <c r="DP70" s="3"/>
      <c r="DQ70" s="3"/>
      <c r="DR70" s="3"/>
      <c r="DS70" s="3"/>
      <c r="DT70" s="3"/>
      <c r="DU70" s="3"/>
      <c r="DV70" s="3"/>
      <c r="DW70" s="3"/>
      <c r="DX70" s="3"/>
      <c r="DY70" s="3"/>
      <c r="DZ70" s="3"/>
      <c r="EA70" s="3"/>
      <c r="EB70" s="3"/>
      <c r="EC70" s="3"/>
      <c r="ED70" s="3"/>
      <c r="EE70" s="3"/>
      <c r="EF70" s="3"/>
      <c r="EG70" s="3"/>
      <c r="EH70" s="3"/>
      <c r="EI70" s="3"/>
      <c r="EJ70" s="3"/>
      <c r="EK70" s="3"/>
      <c r="EL70" s="3"/>
      <c r="EM70" s="3"/>
      <c r="EN70" s="3"/>
      <c r="EO70" s="3"/>
      <c r="EP70" s="3"/>
      <c r="EQ70" s="3"/>
      <c r="ER70" s="3"/>
      <c r="ES70" s="3"/>
      <c r="ET70" s="3"/>
      <c r="EU70" s="3"/>
      <c r="EV70" s="3"/>
      <c r="EW70" s="3"/>
      <c r="EX70" s="3"/>
      <c r="EY70" s="3"/>
      <c r="EZ70" s="3"/>
      <c r="FA70" s="3"/>
      <c r="FB70" s="3"/>
      <c r="FC70" s="3"/>
      <c r="FD70" s="3"/>
      <c r="FE70" s="3"/>
      <c r="FF70" s="3"/>
      <c r="FG70" s="3"/>
      <c r="FH70" s="3"/>
      <c r="FI70" s="3"/>
      <c r="FJ70" s="3"/>
      <c r="FK70" s="3"/>
      <c r="FL70" s="3"/>
      <c r="FM70" s="3"/>
      <c r="FN70" s="3"/>
      <c r="FO70" s="3"/>
      <c r="FP70" s="3"/>
      <c r="FQ70" s="3"/>
      <c r="FR70" s="3"/>
      <c r="FS70" s="3"/>
      <c r="FT70" s="3"/>
      <c r="FU70" s="3"/>
      <c r="FV70" s="3"/>
      <c r="FW70" s="3"/>
      <c r="FX70" s="3"/>
      <c r="FY70" s="3"/>
      <c r="FZ70" s="3"/>
      <c r="GA70" s="3"/>
      <c r="GB70" s="3"/>
      <c r="GC70" s="3"/>
      <c r="GD70" s="3"/>
      <c r="GE70" s="3"/>
      <c r="GF70" s="3"/>
      <c r="GG70" s="3"/>
      <c r="GH70" s="3"/>
      <c r="GI70" s="3"/>
      <c r="GJ70" s="3"/>
      <c r="GK70" s="3"/>
      <c r="GL70" s="3"/>
      <c r="GM70" s="3"/>
      <c r="GN70" s="3"/>
      <c r="GO70" s="3"/>
      <c r="GP70" s="3"/>
      <c r="GQ70" s="3"/>
      <c r="GR70" s="3"/>
      <c r="GS70" s="3"/>
      <c r="GT70" s="3"/>
      <c r="GU70" s="3"/>
      <c r="GV70" s="3"/>
      <c r="GW70" s="3"/>
      <c r="GX70" s="3"/>
      <c r="GY70" s="3"/>
      <c r="GZ70" s="3"/>
      <c r="HA70" s="3"/>
      <c r="HB70" s="3"/>
      <c r="HC70" s="3"/>
      <c r="HD70" s="3"/>
      <c r="HE70" s="3"/>
      <c r="HF70" s="3"/>
    </row>
    <row r="71" spans="1:214" x14ac:dyDescent="0.25">
      <c r="E71" s="188"/>
      <c r="F71" s="114"/>
      <c r="G71" s="4"/>
      <c r="H71" s="4"/>
      <c r="I71" s="4"/>
      <c r="J71" s="4"/>
      <c r="K71" s="4"/>
      <c r="L71" s="114"/>
      <c r="M71" s="4"/>
      <c r="N71" s="4"/>
      <c r="O71" s="4"/>
      <c r="P71" s="4"/>
      <c r="Q71" s="4"/>
      <c r="R71" s="114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  <c r="CW71" s="3"/>
      <c r="CX71" s="3"/>
      <c r="CY71" s="3"/>
      <c r="CZ71" s="3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  <c r="DL71" s="3"/>
      <c r="DM71" s="3"/>
      <c r="DN71" s="3"/>
      <c r="DO71" s="3"/>
      <c r="DP71" s="3"/>
      <c r="DQ71" s="3"/>
      <c r="DR71" s="3"/>
      <c r="DS71" s="3"/>
      <c r="DT71" s="3"/>
      <c r="DU71" s="3"/>
      <c r="DV71" s="3"/>
      <c r="DW71" s="3"/>
      <c r="DX71" s="3"/>
      <c r="DY71" s="3"/>
      <c r="DZ71" s="3"/>
      <c r="EA71" s="3"/>
      <c r="EB71" s="3"/>
      <c r="EC71" s="3"/>
      <c r="ED71" s="3"/>
      <c r="EE71" s="3"/>
      <c r="EF71" s="3"/>
      <c r="EG71" s="3"/>
      <c r="EH71" s="3"/>
      <c r="EI71" s="3"/>
      <c r="EJ71" s="3"/>
      <c r="EK71" s="3"/>
      <c r="EL71" s="3"/>
      <c r="EM71" s="3"/>
      <c r="EN71" s="3"/>
      <c r="EO71" s="3"/>
      <c r="EP71" s="3"/>
      <c r="EQ71" s="3"/>
      <c r="ER71" s="3"/>
      <c r="ES71" s="3"/>
      <c r="ET71" s="3"/>
      <c r="EU71" s="3"/>
      <c r="EV71" s="3"/>
      <c r="EW71" s="3"/>
      <c r="EX71" s="3"/>
      <c r="EY71" s="3"/>
      <c r="EZ71" s="3"/>
      <c r="FA71" s="3"/>
      <c r="FB71" s="3"/>
      <c r="FC71" s="3"/>
      <c r="FD71" s="3"/>
      <c r="FE71" s="3"/>
      <c r="FF71" s="3"/>
      <c r="FG71" s="3"/>
      <c r="FH71" s="3"/>
      <c r="FI71" s="3"/>
      <c r="FJ71" s="3"/>
      <c r="FK71" s="3"/>
      <c r="FL71" s="3"/>
      <c r="FM71" s="3"/>
      <c r="FN71" s="3"/>
      <c r="FO71" s="3"/>
      <c r="FP71" s="3"/>
      <c r="FQ71" s="3"/>
      <c r="FR71" s="3"/>
      <c r="FS71" s="3"/>
      <c r="FT71" s="3"/>
      <c r="FU71" s="3"/>
      <c r="FV71" s="3"/>
      <c r="FW71" s="3"/>
      <c r="FX71" s="3"/>
      <c r="FY71" s="3"/>
      <c r="FZ71" s="3"/>
      <c r="GA71" s="3"/>
      <c r="GB71" s="3"/>
      <c r="GC71" s="3"/>
      <c r="GD71" s="3"/>
      <c r="GE71" s="3"/>
      <c r="GF71" s="3"/>
      <c r="GG71" s="3"/>
      <c r="GH71" s="3"/>
      <c r="GI71" s="3"/>
      <c r="GJ71" s="3"/>
      <c r="GK71" s="3"/>
      <c r="GL71" s="3"/>
      <c r="GM71" s="3"/>
      <c r="GN71" s="3"/>
      <c r="GO71" s="3"/>
      <c r="GP71" s="3"/>
      <c r="GQ71" s="3"/>
      <c r="GR71" s="3"/>
      <c r="GS71" s="3"/>
      <c r="GT71" s="3"/>
      <c r="GU71" s="3"/>
      <c r="GV71" s="3"/>
      <c r="GW71" s="3"/>
      <c r="GX71" s="3"/>
      <c r="GY71" s="3"/>
      <c r="GZ71" s="3"/>
      <c r="HA71" s="3"/>
      <c r="HB71" s="3"/>
      <c r="HC71" s="3"/>
      <c r="HD71" s="3"/>
      <c r="HE71" s="3"/>
      <c r="HF71" s="3"/>
    </row>
    <row r="72" spans="1:214" x14ac:dyDescent="0.25">
      <c r="E72" s="186"/>
      <c r="F72" s="114"/>
      <c r="G72" s="4"/>
      <c r="H72" s="4"/>
      <c r="I72" s="4"/>
      <c r="J72" s="4"/>
      <c r="K72" s="4"/>
      <c r="L72" s="114"/>
      <c r="M72" s="4"/>
      <c r="N72" s="4"/>
      <c r="O72" s="4"/>
      <c r="P72" s="4"/>
      <c r="Q72" s="4"/>
      <c r="R72" s="114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  <c r="CU72" s="3"/>
      <c r="CV72" s="3"/>
      <c r="CW72" s="3"/>
      <c r="CX72" s="3"/>
      <c r="CY72" s="3"/>
      <c r="CZ72" s="3"/>
      <c r="DA72" s="3"/>
      <c r="DB72" s="3"/>
      <c r="DC72" s="3"/>
      <c r="DD72" s="3"/>
      <c r="DE72" s="3"/>
      <c r="DF72" s="3"/>
      <c r="DG72" s="3"/>
      <c r="DH72" s="3"/>
      <c r="DI72" s="3"/>
      <c r="DJ72" s="3"/>
      <c r="DK72" s="3"/>
      <c r="DL72" s="3"/>
      <c r="DM72" s="3"/>
      <c r="DN72" s="3"/>
      <c r="DO72" s="3"/>
      <c r="DP72" s="3"/>
      <c r="DQ72" s="3"/>
      <c r="DR72" s="3"/>
      <c r="DS72" s="3"/>
      <c r="DT72" s="3"/>
      <c r="DU72" s="3"/>
      <c r="DV72" s="3"/>
      <c r="DW72" s="3"/>
      <c r="DX72" s="3"/>
      <c r="DY72" s="3"/>
      <c r="DZ72" s="3"/>
      <c r="EA72" s="3"/>
      <c r="EB72" s="3"/>
      <c r="EC72" s="3"/>
      <c r="ED72" s="3"/>
      <c r="EE72" s="3"/>
      <c r="EF72" s="3"/>
      <c r="EG72" s="3"/>
      <c r="EH72" s="3"/>
      <c r="EI72" s="3"/>
      <c r="EJ72" s="3"/>
      <c r="EK72" s="3"/>
      <c r="EL72" s="3"/>
      <c r="EM72" s="3"/>
      <c r="EN72" s="3"/>
      <c r="EO72" s="3"/>
      <c r="EP72" s="3"/>
      <c r="EQ72" s="3"/>
      <c r="ER72" s="3"/>
      <c r="ES72" s="3"/>
      <c r="ET72" s="3"/>
      <c r="EU72" s="3"/>
      <c r="EV72" s="3"/>
      <c r="EW72" s="3"/>
      <c r="EX72" s="3"/>
      <c r="EY72" s="3"/>
      <c r="EZ72" s="3"/>
      <c r="FA72" s="3"/>
      <c r="FB72" s="3"/>
      <c r="FC72" s="3"/>
      <c r="FD72" s="3"/>
      <c r="FE72" s="3"/>
      <c r="FF72" s="3"/>
      <c r="FG72" s="3"/>
      <c r="FH72" s="3"/>
      <c r="FI72" s="3"/>
      <c r="FJ72" s="3"/>
      <c r="FK72" s="3"/>
      <c r="FL72" s="3"/>
      <c r="FM72" s="3"/>
      <c r="FN72" s="3"/>
      <c r="FO72" s="3"/>
      <c r="FP72" s="3"/>
      <c r="FQ72" s="3"/>
      <c r="FR72" s="3"/>
      <c r="FS72" s="3"/>
      <c r="FT72" s="3"/>
      <c r="FU72" s="3"/>
      <c r="FV72" s="3"/>
      <c r="FW72" s="3"/>
      <c r="FX72" s="3"/>
      <c r="FY72" s="3"/>
      <c r="FZ72" s="3"/>
      <c r="GA72" s="3"/>
      <c r="GB72" s="3"/>
      <c r="GC72" s="3"/>
      <c r="GD72" s="3"/>
      <c r="GE72" s="3"/>
      <c r="GF72" s="3"/>
      <c r="GG72" s="3"/>
      <c r="GH72" s="3"/>
      <c r="GI72" s="3"/>
      <c r="GJ72" s="3"/>
      <c r="GK72" s="3"/>
      <c r="GL72" s="3"/>
      <c r="GM72" s="3"/>
      <c r="GN72" s="3"/>
      <c r="GO72" s="3"/>
      <c r="GP72" s="3"/>
      <c r="GQ72" s="3"/>
      <c r="GR72" s="3"/>
      <c r="GS72" s="3"/>
      <c r="GT72" s="3"/>
      <c r="GU72" s="3"/>
      <c r="GV72" s="3"/>
      <c r="GW72" s="3"/>
      <c r="GX72" s="3"/>
      <c r="GY72" s="3"/>
      <c r="GZ72" s="3"/>
      <c r="HA72" s="3"/>
      <c r="HB72" s="3"/>
      <c r="HC72" s="3"/>
      <c r="HD72" s="3"/>
      <c r="HE72" s="3"/>
      <c r="HF72" s="3"/>
    </row>
    <row r="73" spans="1:214" x14ac:dyDescent="0.25">
      <c r="E73" s="186"/>
      <c r="F73" s="114"/>
      <c r="G73" s="4"/>
      <c r="H73" s="4"/>
      <c r="I73" s="4"/>
      <c r="J73" s="4"/>
      <c r="K73" s="4"/>
      <c r="L73" s="114"/>
      <c r="M73" s="4"/>
      <c r="N73" s="4"/>
      <c r="O73" s="4"/>
      <c r="P73" s="4"/>
      <c r="Q73" s="4"/>
      <c r="R73" s="114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  <c r="CU73" s="3"/>
      <c r="CV73" s="3"/>
      <c r="CW73" s="3"/>
      <c r="CX73" s="3"/>
      <c r="CY73" s="3"/>
      <c r="CZ73" s="3"/>
      <c r="DA73" s="3"/>
      <c r="DB73" s="3"/>
      <c r="DC73" s="3"/>
      <c r="DD73" s="3"/>
      <c r="DE73" s="3"/>
      <c r="DF73" s="3"/>
      <c r="DG73" s="3"/>
      <c r="DH73" s="3"/>
      <c r="DI73" s="3"/>
      <c r="DJ73" s="3"/>
      <c r="DK73" s="3"/>
      <c r="DL73" s="3"/>
      <c r="DM73" s="3"/>
      <c r="DN73" s="3"/>
      <c r="DO73" s="3"/>
      <c r="DP73" s="3"/>
      <c r="DQ73" s="3"/>
      <c r="DR73" s="3"/>
      <c r="DS73" s="3"/>
      <c r="DT73" s="3"/>
      <c r="DU73" s="3"/>
      <c r="DV73" s="3"/>
      <c r="DW73" s="3"/>
      <c r="DX73" s="3"/>
      <c r="DY73" s="3"/>
      <c r="DZ73" s="3"/>
      <c r="EA73" s="3"/>
      <c r="EB73" s="3"/>
      <c r="EC73" s="3"/>
      <c r="ED73" s="3"/>
      <c r="EE73" s="3"/>
      <c r="EF73" s="3"/>
      <c r="EG73" s="3"/>
      <c r="EH73" s="3"/>
      <c r="EI73" s="3"/>
      <c r="EJ73" s="3"/>
      <c r="EK73" s="3"/>
      <c r="EL73" s="3"/>
      <c r="EM73" s="3"/>
      <c r="EN73" s="3"/>
      <c r="EO73" s="3"/>
      <c r="EP73" s="3"/>
      <c r="EQ73" s="3"/>
      <c r="ER73" s="3"/>
      <c r="ES73" s="3"/>
      <c r="ET73" s="3"/>
      <c r="EU73" s="3"/>
      <c r="EV73" s="3"/>
      <c r="EW73" s="3"/>
      <c r="EX73" s="3"/>
      <c r="EY73" s="3"/>
      <c r="EZ73" s="3"/>
      <c r="FA73" s="3"/>
      <c r="FB73" s="3"/>
      <c r="FC73" s="3"/>
      <c r="FD73" s="3"/>
      <c r="FE73" s="3"/>
      <c r="FF73" s="3"/>
      <c r="FG73" s="3"/>
      <c r="FH73" s="3"/>
      <c r="FI73" s="3"/>
      <c r="FJ73" s="3"/>
      <c r="FK73" s="3"/>
      <c r="FL73" s="3"/>
      <c r="FM73" s="3"/>
      <c r="FN73" s="3"/>
      <c r="FO73" s="3"/>
      <c r="FP73" s="3"/>
      <c r="FQ73" s="3"/>
      <c r="FR73" s="3"/>
      <c r="FS73" s="3"/>
      <c r="FT73" s="3"/>
      <c r="FU73" s="3"/>
      <c r="FV73" s="3"/>
      <c r="FW73" s="3"/>
      <c r="FX73" s="3"/>
      <c r="FY73" s="3"/>
      <c r="FZ73" s="3"/>
      <c r="GA73" s="3"/>
      <c r="GB73" s="3"/>
      <c r="GC73" s="3"/>
      <c r="GD73" s="3"/>
      <c r="GE73" s="3"/>
      <c r="GF73" s="3"/>
      <c r="GG73" s="3"/>
      <c r="GH73" s="3"/>
      <c r="GI73" s="3"/>
      <c r="GJ73" s="3"/>
      <c r="GK73" s="3"/>
      <c r="GL73" s="3"/>
      <c r="GM73" s="3"/>
      <c r="GN73" s="3"/>
      <c r="GO73" s="3"/>
      <c r="GP73" s="3"/>
      <c r="GQ73" s="3"/>
      <c r="GR73" s="3"/>
      <c r="GS73" s="3"/>
      <c r="GT73" s="3"/>
      <c r="GU73" s="3"/>
      <c r="GV73" s="3"/>
      <c r="GW73" s="3"/>
      <c r="GX73" s="3"/>
      <c r="GY73" s="3"/>
      <c r="GZ73" s="3"/>
      <c r="HA73" s="3"/>
      <c r="HB73" s="3"/>
      <c r="HC73" s="3"/>
      <c r="HD73" s="3"/>
      <c r="HE73" s="3"/>
      <c r="HF73" s="3"/>
    </row>
    <row r="74" spans="1:214" x14ac:dyDescent="0.25">
      <c r="E74" s="186"/>
      <c r="F74" s="114"/>
      <c r="G74" s="4"/>
      <c r="H74" s="4"/>
      <c r="I74" s="4"/>
      <c r="J74" s="4"/>
      <c r="K74" s="4"/>
      <c r="L74" s="114"/>
      <c r="M74" s="4"/>
      <c r="N74" s="4"/>
      <c r="O74" s="4"/>
      <c r="P74" s="4"/>
      <c r="Q74" s="4"/>
      <c r="R74" s="114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  <c r="CR74" s="3"/>
      <c r="CS74" s="3"/>
      <c r="CT74" s="3"/>
      <c r="CU74" s="3"/>
      <c r="CV74" s="3"/>
      <c r="CW74" s="3"/>
      <c r="CX74" s="3"/>
      <c r="CY74" s="3"/>
      <c r="CZ74" s="3"/>
      <c r="DA74" s="3"/>
      <c r="DB74" s="3"/>
      <c r="DC74" s="3"/>
      <c r="DD74" s="3"/>
      <c r="DE74" s="3"/>
      <c r="DF74" s="3"/>
      <c r="DG74" s="3"/>
      <c r="DH74" s="3"/>
      <c r="DI74" s="3"/>
      <c r="DJ74" s="3"/>
      <c r="DK74" s="3"/>
      <c r="DL74" s="3"/>
      <c r="DM74" s="3"/>
      <c r="DN74" s="3"/>
      <c r="DO74" s="3"/>
      <c r="DP74" s="3"/>
      <c r="DQ74" s="3"/>
      <c r="DR74" s="3"/>
      <c r="DS74" s="3"/>
      <c r="DT74" s="3"/>
      <c r="DU74" s="3"/>
      <c r="DV74" s="3"/>
      <c r="DW74" s="3"/>
      <c r="DX74" s="3"/>
      <c r="DY74" s="3"/>
      <c r="DZ74" s="3"/>
      <c r="EA74" s="3"/>
      <c r="EB74" s="3"/>
      <c r="EC74" s="3"/>
      <c r="ED74" s="3"/>
      <c r="EE74" s="3"/>
      <c r="EF74" s="3"/>
      <c r="EG74" s="3"/>
      <c r="EH74" s="3"/>
      <c r="EI74" s="3"/>
      <c r="EJ74" s="3"/>
      <c r="EK74" s="3"/>
      <c r="EL74" s="3"/>
      <c r="EM74" s="3"/>
      <c r="EN74" s="3"/>
      <c r="EO74" s="3"/>
      <c r="EP74" s="3"/>
      <c r="EQ74" s="3"/>
      <c r="ER74" s="3"/>
      <c r="ES74" s="3"/>
      <c r="ET74" s="3"/>
      <c r="EU74" s="3"/>
      <c r="EV74" s="3"/>
      <c r="EW74" s="3"/>
      <c r="EX74" s="3"/>
      <c r="EY74" s="3"/>
      <c r="EZ74" s="3"/>
      <c r="FA74" s="3"/>
      <c r="FB74" s="3"/>
      <c r="FC74" s="3"/>
      <c r="FD74" s="3"/>
      <c r="FE74" s="3"/>
      <c r="FF74" s="3"/>
      <c r="FG74" s="3"/>
      <c r="FH74" s="3"/>
      <c r="FI74" s="3"/>
      <c r="FJ74" s="3"/>
      <c r="FK74" s="3"/>
      <c r="FL74" s="3"/>
      <c r="FM74" s="3"/>
      <c r="FN74" s="3"/>
      <c r="FO74" s="3"/>
      <c r="FP74" s="3"/>
      <c r="FQ74" s="3"/>
      <c r="FR74" s="3"/>
      <c r="FS74" s="3"/>
      <c r="FT74" s="3"/>
      <c r="FU74" s="3"/>
      <c r="FV74" s="3"/>
      <c r="FW74" s="3"/>
      <c r="FX74" s="3"/>
      <c r="FY74" s="3"/>
      <c r="FZ74" s="3"/>
      <c r="GA74" s="3"/>
      <c r="GB74" s="3"/>
      <c r="GC74" s="3"/>
      <c r="GD74" s="3"/>
      <c r="GE74" s="3"/>
      <c r="GF74" s="3"/>
      <c r="GG74" s="3"/>
      <c r="GH74" s="3"/>
      <c r="GI74" s="3"/>
      <c r="GJ74" s="3"/>
      <c r="GK74" s="3"/>
      <c r="GL74" s="3"/>
      <c r="GM74" s="3"/>
      <c r="GN74" s="3"/>
      <c r="GO74" s="3"/>
      <c r="GP74" s="3"/>
      <c r="GQ74" s="3"/>
      <c r="GR74" s="3"/>
      <c r="GS74" s="3"/>
      <c r="GT74" s="3"/>
      <c r="GU74" s="3"/>
      <c r="GV74" s="3"/>
      <c r="GW74" s="3"/>
      <c r="GX74" s="3"/>
      <c r="GY74" s="3"/>
      <c r="GZ74" s="3"/>
      <c r="HA74" s="3"/>
      <c r="HB74" s="3"/>
      <c r="HC74" s="3"/>
      <c r="HD74" s="3"/>
      <c r="HE74" s="3"/>
      <c r="HF74" s="3"/>
    </row>
    <row r="75" spans="1:214" x14ac:dyDescent="0.25">
      <c r="E75" s="186"/>
      <c r="F75" s="114"/>
      <c r="G75" s="4"/>
      <c r="H75" s="4"/>
      <c r="I75" s="4"/>
      <c r="J75" s="4"/>
      <c r="K75" s="4"/>
      <c r="L75" s="114"/>
      <c r="M75" s="4"/>
      <c r="N75" s="4"/>
      <c r="O75" s="4"/>
      <c r="P75" s="4"/>
      <c r="Q75" s="4"/>
      <c r="R75" s="114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3"/>
      <c r="CQ75" s="3"/>
      <c r="CR75" s="3"/>
      <c r="CS75" s="3"/>
      <c r="CT75" s="3"/>
      <c r="CU75" s="3"/>
      <c r="CV75" s="3"/>
      <c r="CW75" s="3"/>
      <c r="CX75" s="3"/>
      <c r="CY75" s="3"/>
      <c r="CZ75" s="3"/>
      <c r="DA75" s="3"/>
      <c r="DB75" s="3"/>
      <c r="DC75" s="3"/>
      <c r="DD75" s="3"/>
      <c r="DE75" s="3"/>
      <c r="DF75" s="3"/>
      <c r="DG75" s="3"/>
      <c r="DH75" s="3"/>
      <c r="DI75" s="3"/>
      <c r="DJ75" s="3"/>
      <c r="DK75" s="3"/>
      <c r="DL75" s="3"/>
      <c r="DM75" s="3"/>
      <c r="DN75" s="3"/>
      <c r="DO75" s="3"/>
      <c r="DP75" s="3"/>
      <c r="DQ75" s="3"/>
      <c r="DR75" s="3"/>
      <c r="DS75" s="3"/>
      <c r="DT75" s="3"/>
      <c r="DU75" s="3"/>
      <c r="DV75" s="3"/>
      <c r="DW75" s="3"/>
      <c r="DX75" s="3"/>
      <c r="DY75" s="3"/>
      <c r="DZ75" s="3"/>
      <c r="EA75" s="3"/>
      <c r="EB75" s="3"/>
      <c r="EC75" s="3"/>
      <c r="ED75" s="3"/>
      <c r="EE75" s="3"/>
      <c r="EF75" s="3"/>
      <c r="EG75" s="3"/>
      <c r="EH75" s="3"/>
      <c r="EI75" s="3"/>
      <c r="EJ75" s="3"/>
      <c r="EK75" s="3"/>
      <c r="EL75" s="3"/>
      <c r="EM75" s="3"/>
      <c r="EN75" s="3"/>
      <c r="EO75" s="3"/>
      <c r="EP75" s="3"/>
      <c r="EQ75" s="3"/>
      <c r="ER75" s="3"/>
      <c r="ES75" s="3"/>
      <c r="ET75" s="3"/>
      <c r="EU75" s="3"/>
      <c r="EV75" s="3"/>
      <c r="EW75" s="3"/>
      <c r="EX75" s="3"/>
      <c r="EY75" s="3"/>
      <c r="EZ75" s="3"/>
      <c r="FA75" s="3"/>
      <c r="FB75" s="3"/>
      <c r="FC75" s="3"/>
      <c r="FD75" s="3"/>
      <c r="FE75" s="3"/>
      <c r="FF75" s="3"/>
      <c r="FG75" s="3"/>
      <c r="FH75" s="3"/>
      <c r="FI75" s="3"/>
      <c r="FJ75" s="3"/>
      <c r="FK75" s="3"/>
      <c r="FL75" s="3"/>
      <c r="FM75" s="3"/>
      <c r="FN75" s="3"/>
      <c r="FO75" s="3"/>
      <c r="FP75" s="3"/>
      <c r="FQ75" s="3"/>
      <c r="FR75" s="3"/>
      <c r="FS75" s="3"/>
      <c r="FT75" s="3"/>
      <c r="FU75" s="3"/>
      <c r="FV75" s="3"/>
      <c r="FW75" s="3"/>
      <c r="FX75" s="3"/>
      <c r="FY75" s="3"/>
      <c r="FZ75" s="3"/>
      <c r="GA75" s="3"/>
      <c r="GB75" s="3"/>
      <c r="GC75" s="3"/>
      <c r="GD75" s="3"/>
      <c r="GE75" s="3"/>
      <c r="GF75" s="3"/>
      <c r="GG75" s="3"/>
      <c r="GH75" s="3"/>
      <c r="GI75" s="3"/>
      <c r="GJ75" s="3"/>
      <c r="GK75" s="3"/>
      <c r="GL75" s="3"/>
      <c r="GM75" s="3"/>
      <c r="GN75" s="3"/>
      <c r="GO75" s="3"/>
      <c r="GP75" s="3"/>
      <c r="GQ75" s="3"/>
      <c r="GR75" s="3"/>
      <c r="GS75" s="3"/>
      <c r="GT75" s="3"/>
      <c r="GU75" s="3"/>
      <c r="GV75" s="3"/>
      <c r="GW75" s="3"/>
      <c r="GX75" s="3"/>
      <c r="GY75" s="3"/>
      <c r="GZ75" s="3"/>
      <c r="HA75" s="3"/>
      <c r="HB75" s="3"/>
      <c r="HC75" s="3"/>
      <c r="HD75" s="3"/>
      <c r="HE75" s="3"/>
      <c r="HF75" s="3"/>
    </row>
    <row r="76" spans="1:214" x14ac:dyDescent="0.25">
      <c r="E76" s="186"/>
      <c r="F76" s="114"/>
      <c r="G76" s="4"/>
      <c r="H76" s="4"/>
      <c r="I76" s="4"/>
      <c r="J76" s="4"/>
      <c r="K76" s="4"/>
      <c r="L76" s="114"/>
      <c r="M76" s="4"/>
      <c r="N76" s="4"/>
      <c r="O76" s="4"/>
      <c r="P76" s="4"/>
      <c r="Q76" s="4"/>
      <c r="R76" s="114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  <c r="DC76" s="3"/>
      <c r="DD76" s="3"/>
      <c r="DE76" s="3"/>
      <c r="DF76" s="3"/>
      <c r="DG76" s="3"/>
      <c r="DH76" s="3"/>
      <c r="DI76" s="3"/>
      <c r="DJ76" s="3"/>
      <c r="DK76" s="3"/>
      <c r="DL76" s="3"/>
      <c r="DM76" s="3"/>
      <c r="DN76" s="3"/>
      <c r="DO76" s="3"/>
      <c r="DP76" s="3"/>
      <c r="DQ76" s="3"/>
      <c r="DR76" s="3"/>
      <c r="DS76" s="3"/>
      <c r="DT76" s="3"/>
      <c r="DU76" s="3"/>
      <c r="DV76" s="3"/>
      <c r="DW76" s="3"/>
      <c r="DX76" s="3"/>
      <c r="DY76" s="3"/>
      <c r="DZ76" s="3"/>
      <c r="EA76" s="3"/>
      <c r="EB76" s="3"/>
      <c r="EC76" s="3"/>
      <c r="ED76" s="3"/>
      <c r="EE76" s="3"/>
      <c r="EF76" s="3"/>
      <c r="EG76" s="3"/>
      <c r="EH76" s="3"/>
      <c r="EI76" s="3"/>
      <c r="EJ76" s="3"/>
      <c r="EK76" s="3"/>
      <c r="EL76" s="3"/>
      <c r="EM76" s="3"/>
      <c r="EN76" s="3"/>
      <c r="EO76" s="3"/>
      <c r="EP76" s="3"/>
      <c r="EQ76" s="3"/>
      <c r="ER76" s="3"/>
      <c r="ES76" s="3"/>
      <c r="ET76" s="3"/>
      <c r="EU76" s="3"/>
      <c r="EV76" s="3"/>
      <c r="EW76" s="3"/>
      <c r="EX76" s="3"/>
      <c r="EY76" s="3"/>
      <c r="EZ76" s="3"/>
      <c r="FA76" s="3"/>
      <c r="FB76" s="3"/>
      <c r="FC76" s="3"/>
      <c r="FD76" s="3"/>
      <c r="FE76" s="3"/>
      <c r="FF76" s="3"/>
      <c r="FG76" s="3"/>
      <c r="FH76" s="3"/>
      <c r="FI76" s="3"/>
      <c r="FJ76" s="3"/>
      <c r="FK76" s="3"/>
      <c r="FL76" s="3"/>
      <c r="FM76" s="3"/>
      <c r="FN76" s="3"/>
      <c r="FO76" s="3"/>
      <c r="FP76" s="3"/>
      <c r="FQ76" s="3"/>
      <c r="FR76" s="3"/>
      <c r="FS76" s="3"/>
      <c r="FT76" s="3"/>
      <c r="FU76" s="3"/>
      <c r="FV76" s="3"/>
      <c r="FW76" s="3"/>
      <c r="FX76" s="3"/>
      <c r="FY76" s="3"/>
      <c r="FZ76" s="3"/>
      <c r="GA76" s="3"/>
      <c r="GB76" s="3"/>
      <c r="GC76" s="3"/>
      <c r="GD76" s="3"/>
      <c r="GE76" s="3"/>
      <c r="GF76" s="3"/>
      <c r="GG76" s="3"/>
      <c r="GH76" s="3"/>
      <c r="GI76" s="3"/>
      <c r="GJ76" s="3"/>
      <c r="GK76" s="3"/>
      <c r="GL76" s="3"/>
      <c r="GM76" s="3"/>
      <c r="GN76" s="3"/>
      <c r="GO76" s="3"/>
      <c r="GP76" s="3"/>
      <c r="GQ76" s="3"/>
      <c r="GR76" s="3"/>
      <c r="GS76" s="3"/>
      <c r="GT76" s="3"/>
      <c r="GU76" s="3"/>
      <c r="GV76" s="3"/>
      <c r="GW76" s="3"/>
      <c r="GX76" s="3"/>
      <c r="GY76" s="3"/>
      <c r="GZ76" s="3"/>
      <c r="HA76" s="3"/>
      <c r="HB76" s="3"/>
      <c r="HC76" s="3"/>
      <c r="HD76" s="3"/>
      <c r="HE76" s="3"/>
      <c r="HF76" s="3"/>
    </row>
    <row r="77" spans="1:214" x14ac:dyDescent="0.25">
      <c r="E77" s="186"/>
      <c r="F77" s="114"/>
      <c r="G77" s="4"/>
      <c r="H77" s="4"/>
      <c r="I77" s="4"/>
      <c r="J77" s="4"/>
      <c r="K77" s="4"/>
      <c r="L77" s="114"/>
      <c r="M77" s="4"/>
      <c r="N77" s="4"/>
      <c r="O77" s="4"/>
      <c r="P77" s="4"/>
      <c r="Q77" s="4"/>
      <c r="R77" s="114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  <c r="CK77" s="3"/>
      <c r="CL77" s="3"/>
      <c r="CM77" s="3"/>
      <c r="CN77" s="3"/>
      <c r="CO77" s="3"/>
      <c r="CP77" s="3"/>
      <c r="CQ77" s="3"/>
      <c r="CR77" s="3"/>
      <c r="CS77" s="3"/>
      <c r="CT77" s="3"/>
      <c r="CU77" s="3"/>
      <c r="CV77" s="3"/>
      <c r="CW77" s="3"/>
      <c r="CX77" s="3"/>
      <c r="CY77" s="3"/>
      <c r="CZ77" s="3"/>
      <c r="DA77" s="3"/>
      <c r="DB77" s="3"/>
      <c r="DC77" s="3"/>
      <c r="DD77" s="3"/>
      <c r="DE77" s="3"/>
      <c r="DF77" s="3"/>
      <c r="DG77" s="3"/>
      <c r="DH77" s="3"/>
      <c r="DI77" s="3"/>
      <c r="DJ77" s="3"/>
      <c r="DK77" s="3"/>
      <c r="DL77" s="3"/>
      <c r="DM77" s="3"/>
      <c r="DN77" s="3"/>
      <c r="DO77" s="3"/>
      <c r="DP77" s="3"/>
      <c r="DQ77" s="3"/>
      <c r="DR77" s="3"/>
      <c r="DS77" s="3"/>
      <c r="DT77" s="3"/>
      <c r="DU77" s="3"/>
      <c r="DV77" s="3"/>
      <c r="DW77" s="3"/>
      <c r="DX77" s="3"/>
      <c r="DY77" s="3"/>
      <c r="DZ77" s="3"/>
      <c r="EA77" s="3"/>
      <c r="EB77" s="3"/>
      <c r="EC77" s="3"/>
      <c r="ED77" s="3"/>
      <c r="EE77" s="3"/>
      <c r="EF77" s="3"/>
      <c r="EG77" s="3"/>
      <c r="EH77" s="3"/>
      <c r="EI77" s="3"/>
      <c r="EJ77" s="3"/>
      <c r="EK77" s="3"/>
      <c r="EL77" s="3"/>
      <c r="EM77" s="3"/>
      <c r="EN77" s="3"/>
      <c r="EO77" s="3"/>
      <c r="EP77" s="3"/>
      <c r="EQ77" s="3"/>
      <c r="ER77" s="3"/>
      <c r="ES77" s="3"/>
      <c r="ET77" s="3"/>
      <c r="EU77" s="3"/>
      <c r="EV77" s="3"/>
      <c r="EW77" s="3"/>
      <c r="EX77" s="3"/>
      <c r="EY77" s="3"/>
      <c r="EZ77" s="3"/>
      <c r="FA77" s="3"/>
      <c r="FB77" s="3"/>
      <c r="FC77" s="3"/>
      <c r="FD77" s="3"/>
      <c r="FE77" s="3"/>
      <c r="FF77" s="3"/>
      <c r="FG77" s="3"/>
      <c r="FH77" s="3"/>
      <c r="FI77" s="3"/>
      <c r="FJ77" s="3"/>
      <c r="FK77" s="3"/>
      <c r="FL77" s="3"/>
      <c r="FM77" s="3"/>
      <c r="FN77" s="3"/>
      <c r="FO77" s="3"/>
      <c r="FP77" s="3"/>
      <c r="FQ77" s="3"/>
      <c r="FR77" s="3"/>
      <c r="FS77" s="3"/>
      <c r="FT77" s="3"/>
      <c r="FU77" s="3"/>
      <c r="FV77" s="3"/>
      <c r="FW77" s="3"/>
      <c r="FX77" s="3"/>
      <c r="FY77" s="3"/>
      <c r="FZ77" s="3"/>
      <c r="GA77" s="3"/>
      <c r="GB77" s="3"/>
      <c r="GC77" s="3"/>
      <c r="GD77" s="3"/>
      <c r="GE77" s="3"/>
      <c r="GF77" s="3"/>
      <c r="GG77" s="3"/>
      <c r="GH77" s="3"/>
      <c r="GI77" s="3"/>
      <c r="GJ77" s="3"/>
      <c r="GK77" s="3"/>
      <c r="GL77" s="3"/>
      <c r="GM77" s="3"/>
      <c r="GN77" s="3"/>
      <c r="GO77" s="3"/>
      <c r="GP77" s="3"/>
      <c r="GQ77" s="3"/>
      <c r="GR77" s="3"/>
      <c r="GS77" s="3"/>
      <c r="GT77" s="3"/>
      <c r="GU77" s="3"/>
      <c r="GV77" s="3"/>
      <c r="GW77" s="3"/>
      <c r="GX77" s="3"/>
      <c r="GY77" s="3"/>
      <c r="GZ77" s="3"/>
      <c r="HA77" s="3"/>
      <c r="HB77" s="3"/>
      <c r="HC77" s="3"/>
      <c r="HD77" s="3"/>
      <c r="HE77" s="3"/>
      <c r="HF77" s="3"/>
    </row>
    <row r="78" spans="1:214" x14ac:dyDescent="0.25">
      <c r="E78" s="186"/>
      <c r="F78" s="114"/>
      <c r="G78" s="4"/>
      <c r="H78" s="4"/>
      <c r="I78" s="4"/>
      <c r="J78" s="4"/>
      <c r="K78" s="4"/>
      <c r="L78" s="114"/>
      <c r="M78" s="4"/>
      <c r="N78" s="4"/>
      <c r="O78" s="4"/>
      <c r="P78" s="4"/>
      <c r="Q78" s="4"/>
      <c r="R78" s="114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  <c r="CR78" s="3"/>
      <c r="CS78" s="3"/>
      <c r="CT78" s="3"/>
      <c r="CU78" s="3"/>
      <c r="CV78" s="3"/>
      <c r="CW78" s="3"/>
      <c r="CX78" s="3"/>
      <c r="CY78" s="3"/>
      <c r="CZ78" s="3"/>
      <c r="DA78" s="3"/>
      <c r="DB78" s="3"/>
      <c r="DC78" s="3"/>
      <c r="DD78" s="3"/>
      <c r="DE78" s="3"/>
      <c r="DF78" s="3"/>
      <c r="DG78" s="3"/>
      <c r="DH78" s="3"/>
      <c r="DI78" s="3"/>
      <c r="DJ78" s="3"/>
      <c r="DK78" s="3"/>
      <c r="DL78" s="3"/>
      <c r="DM78" s="3"/>
      <c r="DN78" s="3"/>
      <c r="DO78" s="3"/>
      <c r="DP78" s="3"/>
      <c r="DQ78" s="3"/>
      <c r="DR78" s="3"/>
      <c r="DS78" s="3"/>
      <c r="DT78" s="3"/>
      <c r="DU78" s="3"/>
      <c r="DV78" s="3"/>
      <c r="DW78" s="3"/>
      <c r="DX78" s="3"/>
      <c r="DY78" s="3"/>
      <c r="DZ78" s="3"/>
      <c r="EA78" s="3"/>
      <c r="EB78" s="3"/>
      <c r="EC78" s="3"/>
      <c r="ED78" s="3"/>
      <c r="EE78" s="3"/>
      <c r="EF78" s="3"/>
      <c r="EG78" s="3"/>
      <c r="EH78" s="3"/>
      <c r="EI78" s="3"/>
      <c r="EJ78" s="3"/>
      <c r="EK78" s="3"/>
      <c r="EL78" s="3"/>
      <c r="EM78" s="3"/>
      <c r="EN78" s="3"/>
      <c r="EO78" s="3"/>
      <c r="EP78" s="3"/>
      <c r="EQ78" s="3"/>
      <c r="ER78" s="3"/>
      <c r="ES78" s="3"/>
      <c r="ET78" s="3"/>
      <c r="EU78" s="3"/>
      <c r="EV78" s="3"/>
      <c r="EW78" s="3"/>
      <c r="EX78" s="3"/>
      <c r="EY78" s="3"/>
      <c r="EZ78" s="3"/>
      <c r="FA78" s="3"/>
      <c r="FB78" s="3"/>
      <c r="FC78" s="3"/>
      <c r="FD78" s="3"/>
      <c r="FE78" s="3"/>
      <c r="FF78" s="3"/>
      <c r="FG78" s="3"/>
      <c r="FH78" s="3"/>
      <c r="FI78" s="3"/>
      <c r="FJ78" s="3"/>
      <c r="FK78" s="3"/>
      <c r="FL78" s="3"/>
      <c r="FM78" s="3"/>
      <c r="FN78" s="3"/>
      <c r="FO78" s="3"/>
      <c r="FP78" s="3"/>
      <c r="FQ78" s="3"/>
      <c r="FR78" s="3"/>
      <c r="FS78" s="3"/>
      <c r="FT78" s="3"/>
      <c r="FU78" s="3"/>
      <c r="FV78" s="3"/>
      <c r="FW78" s="3"/>
      <c r="FX78" s="3"/>
      <c r="FY78" s="3"/>
      <c r="FZ78" s="3"/>
      <c r="GA78" s="3"/>
      <c r="GB78" s="3"/>
      <c r="GC78" s="3"/>
      <c r="GD78" s="3"/>
      <c r="GE78" s="3"/>
      <c r="GF78" s="3"/>
      <c r="GG78" s="3"/>
      <c r="GH78" s="3"/>
      <c r="GI78" s="3"/>
      <c r="GJ78" s="3"/>
      <c r="GK78" s="3"/>
      <c r="GL78" s="3"/>
      <c r="GM78" s="3"/>
      <c r="GN78" s="3"/>
      <c r="GO78" s="3"/>
      <c r="GP78" s="3"/>
      <c r="GQ78" s="3"/>
      <c r="GR78" s="3"/>
      <c r="GS78" s="3"/>
      <c r="GT78" s="3"/>
      <c r="GU78" s="3"/>
      <c r="GV78" s="3"/>
      <c r="GW78" s="3"/>
      <c r="GX78" s="3"/>
      <c r="GY78" s="3"/>
      <c r="GZ78" s="3"/>
      <c r="HA78" s="3"/>
      <c r="HB78" s="3"/>
      <c r="HC78" s="3"/>
      <c r="HD78" s="3"/>
      <c r="HE78" s="3"/>
      <c r="HF78" s="3"/>
    </row>
    <row r="79" spans="1:214" x14ac:dyDescent="0.25">
      <c r="E79" s="186"/>
      <c r="F79" s="114"/>
      <c r="G79" s="4"/>
      <c r="H79" s="4"/>
      <c r="I79" s="4"/>
      <c r="J79" s="4"/>
      <c r="K79" s="4"/>
      <c r="L79" s="114"/>
      <c r="M79" s="4"/>
      <c r="N79" s="4"/>
      <c r="O79" s="4"/>
      <c r="P79" s="4"/>
      <c r="Q79" s="4"/>
      <c r="R79" s="114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  <c r="CK79" s="3"/>
      <c r="CL79" s="3"/>
      <c r="CM79" s="3"/>
      <c r="CN79" s="3"/>
      <c r="CO79" s="3"/>
      <c r="CP79" s="3"/>
      <c r="CQ79" s="3"/>
      <c r="CR79" s="3"/>
      <c r="CS79" s="3"/>
      <c r="CT79" s="3"/>
      <c r="CU79" s="3"/>
      <c r="CV79" s="3"/>
      <c r="CW79" s="3"/>
      <c r="CX79" s="3"/>
      <c r="CY79" s="3"/>
      <c r="CZ79" s="3"/>
      <c r="DA79" s="3"/>
      <c r="DB79" s="3"/>
      <c r="DC79" s="3"/>
      <c r="DD79" s="3"/>
      <c r="DE79" s="3"/>
      <c r="DF79" s="3"/>
      <c r="DG79" s="3"/>
      <c r="DH79" s="3"/>
      <c r="DI79" s="3"/>
      <c r="DJ79" s="3"/>
      <c r="DK79" s="3"/>
      <c r="DL79" s="3"/>
      <c r="DM79" s="3"/>
      <c r="DN79" s="3"/>
      <c r="DO79" s="3"/>
      <c r="DP79" s="3"/>
      <c r="DQ79" s="3"/>
      <c r="DR79" s="3"/>
      <c r="DS79" s="3"/>
      <c r="DT79" s="3"/>
      <c r="DU79" s="3"/>
      <c r="DV79" s="3"/>
      <c r="DW79" s="3"/>
      <c r="DX79" s="3"/>
      <c r="DY79" s="3"/>
      <c r="DZ79" s="3"/>
      <c r="EA79" s="3"/>
      <c r="EB79" s="3"/>
      <c r="EC79" s="3"/>
      <c r="ED79" s="3"/>
      <c r="EE79" s="3"/>
      <c r="EF79" s="3"/>
      <c r="EG79" s="3"/>
      <c r="EH79" s="3"/>
      <c r="EI79" s="3"/>
      <c r="EJ79" s="3"/>
      <c r="EK79" s="3"/>
      <c r="EL79" s="3"/>
      <c r="EM79" s="3"/>
      <c r="EN79" s="3"/>
      <c r="EO79" s="3"/>
      <c r="EP79" s="3"/>
      <c r="EQ79" s="3"/>
      <c r="ER79" s="3"/>
      <c r="ES79" s="3"/>
      <c r="ET79" s="3"/>
      <c r="EU79" s="3"/>
      <c r="EV79" s="3"/>
      <c r="EW79" s="3"/>
      <c r="EX79" s="3"/>
      <c r="EY79" s="3"/>
      <c r="EZ79" s="3"/>
      <c r="FA79" s="3"/>
      <c r="FB79" s="3"/>
      <c r="FC79" s="3"/>
      <c r="FD79" s="3"/>
      <c r="FE79" s="3"/>
      <c r="FF79" s="3"/>
      <c r="FG79" s="3"/>
      <c r="FH79" s="3"/>
      <c r="FI79" s="3"/>
      <c r="FJ79" s="3"/>
      <c r="FK79" s="3"/>
      <c r="FL79" s="3"/>
      <c r="FM79" s="3"/>
      <c r="FN79" s="3"/>
      <c r="FO79" s="3"/>
      <c r="FP79" s="3"/>
      <c r="FQ79" s="3"/>
      <c r="FR79" s="3"/>
      <c r="FS79" s="3"/>
      <c r="FT79" s="3"/>
      <c r="FU79" s="3"/>
      <c r="FV79" s="3"/>
      <c r="FW79" s="3"/>
      <c r="FX79" s="3"/>
      <c r="FY79" s="3"/>
      <c r="FZ79" s="3"/>
      <c r="GA79" s="3"/>
      <c r="GB79" s="3"/>
      <c r="GC79" s="3"/>
      <c r="GD79" s="3"/>
      <c r="GE79" s="3"/>
      <c r="GF79" s="3"/>
      <c r="GG79" s="3"/>
      <c r="GH79" s="3"/>
      <c r="GI79" s="3"/>
      <c r="GJ79" s="3"/>
      <c r="GK79" s="3"/>
      <c r="GL79" s="3"/>
      <c r="GM79" s="3"/>
      <c r="GN79" s="3"/>
      <c r="GO79" s="3"/>
      <c r="GP79" s="3"/>
      <c r="GQ79" s="3"/>
      <c r="GR79" s="3"/>
      <c r="GS79" s="3"/>
      <c r="GT79" s="3"/>
      <c r="GU79" s="3"/>
      <c r="GV79" s="3"/>
      <c r="GW79" s="3"/>
      <c r="GX79" s="3"/>
      <c r="GY79" s="3"/>
      <c r="GZ79" s="3"/>
      <c r="HA79" s="3"/>
      <c r="HB79" s="3"/>
      <c r="HC79" s="3"/>
      <c r="HD79" s="3"/>
      <c r="HE79" s="3"/>
      <c r="HF79" s="3"/>
    </row>
    <row r="80" spans="1:214" x14ac:dyDescent="0.25">
      <c r="E80" s="186"/>
      <c r="F80" s="114"/>
      <c r="G80" s="4"/>
      <c r="H80" s="4"/>
      <c r="I80" s="4"/>
      <c r="J80" s="4"/>
      <c r="K80" s="4"/>
      <c r="L80" s="114"/>
      <c r="M80" s="4"/>
      <c r="N80" s="4"/>
      <c r="O80" s="4"/>
      <c r="P80" s="4"/>
      <c r="Q80" s="4"/>
      <c r="R80" s="114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  <c r="CW80" s="3"/>
      <c r="CX80" s="3"/>
      <c r="CY80" s="3"/>
      <c r="CZ80" s="3"/>
      <c r="DA80" s="3"/>
      <c r="DB80" s="3"/>
      <c r="DC80" s="3"/>
      <c r="DD80" s="3"/>
      <c r="DE80" s="3"/>
      <c r="DF80" s="3"/>
      <c r="DG80" s="3"/>
      <c r="DH80" s="3"/>
      <c r="DI80" s="3"/>
      <c r="DJ80" s="3"/>
      <c r="DK80" s="3"/>
      <c r="DL80" s="3"/>
      <c r="DM80" s="3"/>
      <c r="DN80" s="3"/>
      <c r="DO80" s="3"/>
      <c r="DP80" s="3"/>
      <c r="DQ80" s="3"/>
      <c r="DR80" s="3"/>
      <c r="DS80" s="3"/>
      <c r="DT80" s="3"/>
      <c r="DU80" s="3"/>
      <c r="DV80" s="3"/>
      <c r="DW80" s="3"/>
      <c r="DX80" s="3"/>
      <c r="DY80" s="3"/>
      <c r="DZ80" s="3"/>
      <c r="EA80" s="3"/>
      <c r="EB80" s="3"/>
      <c r="EC80" s="3"/>
      <c r="ED80" s="3"/>
      <c r="EE80" s="3"/>
      <c r="EF80" s="3"/>
      <c r="EG80" s="3"/>
      <c r="EH80" s="3"/>
      <c r="EI80" s="3"/>
      <c r="EJ80" s="3"/>
      <c r="EK80" s="3"/>
      <c r="EL80" s="3"/>
      <c r="EM80" s="3"/>
      <c r="EN80" s="3"/>
      <c r="EO80" s="3"/>
      <c r="EP80" s="3"/>
      <c r="EQ80" s="3"/>
      <c r="ER80" s="3"/>
      <c r="ES80" s="3"/>
      <c r="ET80" s="3"/>
      <c r="EU80" s="3"/>
      <c r="EV80" s="3"/>
      <c r="EW80" s="3"/>
      <c r="EX80" s="3"/>
      <c r="EY80" s="3"/>
      <c r="EZ80" s="3"/>
      <c r="FA80" s="3"/>
      <c r="FB80" s="3"/>
      <c r="FC80" s="3"/>
      <c r="FD80" s="3"/>
      <c r="FE80" s="3"/>
      <c r="FF80" s="3"/>
      <c r="FG80" s="3"/>
      <c r="FH80" s="3"/>
      <c r="FI80" s="3"/>
      <c r="FJ80" s="3"/>
      <c r="FK80" s="3"/>
      <c r="FL80" s="3"/>
      <c r="FM80" s="3"/>
      <c r="FN80" s="3"/>
      <c r="FO80" s="3"/>
      <c r="FP80" s="3"/>
      <c r="FQ80" s="3"/>
      <c r="FR80" s="3"/>
      <c r="FS80" s="3"/>
      <c r="FT80" s="3"/>
      <c r="FU80" s="3"/>
      <c r="FV80" s="3"/>
      <c r="FW80" s="3"/>
      <c r="FX80" s="3"/>
      <c r="FY80" s="3"/>
      <c r="FZ80" s="3"/>
      <c r="GA80" s="3"/>
      <c r="GB80" s="3"/>
      <c r="GC80" s="3"/>
      <c r="GD80" s="3"/>
      <c r="GE80" s="3"/>
      <c r="GF80" s="3"/>
      <c r="GG80" s="3"/>
      <c r="GH80" s="3"/>
      <c r="GI80" s="3"/>
      <c r="GJ80" s="3"/>
      <c r="GK80" s="3"/>
      <c r="GL80" s="3"/>
      <c r="GM80" s="3"/>
      <c r="GN80" s="3"/>
      <c r="GO80" s="3"/>
      <c r="GP80" s="3"/>
      <c r="GQ80" s="3"/>
      <c r="GR80" s="3"/>
      <c r="GS80" s="3"/>
      <c r="GT80" s="3"/>
      <c r="GU80" s="3"/>
      <c r="GV80" s="3"/>
      <c r="GW80" s="3"/>
      <c r="GX80" s="3"/>
      <c r="GY80" s="3"/>
      <c r="GZ80" s="3"/>
      <c r="HA80" s="3"/>
      <c r="HB80" s="3"/>
      <c r="HC80" s="3"/>
      <c r="HD80" s="3"/>
      <c r="HE80" s="3"/>
      <c r="HF80" s="3"/>
    </row>
    <row r="81" spans="5:214" x14ac:dyDescent="0.25">
      <c r="E81" s="186"/>
      <c r="F81" s="114"/>
      <c r="G81" s="4"/>
      <c r="H81" s="4"/>
      <c r="I81" s="4"/>
      <c r="J81" s="4"/>
      <c r="K81" s="4"/>
      <c r="L81" s="114"/>
      <c r="M81" s="4"/>
      <c r="N81" s="4"/>
      <c r="O81" s="4"/>
      <c r="P81" s="4"/>
      <c r="Q81" s="4"/>
      <c r="R81" s="114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  <c r="CT81" s="3"/>
      <c r="CU81" s="3"/>
      <c r="CV81" s="3"/>
      <c r="CW81" s="3"/>
      <c r="CX81" s="3"/>
      <c r="CY81" s="3"/>
      <c r="CZ81" s="3"/>
      <c r="DA81" s="3"/>
      <c r="DB81" s="3"/>
      <c r="DC81" s="3"/>
      <c r="DD81" s="3"/>
      <c r="DE81" s="3"/>
      <c r="DF81" s="3"/>
      <c r="DG81" s="3"/>
      <c r="DH81" s="3"/>
      <c r="DI81" s="3"/>
      <c r="DJ81" s="3"/>
      <c r="DK81" s="3"/>
      <c r="DL81" s="3"/>
      <c r="DM81" s="3"/>
      <c r="DN81" s="3"/>
      <c r="DO81" s="3"/>
      <c r="DP81" s="3"/>
      <c r="DQ81" s="3"/>
      <c r="DR81" s="3"/>
      <c r="DS81" s="3"/>
      <c r="DT81" s="3"/>
      <c r="DU81" s="3"/>
      <c r="DV81" s="3"/>
      <c r="DW81" s="3"/>
      <c r="DX81" s="3"/>
      <c r="DY81" s="3"/>
      <c r="DZ81" s="3"/>
      <c r="EA81" s="3"/>
      <c r="EB81" s="3"/>
      <c r="EC81" s="3"/>
      <c r="ED81" s="3"/>
      <c r="EE81" s="3"/>
      <c r="EF81" s="3"/>
      <c r="EG81" s="3"/>
      <c r="EH81" s="3"/>
      <c r="EI81" s="3"/>
      <c r="EJ81" s="3"/>
      <c r="EK81" s="3"/>
      <c r="EL81" s="3"/>
      <c r="EM81" s="3"/>
      <c r="EN81" s="3"/>
      <c r="EO81" s="3"/>
      <c r="EP81" s="3"/>
      <c r="EQ81" s="3"/>
      <c r="ER81" s="3"/>
      <c r="ES81" s="3"/>
      <c r="ET81" s="3"/>
      <c r="EU81" s="3"/>
      <c r="EV81" s="3"/>
      <c r="EW81" s="3"/>
      <c r="EX81" s="3"/>
      <c r="EY81" s="3"/>
      <c r="EZ81" s="3"/>
      <c r="FA81" s="3"/>
      <c r="FB81" s="3"/>
      <c r="FC81" s="3"/>
      <c r="FD81" s="3"/>
      <c r="FE81" s="3"/>
      <c r="FF81" s="3"/>
      <c r="FG81" s="3"/>
      <c r="FH81" s="3"/>
      <c r="FI81" s="3"/>
      <c r="FJ81" s="3"/>
      <c r="FK81" s="3"/>
      <c r="FL81" s="3"/>
      <c r="FM81" s="3"/>
      <c r="FN81" s="3"/>
      <c r="FO81" s="3"/>
      <c r="FP81" s="3"/>
      <c r="FQ81" s="3"/>
      <c r="FR81" s="3"/>
      <c r="FS81" s="3"/>
      <c r="FT81" s="3"/>
      <c r="FU81" s="3"/>
      <c r="FV81" s="3"/>
      <c r="FW81" s="3"/>
      <c r="FX81" s="3"/>
      <c r="FY81" s="3"/>
      <c r="FZ81" s="3"/>
      <c r="GA81" s="3"/>
      <c r="GB81" s="3"/>
      <c r="GC81" s="3"/>
      <c r="GD81" s="3"/>
      <c r="GE81" s="3"/>
      <c r="GF81" s="3"/>
      <c r="GG81" s="3"/>
      <c r="GH81" s="3"/>
      <c r="GI81" s="3"/>
      <c r="GJ81" s="3"/>
      <c r="GK81" s="3"/>
      <c r="GL81" s="3"/>
      <c r="GM81" s="3"/>
      <c r="GN81" s="3"/>
      <c r="GO81" s="3"/>
      <c r="GP81" s="3"/>
      <c r="GQ81" s="3"/>
      <c r="GR81" s="3"/>
      <c r="GS81" s="3"/>
      <c r="GT81" s="3"/>
      <c r="GU81" s="3"/>
      <c r="GV81" s="3"/>
      <c r="GW81" s="3"/>
      <c r="GX81" s="3"/>
      <c r="GY81" s="3"/>
      <c r="GZ81" s="3"/>
      <c r="HA81" s="3"/>
      <c r="HB81" s="3"/>
      <c r="HC81" s="3"/>
      <c r="HD81" s="3"/>
      <c r="HE81" s="3"/>
      <c r="HF81" s="3"/>
    </row>
    <row r="82" spans="5:214" x14ac:dyDescent="0.25">
      <c r="E82" s="186"/>
      <c r="F82" s="114"/>
      <c r="G82" s="4"/>
      <c r="H82" s="4"/>
      <c r="I82" s="4"/>
      <c r="J82" s="4"/>
      <c r="K82" s="4"/>
      <c r="L82" s="114"/>
      <c r="M82" s="4"/>
      <c r="N82" s="4"/>
      <c r="O82" s="4"/>
      <c r="P82" s="4"/>
      <c r="Q82" s="4"/>
      <c r="R82" s="114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3"/>
      <c r="CW82" s="3"/>
      <c r="CX82" s="3"/>
      <c r="CY82" s="3"/>
      <c r="CZ82" s="3"/>
      <c r="DA82" s="3"/>
      <c r="DB82" s="3"/>
      <c r="DC82" s="3"/>
      <c r="DD82" s="3"/>
      <c r="DE82" s="3"/>
      <c r="DF82" s="3"/>
      <c r="DG82" s="3"/>
      <c r="DH82" s="3"/>
      <c r="DI82" s="3"/>
      <c r="DJ82" s="3"/>
      <c r="DK82" s="3"/>
      <c r="DL82" s="3"/>
      <c r="DM82" s="3"/>
      <c r="DN82" s="3"/>
      <c r="DO82" s="3"/>
      <c r="DP82" s="3"/>
      <c r="DQ82" s="3"/>
      <c r="DR82" s="3"/>
      <c r="DS82" s="3"/>
      <c r="DT82" s="3"/>
      <c r="DU82" s="3"/>
      <c r="DV82" s="3"/>
      <c r="DW82" s="3"/>
      <c r="DX82" s="3"/>
      <c r="DY82" s="3"/>
      <c r="DZ82" s="3"/>
      <c r="EA82" s="3"/>
      <c r="EB82" s="3"/>
      <c r="EC82" s="3"/>
      <c r="ED82" s="3"/>
      <c r="EE82" s="3"/>
      <c r="EF82" s="3"/>
      <c r="EG82" s="3"/>
      <c r="EH82" s="3"/>
      <c r="EI82" s="3"/>
      <c r="EJ82" s="3"/>
      <c r="EK82" s="3"/>
      <c r="EL82" s="3"/>
      <c r="EM82" s="3"/>
      <c r="EN82" s="3"/>
      <c r="EO82" s="3"/>
      <c r="EP82" s="3"/>
      <c r="EQ82" s="3"/>
      <c r="ER82" s="3"/>
      <c r="ES82" s="3"/>
      <c r="ET82" s="3"/>
      <c r="EU82" s="3"/>
      <c r="EV82" s="3"/>
      <c r="EW82" s="3"/>
      <c r="EX82" s="3"/>
      <c r="EY82" s="3"/>
      <c r="EZ82" s="3"/>
      <c r="FA82" s="3"/>
      <c r="FB82" s="3"/>
      <c r="FC82" s="3"/>
      <c r="FD82" s="3"/>
      <c r="FE82" s="3"/>
      <c r="FF82" s="3"/>
      <c r="FG82" s="3"/>
      <c r="FH82" s="3"/>
      <c r="FI82" s="3"/>
      <c r="FJ82" s="3"/>
      <c r="FK82" s="3"/>
      <c r="FL82" s="3"/>
      <c r="FM82" s="3"/>
      <c r="FN82" s="3"/>
      <c r="FO82" s="3"/>
      <c r="FP82" s="3"/>
      <c r="FQ82" s="3"/>
      <c r="FR82" s="3"/>
      <c r="FS82" s="3"/>
      <c r="FT82" s="3"/>
      <c r="FU82" s="3"/>
      <c r="FV82" s="3"/>
      <c r="FW82" s="3"/>
      <c r="FX82" s="3"/>
      <c r="FY82" s="3"/>
      <c r="FZ82" s="3"/>
      <c r="GA82" s="3"/>
      <c r="GB82" s="3"/>
      <c r="GC82" s="3"/>
      <c r="GD82" s="3"/>
      <c r="GE82" s="3"/>
      <c r="GF82" s="3"/>
      <c r="GG82" s="3"/>
      <c r="GH82" s="3"/>
      <c r="GI82" s="3"/>
      <c r="GJ82" s="3"/>
      <c r="GK82" s="3"/>
      <c r="GL82" s="3"/>
      <c r="GM82" s="3"/>
      <c r="GN82" s="3"/>
      <c r="GO82" s="3"/>
      <c r="GP82" s="3"/>
      <c r="GQ82" s="3"/>
      <c r="GR82" s="3"/>
      <c r="GS82" s="3"/>
      <c r="GT82" s="3"/>
      <c r="GU82" s="3"/>
      <c r="GV82" s="3"/>
      <c r="GW82" s="3"/>
      <c r="GX82" s="3"/>
      <c r="GY82" s="3"/>
      <c r="GZ82" s="3"/>
      <c r="HA82" s="3"/>
      <c r="HB82" s="3"/>
      <c r="HC82" s="3"/>
      <c r="HD82" s="3"/>
      <c r="HE82" s="3"/>
      <c r="HF82" s="3"/>
    </row>
    <row r="83" spans="5:214" x14ac:dyDescent="0.25">
      <c r="E83" s="186"/>
      <c r="F83" s="114"/>
      <c r="G83" s="4"/>
      <c r="H83" s="4"/>
      <c r="I83" s="4"/>
      <c r="J83" s="4"/>
      <c r="K83" s="4"/>
      <c r="L83" s="114"/>
      <c r="M83" s="4"/>
      <c r="N83" s="4"/>
      <c r="O83" s="4"/>
      <c r="P83" s="4"/>
      <c r="Q83" s="4"/>
      <c r="R83" s="114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T83" s="3"/>
      <c r="CU83" s="3"/>
      <c r="CV83" s="3"/>
      <c r="CW83" s="3"/>
      <c r="CX83" s="3"/>
      <c r="CY83" s="3"/>
      <c r="CZ83" s="3"/>
      <c r="DA83" s="3"/>
      <c r="DB83" s="3"/>
      <c r="DC83" s="3"/>
      <c r="DD83" s="3"/>
      <c r="DE83" s="3"/>
      <c r="DF83" s="3"/>
      <c r="DG83" s="3"/>
      <c r="DH83" s="3"/>
      <c r="DI83" s="3"/>
      <c r="DJ83" s="3"/>
      <c r="DK83" s="3"/>
      <c r="DL83" s="3"/>
      <c r="DM83" s="3"/>
      <c r="DN83" s="3"/>
      <c r="DO83" s="3"/>
      <c r="DP83" s="3"/>
      <c r="DQ83" s="3"/>
      <c r="DR83" s="3"/>
      <c r="DS83" s="3"/>
      <c r="DT83" s="3"/>
      <c r="DU83" s="3"/>
      <c r="DV83" s="3"/>
      <c r="DW83" s="3"/>
      <c r="DX83" s="3"/>
      <c r="DY83" s="3"/>
      <c r="DZ83" s="3"/>
      <c r="EA83" s="3"/>
      <c r="EB83" s="3"/>
      <c r="EC83" s="3"/>
      <c r="ED83" s="3"/>
      <c r="EE83" s="3"/>
      <c r="EF83" s="3"/>
      <c r="EG83" s="3"/>
      <c r="EH83" s="3"/>
      <c r="EI83" s="3"/>
      <c r="EJ83" s="3"/>
      <c r="EK83" s="3"/>
      <c r="EL83" s="3"/>
      <c r="EM83" s="3"/>
      <c r="EN83" s="3"/>
      <c r="EO83" s="3"/>
      <c r="EP83" s="3"/>
      <c r="EQ83" s="3"/>
      <c r="ER83" s="3"/>
      <c r="ES83" s="3"/>
      <c r="ET83" s="3"/>
      <c r="EU83" s="3"/>
      <c r="EV83" s="3"/>
      <c r="EW83" s="3"/>
      <c r="EX83" s="3"/>
      <c r="EY83" s="3"/>
      <c r="EZ83" s="3"/>
      <c r="FA83" s="3"/>
      <c r="FB83" s="3"/>
      <c r="FC83" s="3"/>
      <c r="FD83" s="3"/>
      <c r="FE83" s="3"/>
      <c r="FF83" s="3"/>
      <c r="FG83" s="3"/>
      <c r="FH83" s="3"/>
      <c r="FI83" s="3"/>
      <c r="FJ83" s="3"/>
      <c r="FK83" s="3"/>
      <c r="FL83" s="3"/>
      <c r="FM83" s="3"/>
      <c r="FN83" s="3"/>
      <c r="FO83" s="3"/>
      <c r="FP83" s="3"/>
      <c r="FQ83" s="3"/>
      <c r="FR83" s="3"/>
      <c r="FS83" s="3"/>
      <c r="FT83" s="3"/>
      <c r="FU83" s="3"/>
      <c r="FV83" s="3"/>
      <c r="FW83" s="3"/>
      <c r="FX83" s="3"/>
      <c r="FY83" s="3"/>
      <c r="FZ83" s="3"/>
      <c r="GA83" s="3"/>
      <c r="GB83" s="3"/>
      <c r="GC83" s="3"/>
      <c r="GD83" s="3"/>
      <c r="GE83" s="3"/>
      <c r="GF83" s="3"/>
      <c r="GG83" s="3"/>
      <c r="GH83" s="3"/>
      <c r="GI83" s="3"/>
      <c r="GJ83" s="3"/>
      <c r="GK83" s="3"/>
      <c r="GL83" s="3"/>
      <c r="GM83" s="3"/>
      <c r="GN83" s="3"/>
      <c r="GO83" s="3"/>
      <c r="GP83" s="3"/>
      <c r="GQ83" s="3"/>
      <c r="GR83" s="3"/>
      <c r="GS83" s="3"/>
      <c r="GT83" s="3"/>
      <c r="GU83" s="3"/>
      <c r="GV83" s="3"/>
      <c r="GW83" s="3"/>
      <c r="GX83" s="3"/>
      <c r="GY83" s="3"/>
      <c r="GZ83" s="3"/>
      <c r="HA83" s="3"/>
      <c r="HB83" s="3"/>
      <c r="HC83" s="3"/>
      <c r="HD83" s="3"/>
      <c r="HE83" s="3"/>
      <c r="HF83" s="3"/>
    </row>
    <row r="84" spans="5:214" x14ac:dyDescent="0.25">
      <c r="E84" s="186"/>
      <c r="F84" s="114"/>
      <c r="G84" s="4"/>
      <c r="H84" s="4"/>
      <c r="I84" s="4"/>
      <c r="J84" s="4"/>
      <c r="K84" s="4"/>
      <c r="L84" s="114"/>
      <c r="M84" s="4"/>
      <c r="N84" s="4"/>
      <c r="O84" s="4"/>
      <c r="P84" s="4"/>
      <c r="Q84" s="4"/>
      <c r="R84" s="114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  <c r="CT84" s="3"/>
      <c r="CU84" s="3"/>
      <c r="CV84" s="3"/>
      <c r="CW84" s="3"/>
      <c r="CX84" s="3"/>
      <c r="CY84" s="3"/>
      <c r="CZ84" s="3"/>
      <c r="DA84" s="3"/>
      <c r="DB84" s="3"/>
      <c r="DC84" s="3"/>
      <c r="DD84" s="3"/>
      <c r="DE84" s="3"/>
      <c r="DF84" s="3"/>
      <c r="DG84" s="3"/>
      <c r="DH84" s="3"/>
      <c r="DI84" s="3"/>
      <c r="DJ84" s="3"/>
      <c r="DK84" s="3"/>
      <c r="DL84" s="3"/>
      <c r="DM84" s="3"/>
      <c r="DN84" s="3"/>
      <c r="DO84" s="3"/>
      <c r="DP84" s="3"/>
      <c r="DQ84" s="3"/>
      <c r="DR84" s="3"/>
      <c r="DS84" s="3"/>
      <c r="DT84" s="3"/>
      <c r="DU84" s="3"/>
      <c r="DV84" s="3"/>
      <c r="DW84" s="3"/>
      <c r="DX84" s="3"/>
      <c r="DY84" s="3"/>
      <c r="DZ84" s="3"/>
      <c r="EA84" s="3"/>
      <c r="EB84" s="3"/>
      <c r="EC84" s="3"/>
      <c r="ED84" s="3"/>
      <c r="EE84" s="3"/>
      <c r="EF84" s="3"/>
      <c r="EG84" s="3"/>
      <c r="EH84" s="3"/>
      <c r="EI84" s="3"/>
      <c r="EJ84" s="3"/>
      <c r="EK84" s="3"/>
      <c r="EL84" s="3"/>
      <c r="EM84" s="3"/>
      <c r="EN84" s="3"/>
      <c r="EO84" s="3"/>
      <c r="EP84" s="3"/>
      <c r="EQ84" s="3"/>
      <c r="ER84" s="3"/>
      <c r="ES84" s="3"/>
      <c r="ET84" s="3"/>
      <c r="EU84" s="3"/>
      <c r="EV84" s="3"/>
      <c r="EW84" s="3"/>
      <c r="EX84" s="3"/>
      <c r="EY84" s="3"/>
      <c r="EZ84" s="3"/>
      <c r="FA84" s="3"/>
      <c r="FB84" s="3"/>
      <c r="FC84" s="3"/>
      <c r="FD84" s="3"/>
      <c r="FE84" s="3"/>
      <c r="FF84" s="3"/>
      <c r="FG84" s="3"/>
      <c r="FH84" s="3"/>
      <c r="FI84" s="3"/>
      <c r="FJ84" s="3"/>
      <c r="FK84" s="3"/>
      <c r="FL84" s="3"/>
      <c r="FM84" s="3"/>
      <c r="FN84" s="3"/>
      <c r="FO84" s="3"/>
      <c r="FP84" s="3"/>
      <c r="FQ84" s="3"/>
      <c r="FR84" s="3"/>
      <c r="FS84" s="3"/>
      <c r="FT84" s="3"/>
      <c r="FU84" s="3"/>
      <c r="FV84" s="3"/>
      <c r="FW84" s="3"/>
      <c r="FX84" s="3"/>
      <c r="FY84" s="3"/>
      <c r="FZ84" s="3"/>
      <c r="GA84" s="3"/>
      <c r="GB84" s="3"/>
      <c r="GC84" s="3"/>
      <c r="GD84" s="3"/>
      <c r="GE84" s="3"/>
      <c r="GF84" s="3"/>
      <c r="GG84" s="3"/>
      <c r="GH84" s="3"/>
      <c r="GI84" s="3"/>
      <c r="GJ84" s="3"/>
      <c r="GK84" s="3"/>
      <c r="GL84" s="3"/>
      <c r="GM84" s="3"/>
      <c r="GN84" s="3"/>
      <c r="GO84" s="3"/>
      <c r="GP84" s="3"/>
      <c r="GQ84" s="3"/>
      <c r="GR84" s="3"/>
      <c r="GS84" s="3"/>
      <c r="GT84" s="3"/>
      <c r="GU84" s="3"/>
      <c r="GV84" s="3"/>
      <c r="GW84" s="3"/>
      <c r="GX84" s="3"/>
      <c r="GY84" s="3"/>
      <c r="GZ84" s="3"/>
      <c r="HA84" s="3"/>
      <c r="HB84" s="3"/>
      <c r="HC84" s="3"/>
      <c r="HD84" s="3"/>
      <c r="HE84" s="3"/>
      <c r="HF84" s="3"/>
    </row>
    <row r="85" spans="5:214" x14ac:dyDescent="0.25">
      <c r="E85" s="186"/>
      <c r="F85" s="114"/>
      <c r="G85" s="4"/>
      <c r="H85" s="4"/>
      <c r="I85" s="4"/>
      <c r="J85" s="4"/>
      <c r="K85" s="4"/>
      <c r="L85" s="114"/>
      <c r="M85" s="4"/>
      <c r="N85" s="4"/>
      <c r="O85" s="4"/>
      <c r="P85" s="4"/>
      <c r="Q85" s="4"/>
      <c r="R85" s="114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  <c r="CR85" s="3"/>
      <c r="CS85" s="3"/>
      <c r="CT85" s="3"/>
      <c r="CU85" s="3"/>
      <c r="CV85" s="3"/>
      <c r="CW85" s="3"/>
      <c r="CX85" s="3"/>
      <c r="CY85" s="3"/>
      <c r="CZ85" s="3"/>
      <c r="DA85" s="3"/>
      <c r="DB85" s="3"/>
      <c r="DC85" s="3"/>
      <c r="DD85" s="3"/>
      <c r="DE85" s="3"/>
      <c r="DF85" s="3"/>
      <c r="DG85" s="3"/>
      <c r="DH85" s="3"/>
      <c r="DI85" s="3"/>
      <c r="DJ85" s="3"/>
      <c r="DK85" s="3"/>
      <c r="DL85" s="3"/>
      <c r="DM85" s="3"/>
      <c r="DN85" s="3"/>
      <c r="DO85" s="3"/>
      <c r="DP85" s="3"/>
      <c r="DQ85" s="3"/>
      <c r="DR85" s="3"/>
      <c r="DS85" s="3"/>
      <c r="DT85" s="3"/>
      <c r="DU85" s="3"/>
      <c r="DV85" s="3"/>
      <c r="DW85" s="3"/>
      <c r="DX85" s="3"/>
      <c r="DY85" s="3"/>
      <c r="DZ85" s="3"/>
      <c r="EA85" s="3"/>
      <c r="EB85" s="3"/>
      <c r="EC85" s="3"/>
      <c r="ED85" s="3"/>
      <c r="EE85" s="3"/>
      <c r="EF85" s="3"/>
      <c r="EG85" s="3"/>
      <c r="EH85" s="3"/>
      <c r="EI85" s="3"/>
      <c r="EJ85" s="3"/>
      <c r="EK85" s="3"/>
      <c r="EL85" s="3"/>
      <c r="EM85" s="3"/>
      <c r="EN85" s="3"/>
      <c r="EO85" s="3"/>
      <c r="EP85" s="3"/>
      <c r="EQ85" s="3"/>
      <c r="ER85" s="3"/>
      <c r="ES85" s="3"/>
      <c r="ET85" s="3"/>
      <c r="EU85" s="3"/>
      <c r="EV85" s="3"/>
      <c r="EW85" s="3"/>
      <c r="EX85" s="3"/>
      <c r="EY85" s="3"/>
      <c r="EZ85" s="3"/>
      <c r="FA85" s="3"/>
      <c r="FB85" s="3"/>
      <c r="FC85" s="3"/>
      <c r="FD85" s="3"/>
      <c r="FE85" s="3"/>
      <c r="FF85" s="3"/>
      <c r="FG85" s="3"/>
      <c r="FH85" s="3"/>
      <c r="FI85" s="3"/>
      <c r="FJ85" s="3"/>
      <c r="FK85" s="3"/>
      <c r="FL85" s="3"/>
      <c r="FM85" s="3"/>
      <c r="FN85" s="3"/>
      <c r="FO85" s="3"/>
      <c r="FP85" s="3"/>
      <c r="FQ85" s="3"/>
      <c r="FR85" s="3"/>
      <c r="FS85" s="3"/>
      <c r="FT85" s="3"/>
      <c r="FU85" s="3"/>
      <c r="FV85" s="3"/>
      <c r="FW85" s="3"/>
      <c r="FX85" s="3"/>
      <c r="FY85" s="3"/>
      <c r="FZ85" s="3"/>
      <c r="GA85" s="3"/>
      <c r="GB85" s="3"/>
      <c r="GC85" s="3"/>
      <c r="GD85" s="3"/>
      <c r="GE85" s="3"/>
      <c r="GF85" s="3"/>
      <c r="GG85" s="3"/>
      <c r="GH85" s="3"/>
      <c r="GI85" s="3"/>
      <c r="GJ85" s="3"/>
      <c r="GK85" s="3"/>
      <c r="GL85" s="3"/>
      <c r="GM85" s="3"/>
      <c r="GN85" s="3"/>
      <c r="GO85" s="3"/>
      <c r="GP85" s="3"/>
      <c r="GQ85" s="3"/>
      <c r="GR85" s="3"/>
      <c r="GS85" s="3"/>
      <c r="GT85" s="3"/>
      <c r="GU85" s="3"/>
      <c r="GV85" s="3"/>
      <c r="GW85" s="3"/>
      <c r="GX85" s="3"/>
      <c r="GY85" s="3"/>
      <c r="GZ85" s="3"/>
      <c r="HA85" s="3"/>
      <c r="HB85" s="3"/>
      <c r="HC85" s="3"/>
      <c r="HD85" s="3"/>
      <c r="HE85" s="3"/>
      <c r="HF85" s="3"/>
    </row>
    <row r="86" spans="5:214" x14ac:dyDescent="0.25">
      <c r="E86" s="186"/>
      <c r="F86" s="114"/>
      <c r="G86" s="4"/>
      <c r="H86" s="4"/>
      <c r="I86" s="4"/>
      <c r="J86" s="4"/>
      <c r="K86" s="4"/>
      <c r="L86" s="114"/>
      <c r="M86" s="4"/>
      <c r="N86" s="4"/>
      <c r="O86" s="4"/>
      <c r="P86" s="4"/>
      <c r="Q86" s="4"/>
      <c r="R86" s="114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  <c r="CP86" s="3"/>
      <c r="CQ86" s="3"/>
      <c r="CR86" s="3"/>
      <c r="CS86" s="3"/>
      <c r="CT86" s="3"/>
      <c r="CU86" s="3"/>
      <c r="CV86" s="3"/>
      <c r="CW86" s="3"/>
      <c r="CX86" s="3"/>
      <c r="CY86" s="3"/>
      <c r="CZ86" s="3"/>
      <c r="DA86" s="3"/>
      <c r="DB86" s="3"/>
      <c r="DC86" s="3"/>
      <c r="DD86" s="3"/>
      <c r="DE86" s="3"/>
      <c r="DF86" s="3"/>
      <c r="DG86" s="3"/>
      <c r="DH86" s="3"/>
      <c r="DI86" s="3"/>
      <c r="DJ86" s="3"/>
      <c r="DK86" s="3"/>
      <c r="DL86" s="3"/>
      <c r="DM86" s="3"/>
      <c r="DN86" s="3"/>
      <c r="DO86" s="3"/>
      <c r="DP86" s="3"/>
      <c r="DQ86" s="3"/>
      <c r="DR86" s="3"/>
      <c r="DS86" s="3"/>
      <c r="DT86" s="3"/>
      <c r="DU86" s="3"/>
      <c r="DV86" s="3"/>
      <c r="DW86" s="3"/>
      <c r="DX86" s="3"/>
      <c r="DY86" s="3"/>
      <c r="DZ86" s="3"/>
      <c r="EA86" s="3"/>
      <c r="EB86" s="3"/>
      <c r="EC86" s="3"/>
      <c r="ED86" s="3"/>
      <c r="EE86" s="3"/>
      <c r="EF86" s="3"/>
      <c r="EG86" s="3"/>
      <c r="EH86" s="3"/>
      <c r="EI86" s="3"/>
      <c r="EJ86" s="3"/>
      <c r="EK86" s="3"/>
      <c r="EL86" s="3"/>
      <c r="EM86" s="3"/>
      <c r="EN86" s="3"/>
      <c r="EO86" s="3"/>
      <c r="EP86" s="3"/>
      <c r="EQ86" s="3"/>
      <c r="ER86" s="3"/>
      <c r="ES86" s="3"/>
      <c r="ET86" s="3"/>
      <c r="EU86" s="3"/>
      <c r="EV86" s="3"/>
      <c r="EW86" s="3"/>
      <c r="EX86" s="3"/>
      <c r="EY86" s="3"/>
      <c r="EZ86" s="3"/>
      <c r="FA86" s="3"/>
      <c r="FB86" s="3"/>
      <c r="FC86" s="3"/>
      <c r="FD86" s="3"/>
      <c r="FE86" s="3"/>
      <c r="FF86" s="3"/>
      <c r="FG86" s="3"/>
      <c r="FH86" s="3"/>
      <c r="FI86" s="3"/>
      <c r="FJ86" s="3"/>
      <c r="FK86" s="3"/>
      <c r="FL86" s="3"/>
      <c r="FM86" s="3"/>
      <c r="FN86" s="3"/>
      <c r="FO86" s="3"/>
      <c r="FP86" s="3"/>
      <c r="FQ86" s="3"/>
      <c r="FR86" s="3"/>
      <c r="FS86" s="3"/>
      <c r="FT86" s="3"/>
      <c r="FU86" s="3"/>
      <c r="FV86" s="3"/>
      <c r="FW86" s="3"/>
      <c r="FX86" s="3"/>
      <c r="FY86" s="3"/>
      <c r="FZ86" s="3"/>
      <c r="GA86" s="3"/>
      <c r="GB86" s="3"/>
      <c r="GC86" s="3"/>
      <c r="GD86" s="3"/>
      <c r="GE86" s="3"/>
      <c r="GF86" s="3"/>
      <c r="GG86" s="3"/>
      <c r="GH86" s="3"/>
      <c r="GI86" s="3"/>
      <c r="GJ86" s="3"/>
      <c r="GK86" s="3"/>
      <c r="GL86" s="3"/>
      <c r="GM86" s="3"/>
      <c r="GN86" s="3"/>
      <c r="GO86" s="3"/>
      <c r="GP86" s="3"/>
      <c r="GQ86" s="3"/>
      <c r="GR86" s="3"/>
      <c r="GS86" s="3"/>
      <c r="GT86" s="3"/>
      <c r="GU86" s="3"/>
      <c r="GV86" s="3"/>
      <c r="GW86" s="3"/>
      <c r="GX86" s="3"/>
      <c r="GY86" s="3"/>
      <c r="GZ86" s="3"/>
      <c r="HA86" s="3"/>
      <c r="HB86" s="3"/>
      <c r="HC86" s="3"/>
      <c r="HD86" s="3"/>
      <c r="HE86" s="3"/>
      <c r="HF86" s="3"/>
    </row>
    <row r="87" spans="5:214" x14ac:dyDescent="0.25">
      <c r="E87" s="186"/>
      <c r="F87" s="114"/>
      <c r="G87" s="4"/>
      <c r="H87" s="4"/>
      <c r="I87" s="4"/>
      <c r="J87" s="4"/>
      <c r="K87" s="4"/>
      <c r="L87" s="114"/>
      <c r="M87" s="4"/>
      <c r="N87" s="4"/>
      <c r="O87" s="4"/>
      <c r="P87" s="4"/>
      <c r="Q87" s="4"/>
      <c r="R87" s="114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  <c r="CR87" s="3"/>
      <c r="CS87" s="3"/>
      <c r="CT87" s="3"/>
      <c r="CU87" s="3"/>
      <c r="CV87" s="3"/>
      <c r="CW87" s="3"/>
      <c r="CX87" s="3"/>
      <c r="CY87" s="3"/>
      <c r="CZ87" s="3"/>
      <c r="DA87" s="3"/>
      <c r="DB87" s="3"/>
      <c r="DC87" s="3"/>
      <c r="DD87" s="3"/>
      <c r="DE87" s="3"/>
      <c r="DF87" s="3"/>
      <c r="DG87" s="3"/>
      <c r="DH87" s="3"/>
      <c r="DI87" s="3"/>
      <c r="DJ87" s="3"/>
      <c r="DK87" s="3"/>
      <c r="DL87" s="3"/>
      <c r="DM87" s="3"/>
      <c r="DN87" s="3"/>
      <c r="DO87" s="3"/>
      <c r="DP87" s="3"/>
      <c r="DQ87" s="3"/>
      <c r="DR87" s="3"/>
      <c r="DS87" s="3"/>
      <c r="DT87" s="3"/>
      <c r="DU87" s="3"/>
      <c r="DV87" s="3"/>
      <c r="DW87" s="3"/>
      <c r="DX87" s="3"/>
      <c r="DY87" s="3"/>
      <c r="DZ87" s="3"/>
      <c r="EA87" s="3"/>
      <c r="EB87" s="3"/>
      <c r="EC87" s="3"/>
      <c r="ED87" s="3"/>
      <c r="EE87" s="3"/>
      <c r="EF87" s="3"/>
      <c r="EG87" s="3"/>
      <c r="EH87" s="3"/>
      <c r="EI87" s="3"/>
      <c r="EJ87" s="3"/>
      <c r="EK87" s="3"/>
      <c r="EL87" s="3"/>
      <c r="EM87" s="3"/>
      <c r="EN87" s="3"/>
      <c r="EO87" s="3"/>
      <c r="EP87" s="3"/>
      <c r="EQ87" s="3"/>
      <c r="ER87" s="3"/>
      <c r="ES87" s="3"/>
      <c r="ET87" s="3"/>
      <c r="EU87" s="3"/>
      <c r="EV87" s="3"/>
      <c r="EW87" s="3"/>
      <c r="EX87" s="3"/>
      <c r="EY87" s="3"/>
      <c r="EZ87" s="3"/>
      <c r="FA87" s="3"/>
      <c r="FB87" s="3"/>
      <c r="FC87" s="3"/>
      <c r="FD87" s="3"/>
      <c r="FE87" s="3"/>
      <c r="FF87" s="3"/>
      <c r="FG87" s="3"/>
      <c r="FH87" s="3"/>
      <c r="FI87" s="3"/>
      <c r="FJ87" s="3"/>
      <c r="FK87" s="3"/>
      <c r="FL87" s="3"/>
      <c r="FM87" s="3"/>
      <c r="FN87" s="3"/>
      <c r="FO87" s="3"/>
      <c r="FP87" s="3"/>
      <c r="FQ87" s="3"/>
      <c r="FR87" s="3"/>
      <c r="FS87" s="3"/>
      <c r="FT87" s="3"/>
      <c r="FU87" s="3"/>
      <c r="FV87" s="3"/>
      <c r="FW87" s="3"/>
      <c r="FX87" s="3"/>
      <c r="FY87" s="3"/>
      <c r="FZ87" s="3"/>
      <c r="GA87" s="3"/>
      <c r="GB87" s="3"/>
      <c r="GC87" s="3"/>
      <c r="GD87" s="3"/>
      <c r="GE87" s="3"/>
      <c r="GF87" s="3"/>
      <c r="GG87" s="3"/>
      <c r="GH87" s="3"/>
      <c r="GI87" s="3"/>
      <c r="GJ87" s="3"/>
      <c r="GK87" s="3"/>
      <c r="GL87" s="3"/>
      <c r="GM87" s="3"/>
      <c r="GN87" s="3"/>
      <c r="GO87" s="3"/>
      <c r="GP87" s="3"/>
      <c r="GQ87" s="3"/>
      <c r="GR87" s="3"/>
      <c r="GS87" s="3"/>
      <c r="GT87" s="3"/>
      <c r="GU87" s="3"/>
      <c r="GV87" s="3"/>
      <c r="GW87" s="3"/>
      <c r="GX87" s="3"/>
      <c r="GY87" s="3"/>
      <c r="GZ87" s="3"/>
      <c r="HA87" s="3"/>
      <c r="HB87" s="3"/>
      <c r="HC87" s="3"/>
      <c r="HD87" s="3"/>
      <c r="HE87" s="3"/>
      <c r="HF87" s="3"/>
    </row>
    <row r="88" spans="5:214" x14ac:dyDescent="0.25">
      <c r="E88" s="186"/>
      <c r="F88" s="114"/>
      <c r="G88" s="4"/>
      <c r="H88" s="4"/>
      <c r="I88" s="4"/>
      <c r="J88" s="4"/>
      <c r="K88" s="4"/>
      <c r="L88" s="114"/>
      <c r="M88" s="4"/>
      <c r="N88" s="4"/>
      <c r="O88" s="4"/>
      <c r="P88" s="4"/>
      <c r="Q88" s="4"/>
      <c r="R88" s="114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3"/>
      <c r="CW88" s="3"/>
      <c r="CX88" s="3"/>
      <c r="CY88" s="3"/>
      <c r="CZ88" s="3"/>
      <c r="DA88" s="3"/>
      <c r="DB88" s="3"/>
      <c r="DC88" s="3"/>
      <c r="DD88" s="3"/>
      <c r="DE88" s="3"/>
      <c r="DF88" s="3"/>
      <c r="DG88" s="3"/>
      <c r="DH88" s="3"/>
      <c r="DI88" s="3"/>
      <c r="DJ88" s="3"/>
      <c r="DK88" s="3"/>
      <c r="DL88" s="3"/>
      <c r="DM88" s="3"/>
      <c r="DN88" s="3"/>
      <c r="DO88" s="3"/>
      <c r="DP88" s="3"/>
      <c r="DQ88" s="3"/>
      <c r="DR88" s="3"/>
      <c r="DS88" s="3"/>
      <c r="DT88" s="3"/>
      <c r="DU88" s="3"/>
      <c r="DV88" s="3"/>
      <c r="DW88" s="3"/>
      <c r="DX88" s="3"/>
      <c r="DY88" s="3"/>
      <c r="DZ88" s="3"/>
      <c r="EA88" s="3"/>
      <c r="EB88" s="3"/>
      <c r="EC88" s="3"/>
      <c r="ED88" s="3"/>
      <c r="EE88" s="3"/>
      <c r="EF88" s="3"/>
      <c r="EG88" s="3"/>
      <c r="EH88" s="3"/>
      <c r="EI88" s="3"/>
      <c r="EJ88" s="3"/>
      <c r="EK88" s="3"/>
      <c r="EL88" s="3"/>
      <c r="EM88" s="3"/>
      <c r="EN88" s="3"/>
      <c r="EO88" s="3"/>
      <c r="EP88" s="3"/>
      <c r="EQ88" s="3"/>
      <c r="ER88" s="3"/>
      <c r="ES88" s="3"/>
      <c r="ET88" s="3"/>
      <c r="EU88" s="3"/>
      <c r="EV88" s="3"/>
      <c r="EW88" s="3"/>
      <c r="EX88" s="3"/>
      <c r="EY88" s="3"/>
      <c r="EZ88" s="3"/>
      <c r="FA88" s="3"/>
      <c r="FB88" s="3"/>
      <c r="FC88" s="3"/>
      <c r="FD88" s="3"/>
      <c r="FE88" s="3"/>
      <c r="FF88" s="3"/>
      <c r="FG88" s="3"/>
      <c r="FH88" s="3"/>
      <c r="FI88" s="3"/>
      <c r="FJ88" s="3"/>
      <c r="FK88" s="3"/>
      <c r="FL88" s="3"/>
      <c r="FM88" s="3"/>
      <c r="FN88" s="3"/>
      <c r="FO88" s="3"/>
      <c r="FP88" s="3"/>
      <c r="FQ88" s="3"/>
      <c r="FR88" s="3"/>
      <c r="FS88" s="3"/>
      <c r="FT88" s="3"/>
      <c r="FU88" s="3"/>
      <c r="FV88" s="3"/>
      <c r="FW88" s="3"/>
      <c r="FX88" s="3"/>
      <c r="FY88" s="3"/>
      <c r="FZ88" s="3"/>
      <c r="GA88" s="3"/>
      <c r="GB88" s="3"/>
      <c r="GC88" s="3"/>
      <c r="GD88" s="3"/>
      <c r="GE88" s="3"/>
      <c r="GF88" s="3"/>
      <c r="GG88" s="3"/>
      <c r="GH88" s="3"/>
      <c r="GI88" s="3"/>
      <c r="GJ88" s="3"/>
      <c r="GK88" s="3"/>
      <c r="GL88" s="3"/>
      <c r="GM88" s="3"/>
      <c r="GN88" s="3"/>
      <c r="GO88" s="3"/>
      <c r="GP88" s="3"/>
      <c r="GQ88" s="3"/>
      <c r="GR88" s="3"/>
      <c r="GS88" s="3"/>
      <c r="GT88" s="3"/>
      <c r="GU88" s="3"/>
      <c r="GV88" s="3"/>
      <c r="GW88" s="3"/>
      <c r="GX88" s="3"/>
      <c r="GY88" s="3"/>
      <c r="GZ88" s="3"/>
      <c r="HA88" s="3"/>
      <c r="HB88" s="3"/>
      <c r="HC88" s="3"/>
      <c r="HD88" s="3"/>
      <c r="HE88" s="3"/>
      <c r="HF88" s="3"/>
    </row>
    <row r="89" spans="5:214" x14ac:dyDescent="0.25">
      <c r="E89" s="186"/>
      <c r="F89" s="114"/>
      <c r="G89" s="4"/>
      <c r="H89" s="4"/>
      <c r="I89" s="4"/>
      <c r="J89" s="4"/>
      <c r="K89" s="4"/>
      <c r="L89" s="114"/>
      <c r="M89" s="4"/>
      <c r="N89" s="4"/>
      <c r="O89" s="4"/>
      <c r="P89" s="4"/>
      <c r="Q89" s="4"/>
      <c r="R89" s="114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3"/>
      <c r="CQ89" s="3"/>
      <c r="CR89" s="3"/>
      <c r="CS89" s="3"/>
      <c r="CT89" s="3"/>
      <c r="CU89" s="3"/>
      <c r="CV89" s="3"/>
      <c r="CW89" s="3"/>
      <c r="CX89" s="3"/>
      <c r="CY89" s="3"/>
      <c r="CZ89" s="3"/>
      <c r="DA89" s="3"/>
      <c r="DB89" s="3"/>
      <c r="DC89" s="3"/>
      <c r="DD89" s="3"/>
      <c r="DE89" s="3"/>
      <c r="DF89" s="3"/>
      <c r="DG89" s="3"/>
      <c r="DH89" s="3"/>
      <c r="DI89" s="3"/>
      <c r="DJ89" s="3"/>
      <c r="DK89" s="3"/>
      <c r="DL89" s="3"/>
      <c r="DM89" s="3"/>
      <c r="DN89" s="3"/>
      <c r="DO89" s="3"/>
      <c r="DP89" s="3"/>
      <c r="DQ89" s="3"/>
      <c r="DR89" s="3"/>
      <c r="DS89" s="3"/>
      <c r="DT89" s="3"/>
      <c r="DU89" s="3"/>
      <c r="DV89" s="3"/>
      <c r="DW89" s="3"/>
      <c r="DX89" s="3"/>
      <c r="DY89" s="3"/>
      <c r="DZ89" s="3"/>
      <c r="EA89" s="3"/>
      <c r="EB89" s="3"/>
      <c r="EC89" s="3"/>
      <c r="ED89" s="3"/>
      <c r="EE89" s="3"/>
      <c r="EF89" s="3"/>
      <c r="EG89" s="3"/>
      <c r="EH89" s="3"/>
      <c r="EI89" s="3"/>
      <c r="EJ89" s="3"/>
      <c r="EK89" s="3"/>
      <c r="EL89" s="3"/>
      <c r="EM89" s="3"/>
      <c r="EN89" s="3"/>
      <c r="EO89" s="3"/>
      <c r="EP89" s="3"/>
      <c r="EQ89" s="3"/>
      <c r="ER89" s="3"/>
      <c r="ES89" s="3"/>
      <c r="ET89" s="3"/>
      <c r="EU89" s="3"/>
      <c r="EV89" s="3"/>
      <c r="EW89" s="3"/>
      <c r="EX89" s="3"/>
      <c r="EY89" s="3"/>
      <c r="EZ89" s="3"/>
      <c r="FA89" s="3"/>
      <c r="FB89" s="3"/>
      <c r="FC89" s="3"/>
      <c r="FD89" s="3"/>
      <c r="FE89" s="3"/>
      <c r="FF89" s="3"/>
      <c r="FG89" s="3"/>
      <c r="FH89" s="3"/>
      <c r="FI89" s="3"/>
      <c r="FJ89" s="3"/>
      <c r="FK89" s="3"/>
      <c r="FL89" s="3"/>
      <c r="FM89" s="3"/>
      <c r="FN89" s="3"/>
      <c r="FO89" s="3"/>
      <c r="FP89" s="3"/>
      <c r="FQ89" s="3"/>
      <c r="FR89" s="3"/>
      <c r="FS89" s="3"/>
      <c r="FT89" s="3"/>
      <c r="FU89" s="3"/>
      <c r="FV89" s="3"/>
      <c r="FW89" s="3"/>
      <c r="FX89" s="3"/>
      <c r="FY89" s="3"/>
      <c r="FZ89" s="3"/>
      <c r="GA89" s="3"/>
      <c r="GB89" s="3"/>
      <c r="GC89" s="3"/>
      <c r="GD89" s="3"/>
      <c r="GE89" s="3"/>
      <c r="GF89" s="3"/>
      <c r="GG89" s="3"/>
      <c r="GH89" s="3"/>
      <c r="GI89" s="3"/>
      <c r="GJ89" s="3"/>
      <c r="GK89" s="3"/>
      <c r="GL89" s="3"/>
      <c r="GM89" s="3"/>
      <c r="GN89" s="3"/>
      <c r="GO89" s="3"/>
      <c r="GP89" s="3"/>
      <c r="GQ89" s="3"/>
      <c r="GR89" s="3"/>
      <c r="GS89" s="3"/>
      <c r="GT89" s="3"/>
      <c r="GU89" s="3"/>
      <c r="GV89" s="3"/>
      <c r="GW89" s="3"/>
      <c r="GX89" s="3"/>
      <c r="GY89" s="3"/>
      <c r="GZ89" s="3"/>
      <c r="HA89" s="3"/>
      <c r="HB89" s="3"/>
      <c r="HC89" s="3"/>
      <c r="HD89" s="3"/>
      <c r="HE89" s="3"/>
      <c r="HF89" s="3"/>
    </row>
    <row r="90" spans="5:214" x14ac:dyDescent="0.25">
      <c r="E90" s="186"/>
      <c r="F90" s="114"/>
      <c r="G90" s="4"/>
      <c r="H90" s="4"/>
      <c r="I90" s="4"/>
      <c r="J90" s="4"/>
      <c r="K90" s="4"/>
      <c r="L90" s="114"/>
      <c r="M90" s="4"/>
      <c r="N90" s="4"/>
      <c r="O90" s="4"/>
      <c r="P90" s="4"/>
      <c r="Q90" s="4"/>
      <c r="R90" s="114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  <c r="CT90" s="3"/>
      <c r="CU90" s="3"/>
      <c r="CV90" s="3"/>
      <c r="CW90" s="3"/>
      <c r="CX90" s="3"/>
      <c r="CY90" s="3"/>
      <c r="CZ90" s="3"/>
      <c r="DA90" s="3"/>
      <c r="DB90" s="3"/>
      <c r="DC90" s="3"/>
      <c r="DD90" s="3"/>
      <c r="DE90" s="3"/>
      <c r="DF90" s="3"/>
      <c r="DG90" s="3"/>
      <c r="DH90" s="3"/>
      <c r="DI90" s="3"/>
      <c r="DJ90" s="3"/>
      <c r="DK90" s="3"/>
      <c r="DL90" s="3"/>
      <c r="DM90" s="3"/>
      <c r="DN90" s="3"/>
      <c r="DO90" s="3"/>
      <c r="DP90" s="3"/>
      <c r="DQ90" s="3"/>
      <c r="DR90" s="3"/>
      <c r="DS90" s="3"/>
      <c r="DT90" s="3"/>
      <c r="DU90" s="3"/>
      <c r="DV90" s="3"/>
      <c r="DW90" s="3"/>
      <c r="DX90" s="3"/>
      <c r="DY90" s="3"/>
      <c r="DZ90" s="3"/>
      <c r="EA90" s="3"/>
      <c r="EB90" s="3"/>
      <c r="EC90" s="3"/>
      <c r="ED90" s="3"/>
      <c r="EE90" s="3"/>
      <c r="EF90" s="3"/>
      <c r="EG90" s="3"/>
      <c r="EH90" s="3"/>
      <c r="EI90" s="3"/>
      <c r="EJ90" s="3"/>
      <c r="EK90" s="3"/>
      <c r="EL90" s="3"/>
      <c r="EM90" s="3"/>
      <c r="EN90" s="3"/>
      <c r="EO90" s="3"/>
      <c r="EP90" s="3"/>
      <c r="EQ90" s="3"/>
      <c r="ER90" s="3"/>
      <c r="ES90" s="3"/>
      <c r="ET90" s="3"/>
      <c r="EU90" s="3"/>
      <c r="EV90" s="3"/>
      <c r="EW90" s="3"/>
      <c r="EX90" s="3"/>
      <c r="EY90" s="3"/>
      <c r="EZ90" s="3"/>
      <c r="FA90" s="3"/>
      <c r="FB90" s="3"/>
      <c r="FC90" s="3"/>
      <c r="FD90" s="3"/>
      <c r="FE90" s="3"/>
      <c r="FF90" s="3"/>
      <c r="FG90" s="3"/>
      <c r="FH90" s="3"/>
      <c r="FI90" s="3"/>
      <c r="FJ90" s="3"/>
      <c r="FK90" s="3"/>
      <c r="FL90" s="3"/>
      <c r="FM90" s="3"/>
      <c r="FN90" s="3"/>
      <c r="FO90" s="3"/>
      <c r="FP90" s="3"/>
      <c r="FQ90" s="3"/>
      <c r="FR90" s="3"/>
      <c r="FS90" s="3"/>
      <c r="FT90" s="3"/>
      <c r="FU90" s="3"/>
      <c r="FV90" s="3"/>
      <c r="FW90" s="3"/>
      <c r="FX90" s="3"/>
      <c r="FY90" s="3"/>
      <c r="FZ90" s="3"/>
      <c r="GA90" s="3"/>
      <c r="GB90" s="3"/>
      <c r="GC90" s="3"/>
      <c r="GD90" s="3"/>
      <c r="GE90" s="3"/>
      <c r="GF90" s="3"/>
      <c r="GG90" s="3"/>
      <c r="GH90" s="3"/>
      <c r="GI90" s="3"/>
      <c r="GJ90" s="3"/>
      <c r="GK90" s="3"/>
      <c r="GL90" s="3"/>
      <c r="GM90" s="3"/>
      <c r="GN90" s="3"/>
      <c r="GO90" s="3"/>
      <c r="GP90" s="3"/>
      <c r="GQ90" s="3"/>
      <c r="GR90" s="3"/>
      <c r="GS90" s="3"/>
      <c r="GT90" s="3"/>
      <c r="GU90" s="3"/>
      <c r="GV90" s="3"/>
      <c r="GW90" s="3"/>
      <c r="GX90" s="3"/>
      <c r="GY90" s="3"/>
      <c r="GZ90" s="3"/>
      <c r="HA90" s="3"/>
      <c r="HB90" s="3"/>
      <c r="HC90" s="3"/>
      <c r="HD90" s="3"/>
      <c r="HE90" s="3"/>
      <c r="HF90" s="3"/>
    </row>
    <row r="91" spans="5:214" x14ac:dyDescent="0.25">
      <c r="E91" s="186"/>
      <c r="F91" s="114"/>
      <c r="G91" s="4"/>
      <c r="H91" s="4"/>
      <c r="I91" s="4"/>
      <c r="J91" s="4"/>
      <c r="K91" s="4"/>
      <c r="L91" s="114"/>
      <c r="M91" s="4"/>
      <c r="N91" s="4"/>
      <c r="O91" s="4"/>
      <c r="P91" s="4"/>
      <c r="Q91" s="4"/>
      <c r="R91" s="114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  <c r="CW91" s="3"/>
      <c r="CX91" s="3"/>
      <c r="CY91" s="3"/>
      <c r="CZ91" s="3"/>
      <c r="DA91" s="3"/>
      <c r="DB91" s="3"/>
      <c r="DC91" s="3"/>
      <c r="DD91" s="3"/>
      <c r="DE91" s="3"/>
      <c r="DF91" s="3"/>
      <c r="DG91" s="3"/>
      <c r="DH91" s="3"/>
      <c r="DI91" s="3"/>
      <c r="DJ91" s="3"/>
      <c r="DK91" s="3"/>
      <c r="DL91" s="3"/>
      <c r="DM91" s="3"/>
      <c r="DN91" s="3"/>
      <c r="DO91" s="3"/>
      <c r="DP91" s="3"/>
      <c r="DQ91" s="3"/>
      <c r="DR91" s="3"/>
      <c r="DS91" s="3"/>
      <c r="DT91" s="3"/>
      <c r="DU91" s="3"/>
      <c r="DV91" s="3"/>
      <c r="DW91" s="3"/>
      <c r="DX91" s="3"/>
      <c r="DY91" s="3"/>
      <c r="DZ91" s="3"/>
      <c r="EA91" s="3"/>
      <c r="EB91" s="3"/>
      <c r="EC91" s="3"/>
      <c r="ED91" s="3"/>
      <c r="EE91" s="3"/>
      <c r="EF91" s="3"/>
      <c r="EG91" s="3"/>
      <c r="EH91" s="3"/>
      <c r="EI91" s="3"/>
      <c r="EJ91" s="3"/>
      <c r="EK91" s="3"/>
      <c r="EL91" s="3"/>
      <c r="EM91" s="3"/>
      <c r="EN91" s="3"/>
      <c r="EO91" s="3"/>
      <c r="EP91" s="3"/>
      <c r="EQ91" s="3"/>
      <c r="ER91" s="3"/>
      <c r="ES91" s="3"/>
      <c r="ET91" s="3"/>
      <c r="EU91" s="3"/>
      <c r="EV91" s="3"/>
      <c r="EW91" s="3"/>
      <c r="EX91" s="3"/>
      <c r="EY91" s="3"/>
      <c r="EZ91" s="3"/>
      <c r="FA91" s="3"/>
      <c r="FB91" s="3"/>
      <c r="FC91" s="3"/>
      <c r="FD91" s="3"/>
      <c r="FE91" s="3"/>
      <c r="FF91" s="3"/>
      <c r="FG91" s="3"/>
      <c r="FH91" s="3"/>
      <c r="FI91" s="3"/>
      <c r="FJ91" s="3"/>
      <c r="FK91" s="3"/>
      <c r="FL91" s="3"/>
      <c r="FM91" s="3"/>
      <c r="FN91" s="3"/>
      <c r="FO91" s="3"/>
      <c r="FP91" s="3"/>
      <c r="FQ91" s="3"/>
      <c r="FR91" s="3"/>
      <c r="FS91" s="3"/>
      <c r="FT91" s="3"/>
      <c r="FU91" s="3"/>
      <c r="FV91" s="3"/>
      <c r="FW91" s="3"/>
      <c r="FX91" s="3"/>
      <c r="FY91" s="3"/>
      <c r="FZ91" s="3"/>
      <c r="GA91" s="3"/>
      <c r="GB91" s="3"/>
      <c r="GC91" s="3"/>
      <c r="GD91" s="3"/>
      <c r="GE91" s="3"/>
      <c r="GF91" s="3"/>
      <c r="GG91" s="3"/>
      <c r="GH91" s="3"/>
      <c r="GI91" s="3"/>
      <c r="GJ91" s="3"/>
      <c r="GK91" s="3"/>
      <c r="GL91" s="3"/>
      <c r="GM91" s="3"/>
      <c r="GN91" s="3"/>
      <c r="GO91" s="3"/>
      <c r="GP91" s="3"/>
      <c r="GQ91" s="3"/>
      <c r="GR91" s="3"/>
      <c r="GS91" s="3"/>
      <c r="GT91" s="3"/>
      <c r="GU91" s="3"/>
      <c r="GV91" s="3"/>
      <c r="GW91" s="3"/>
      <c r="GX91" s="3"/>
      <c r="GY91" s="3"/>
      <c r="GZ91" s="3"/>
      <c r="HA91" s="3"/>
      <c r="HB91" s="3"/>
      <c r="HC91" s="3"/>
      <c r="HD91" s="3"/>
      <c r="HE91" s="3"/>
      <c r="HF91" s="3"/>
    </row>
    <row r="92" spans="5:214" x14ac:dyDescent="0.25">
      <c r="E92" s="186"/>
      <c r="F92" s="114"/>
      <c r="G92" s="4"/>
      <c r="H92" s="4"/>
      <c r="I92" s="4"/>
      <c r="J92" s="4"/>
      <c r="K92" s="4"/>
      <c r="L92" s="114"/>
      <c r="M92" s="4"/>
      <c r="N92" s="4"/>
      <c r="O92" s="4"/>
      <c r="P92" s="4"/>
      <c r="Q92" s="4"/>
      <c r="R92" s="114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  <c r="CW92" s="3"/>
      <c r="CX92" s="3"/>
      <c r="CY92" s="3"/>
      <c r="CZ92" s="3"/>
      <c r="DA92" s="3"/>
      <c r="DB92" s="3"/>
      <c r="DC92" s="3"/>
      <c r="DD92" s="3"/>
      <c r="DE92" s="3"/>
      <c r="DF92" s="3"/>
      <c r="DG92" s="3"/>
      <c r="DH92" s="3"/>
      <c r="DI92" s="3"/>
      <c r="DJ92" s="3"/>
      <c r="DK92" s="3"/>
      <c r="DL92" s="3"/>
      <c r="DM92" s="3"/>
      <c r="DN92" s="3"/>
      <c r="DO92" s="3"/>
      <c r="DP92" s="3"/>
      <c r="DQ92" s="3"/>
      <c r="DR92" s="3"/>
      <c r="DS92" s="3"/>
      <c r="DT92" s="3"/>
      <c r="DU92" s="3"/>
      <c r="DV92" s="3"/>
      <c r="DW92" s="3"/>
      <c r="DX92" s="3"/>
      <c r="DY92" s="3"/>
      <c r="DZ92" s="3"/>
      <c r="EA92" s="3"/>
      <c r="EB92" s="3"/>
      <c r="EC92" s="3"/>
      <c r="ED92" s="3"/>
      <c r="EE92" s="3"/>
      <c r="EF92" s="3"/>
      <c r="EG92" s="3"/>
      <c r="EH92" s="3"/>
      <c r="EI92" s="3"/>
      <c r="EJ92" s="3"/>
      <c r="EK92" s="3"/>
      <c r="EL92" s="3"/>
      <c r="EM92" s="3"/>
      <c r="EN92" s="3"/>
      <c r="EO92" s="3"/>
      <c r="EP92" s="3"/>
      <c r="EQ92" s="3"/>
      <c r="ER92" s="3"/>
      <c r="ES92" s="3"/>
      <c r="ET92" s="3"/>
      <c r="EU92" s="3"/>
      <c r="EV92" s="3"/>
      <c r="EW92" s="3"/>
      <c r="EX92" s="3"/>
      <c r="EY92" s="3"/>
      <c r="EZ92" s="3"/>
      <c r="FA92" s="3"/>
      <c r="FB92" s="3"/>
      <c r="FC92" s="3"/>
      <c r="FD92" s="3"/>
      <c r="FE92" s="3"/>
      <c r="FF92" s="3"/>
      <c r="FG92" s="3"/>
      <c r="FH92" s="3"/>
      <c r="FI92" s="3"/>
      <c r="FJ92" s="3"/>
      <c r="FK92" s="3"/>
      <c r="FL92" s="3"/>
      <c r="FM92" s="3"/>
      <c r="FN92" s="3"/>
      <c r="FO92" s="3"/>
      <c r="FP92" s="3"/>
      <c r="FQ92" s="3"/>
      <c r="FR92" s="3"/>
      <c r="FS92" s="3"/>
      <c r="FT92" s="3"/>
      <c r="FU92" s="3"/>
      <c r="FV92" s="3"/>
      <c r="FW92" s="3"/>
      <c r="FX92" s="3"/>
      <c r="FY92" s="3"/>
      <c r="FZ92" s="3"/>
      <c r="GA92" s="3"/>
      <c r="GB92" s="3"/>
      <c r="GC92" s="3"/>
      <c r="GD92" s="3"/>
      <c r="GE92" s="3"/>
      <c r="GF92" s="3"/>
      <c r="GG92" s="3"/>
      <c r="GH92" s="3"/>
      <c r="GI92" s="3"/>
      <c r="GJ92" s="3"/>
      <c r="GK92" s="3"/>
      <c r="GL92" s="3"/>
      <c r="GM92" s="3"/>
      <c r="GN92" s="3"/>
      <c r="GO92" s="3"/>
      <c r="GP92" s="3"/>
      <c r="GQ92" s="3"/>
      <c r="GR92" s="3"/>
      <c r="GS92" s="3"/>
      <c r="GT92" s="3"/>
      <c r="GU92" s="3"/>
      <c r="GV92" s="3"/>
      <c r="GW92" s="3"/>
      <c r="GX92" s="3"/>
      <c r="GY92" s="3"/>
      <c r="GZ92" s="3"/>
      <c r="HA92" s="3"/>
      <c r="HB92" s="3"/>
      <c r="HC92" s="3"/>
      <c r="HD92" s="3"/>
      <c r="HE92" s="3"/>
      <c r="HF92" s="3"/>
    </row>
    <row r="93" spans="5:214" x14ac:dyDescent="0.25">
      <c r="E93" s="186"/>
      <c r="F93" s="114"/>
      <c r="G93" s="4"/>
      <c r="H93" s="4"/>
      <c r="I93" s="4"/>
      <c r="J93" s="4"/>
      <c r="K93" s="4"/>
      <c r="L93" s="114"/>
      <c r="M93" s="4"/>
      <c r="N93" s="4"/>
      <c r="O93" s="4"/>
      <c r="P93" s="4"/>
      <c r="Q93" s="4"/>
      <c r="R93" s="114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  <c r="CV93" s="3"/>
      <c r="CW93" s="3"/>
      <c r="CX93" s="3"/>
      <c r="CY93" s="3"/>
      <c r="CZ93" s="3"/>
      <c r="DA93" s="3"/>
      <c r="DB93" s="3"/>
      <c r="DC93" s="3"/>
      <c r="DD93" s="3"/>
      <c r="DE93" s="3"/>
      <c r="DF93" s="3"/>
      <c r="DG93" s="3"/>
      <c r="DH93" s="3"/>
      <c r="DI93" s="3"/>
      <c r="DJ93" s="3"/>
      <c r="DK93" s="3"/>
      <c r="DL93" s="3"/>
      <c r="DM93" s="3"/>
      <c r="DN93" s="3"/>
      <c r="DO93" s="3"/>
      <c r="DP93" s="3"/>
      <c r="DQ93" s="3"/>
      <c r="DR93" s="3"/>
      <c r="DS93" s="3"/>
      <c r="DT93" s="3"/>
      <c r="DU93" s="3"/>
      <c r="DV93" s="3"/>
      <c r="DW93" s="3"/>
      <c r="DX93" s="3"/>
      <c r="DY93" s="3"/>
      <c r="DZ93" s="3"/>
      <c r="EA93" s="3"/>
      <c r="EB93" s="3"/>
      <c r="EC93" s="3"/>
      <c r="ED93" s="3"/>
      <c r="EE93" s="3"/>
      <c r="EF93" s="3"/>
      <c r="EG93" s="3"/>
      <c r="EH93" s="3"/>
      <c r="EI93" s="3"/>
      <c r="EJ93" s="3"/>
      <c r="EK93" s="3"/>
      <c r="EL93" s="3"/>
      <c r="EM93" s="3"/>
      <c r="EN93" s="3"/>
      <c r="EO93" s="3"/>
      <c r="EP93" s="3"/>
      <c r="EQ93" s="3"/>
      <c r="ER93" s="3"/>
      <c r="ES93" s="3"/>
      <c r="ET93" s="3"/>
      <c r="EU93" s="3"/>
      <c r="EV93" s="3"/>
      <c r="EW93" s="3"/>
      <c r="EX93" s="3"/>
      <c r="EY93" s="3"/>
      <c r="EZ93" s="3"/>
      <c r="FA93" s="3"/>
      <c r="FB93" s="3"/>
      <c r="FC93" s="3"/>
      <c r="FD93" s="3"/>
      <c r="FE93" s="3"/>
      <c r="FF93" s="3"/>
      <c r="FG93" s="3"/>
      <c r="FH93" s="3"/>
      <c r="FI93" s="3"/>
      <c r="FJ93" s="3"/>
      <c r="FK93" s="3"/>
      <c r="FL93" s="3"/>
      <c r="FM93" s="3"/>
      <c r="FN93" s="3"/>
      <c r="FO93" s="3"/>
      <c r="FP93" s="3"/>
      <c r="FQ93" s="3"/>
      <c r="FR93" s="3"/>
      <c r="FS93" s="3"/>
      <c r="FT93" s="3"/>
      <c r="FU93" s="3"/>
      <c r="FV93" s="3"/>
      <c r="FW93" s="3"/>
      <c r="FX93" s="3"/>
      <c r="FY93" s="3"/>
      <c r="FZ93" s="3"/>
      <c r="GA93" s="3"/>
      <c r="GB93" s="3"/>
      <c r="GC93" s="3"/>
      <c r="GD93" s="3"/>
      <c r="GE93" s="3"/>
      <c r="GF93" s="3"/>
      <c r="GG93" s="3"/>
      <c r="GH93" s="3"/>
      <c r="GI93" s="3"/>
      <c r="GJ93" s="3"/>
      <c r="GK93" s="3"/>
      <c r="GL93" s="3"/>
      <c r="GM93" s="3"/>
      <c r="GN93" s="3"/>
      <c r="GO93" s="3"/>
      <c r="GP93" s="3"/>
      <c r="GQ93" s="3"/>
      <c r="GR93" s="3"/>
      <c r="GS93" s="3"/>
      <c r="GT93" s="3"/>
      <c r="GU93" s="3"/>
      <c r="GV93" s="3"/>
      <c r="GW93" s="3"/>
      <c r="GX93" s="3"/>
      <c r="GY93" s="3"/>
      <c r="GZ93" s="3"/>
      <c r="HA93" s="3"/>
      <c r="HB93" s="3"/>
      <c r="HC93" s="3"/>
      <c r="HD93" s="3"/>
      <c r="HE93" s="3"/>
      <c r="HF93" s="3"/>
    </row>
    <row r="94" spans="5:214" x14ac:dyDescent="0.25">
      <c r="E94" s="186"/>
      <c r="F94" s="114"/>
      <c r="G94" s="4"/>
      <c r="H94" s="4"/>
      <c r="I94" s="4"/>
      <c r="J94" s="4"/>
      <c r="K94" s="4"/>
      <c r="L94" s="114"/>
      <c r="M94" s="4"/>
      <c r="N94" s="4"/>
      <c r="O94" s="4"/>
      <c r="P94" s="4"/>
      <c r="Q94" s="4"/>
      <c r="R94" s="114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3"/>
      <c r="CQ94" s="3"/>
      <c r="CR94" s="3"/>
      <c r="CS94" s="3"/>
      <c r="CT94" s="3"/>
      <c r="CU94" s="3"/>
      <c r="CV94" s="3"/>
      <c r="CW94" s="3"/>
      <c r="CX94" s="3"/>
      <c r="CY94" s="3"/>
      <c r="CZ94" s="3"/>
      <c r="DA94" s="3"/>
      <c r="DB94" s="3"/>
      <c r="DC94" s="3"/>
      <c r="DD94" s="3"/>
      <c r="DE94" s="3"/>
      <c r="DF94" s="3"/>
      <c r="DG94" s="3"/>
      <c r="DH94" s="3"/>
      <c r="DI94" s="3"/>
      <c r="DJ94" s="3"/>
      <c r="DK94" s="3"/>
      <c r="DL94" s="3"/>
      <c r="DM94" s="3"/>
      <c r="DN94" s="3"/>
      <c r="DO94" s="3"/>
      <c r="DP94" s="3"/>
      <c r="DQ94" s="3"/>
      <c r="DR94" s="3"/>
      <c r="DS94" s="3"/>
      <c r="DT94" s="3"/>
      <c r="DU94" s="3"/>
      <c r="DV94" s="3"/>
      <c r="DW94" s="3"/>
      <c r="DX94" s="3"/>
      <c r="DY94" s="3"/>
      <c r="DZ94" s="3"/>
      <c r="EA94" s="3"/>
      <c r="EB94" s="3"/>
      <c r="EC94" s="3"/>
      <c r="ED94" s="3"/>
      <c r="EE94" s="3"/>
      <c r="EF94" s="3"/>
      <c r="EG94" s="3"/>
      <c r="EH94" s="3"/>
      <c r="EI94" s="3"/>
      <c r="EJ94" s="3"/>
      <c r="EK94" s="3"/>
      <c r="EL94" s="3"/>
      <c r="EM94" s="3"/>
      <c r="EN94" s="3"/>
      <c r="EO94" s="3"/>
      <c r="EP94" s="3"/>
      <c r="EQ94" s="3"/>
      <c r="ER94" s="3"/>
      <c r="ES94" s="3"/>
      <c r="ET94" s="3"/>
      <c r="EU94" s="3"/>
      <c r="EV94" s="3"/>
      <c r="EW94" s="3"/>
      <c r="EX94" s="3"/>
      <c r="EY94" s="3"/>
      <c r="EZ94" s="3"/>
      <c r="FA94" s="3"/>
      <c r="FB94" s="3"/>
      <c r="FC94" s="3"/>
      <c r="FD94" s="3"/>
      <c r="FE94" s="3"/>
      <c r="FF94" s="3"/>
      <c r="FG94" s="3"/>
      <c r="FH94" s="3"/>
      <c r="FI94" s="3"/>
      <c r="FJ94" s="3"/>
      <c r="FK94" s="3"/>
      <c r="FL94" s="3"/>
      <c r="FM94" s="3"/>
      <c r="FN94" s="3"/>
      <c r="FO94" s="3"/>
      <c r="FP94" s="3"/>
      <c r="FQ94" s="3"/>
      <c r="FR94" s="3"/>
      <c r="FS94" s="3"/>
      <c r="FT94" s="3"/>
      <c r="FU94" s="3"/>
      <c r="FV94" s="3"/>
      <c r="FW94" s="3"/>
      <c r="FX94" s="3"/>
      <c r="FY94" s="3"/>
      <c r="FZ94" s="3"/>
      <c r="GA94" s="3"/>
      <c r="GB94" s="3"/>
      <c r="GC94" s="3"/>
      <c r="GD94" s="3"/>
      <c r="GE94" s="3"/>
      <c r="GF94" s="3"/>
      <c r="GG94" s="3"/>
      <c r="GH94" s="3"/>
      <c r="GI94" s="3"/>
      <c r="GJ94" s="3"/>
      <c r="GK94" s="3"/>
      <c r="GL94" s="3"/>
      <c r="GM94" s="3"/>
      <c r="GN94" s="3"/>
      <c r="GO94" s="3"/>
      <c r="GP94" s="3"/>
      <c r="GQ94" s="3"/>
      <c r="GR94" s="3"/>
      <c r="GS94" s="3"/>
      <c r="GT94" s="3"/>
      <c r="GU94" s="3"/>
      <c r="GV94" s="3"/>
      <c r="GW94" s="3"/>
      <c r="GX94" s="3"/>
      <c r="GY94" s="3"/>
      <c r="GZ94" s="3"/>
      <c r="HA94" s="3"/>
      <c r="HB94" s="3"/>
      <c r="HC94" s="3"/>
      <c r="HD94" s="3"/>
      <c r="HE94" s="3"/>
      <c r="HF94" s="3"/>
    </row>
    <row r="95" spans="5:214" x14ac:dyDescent="0.25">
      <c r="E95" s="186"/>
      <c r="F95" s="114"/>
      <c r="G95" s="4"/>
      <c r="H95" s="4"/>
      <c r="I95" s="4"/>
      <c r="J95" s="4"/>
      <c r="K95" s="4"/>
      <c r="L95" s="114"/>
      <c r="M95" s="4"/>
      <c r="N95" s="4"/>
      <c r="O95" s="4"/>
      <c r="P95" s="4"/>
      <c r="Q95" s="4"/>
      <c r="R95" s="114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  <c r="CT95" s="3"/>
      <c r="CU95" s="3"/>
      <c r="CV95" s="3"/>
      <c r="CW95" s="3"/>
      <c r="CX95" s="3"/>
      <c r="CY95" s="3"/>
      <c r="CZ95" s="3"/>
      <c r="DA95" s="3"/>
      <c r="DB95" s="3"/>
      <c r="DC95" s="3"/>
      <c r="DD95" s="3"/>
      <c r="DE95" s="3"/>
      <c r="DF95" s="3"/>
      <c r="DG95" s="3"/>
      <c r="DH95" s="3"/>
      <c r="DI95" s="3"/>
      <c r="DJ95" s="3"/>
      <c r="DK95" s="3"/>
      <c r="DL95" s="3"/>
      <c r="DM95" s="3"/>
      <c r="DN95" s="3"/>
      <c r="DO95" s="3"/>
      <c r="DP95" s="3"/>
      <c r="DQ95" s="3"/>
      <c r="DR95" s="3"/>
      <c r="DS95" s="3"/>
      <c r="DT95" s="3"/>
      <c r="DU95" s="3"/>
      <c r="DV95" s="3"/>
      <c r="DW95" s="3"/>
      <c r="DX95" s="3"/>
      <c r="DY95" s="3"/>
      <c r="DZ95" s="3"/>
      <c r="EA95" s="3"/>
      <c r="EB95" s="3"/>
      <c r="EC95" s="3"/>
      <c r="ED95" s="3"/>
      <c r="EE95" s="3"/>
      <c r="EF95" s="3"/>
      <c r="EG95" s="3"/>
      <c r="EH95" s="3"/>
      <c r="EI95" s="3"/>
      <c r="EJ95" s="3"/>
      <c r="EK95" s="3"/>
      <c r="EL95" s="3"/>
      <c r="EM95" s="3"/>
      <c r="EN95" s="3"/>
      <c r="EO95" s="3"/>
      <c r="EP95" s="3"/>
      <c r="EQ95" s="3"/>
      <c r="ER95" s="3"/>
      <c r="ES95" s="3"/>
      <c r="ET95" s="3"/>
      <c r="EU95" s="3"/>
      <c r="EV95" s="3"/>
      <c r="EW95" s="3"/>
      <c r="EX95" s="3"/>
      <c r="EY95" s="3"/>
      <c r="EZ95" s="3"/>
      <c r="FA95" s="3"/>
      <c r="FB95" s="3"/>
      <c r="FC95" s="3"/>
      <c r="FD95" s="3"/>
      <c r="FE95" s="3"/>
      <c r="FF95" s="3"/>
      <c r="FG95" s="3"/>
      <c r="FH95" s="3"/>
      <c r="FI95" s="3"/>
      <c r="FJ95" s="3"/>
      <c r="FK95" s="3"/>
      <c r="FL95" s="3"/>
      <c r="FM95" s="3"/>
      <c r="FN95" s="3"/>
      <c r="FO95" s="3"/>
      <c r="FP95" s="3"/>
      <c r="FQ95" s="3"/>
      <c r="FR95" s="3"/>
      <c r="FS95" s="3"/>
      <c r="FT95" s="3"/>
      <c r="FU95" s="3"/>
      <c r="FV95" s="3"/>
      <c r="FW95" s="3"/>
      <c r="FX95" s="3"/>
      <c r="FY95" s="3"/>
      <c r="FZ95" s="3"/>
      <c r="GA95" s="3"/>
      <c r="GB95" s="3"/>
      <c r="GC95" s="3"/>
      <c r="GD95" s="3"/>
      <c r="GE95" s="3"/>
      <c r="GF95" s="3"/>
      <c r="GG95" s="3"/>
      <c r="GH95" s="3"/>
      <c r="GI95" s="3"/>
      <c r="GJ95" s="3"/>
      <c r="GK95" s="3"/>
      <c r="GL95" s="3"/>
      <c r="GM95" s="3"/>
      <c r="GN95" s="3"/>
      <c r="GO95" s="3"/>
      <c r="GP95" s="3"/>
      <c r="GQ95" s="3"/>
      <c r="GR95" s="3"/>
      <c r="GS95" s="3"/>
      <c r="GT95" s="3"/>
      <c r="GU95" s="3"/>
      <c r="GV95" s="3"/>
      <c r="GW95" s="3"/>
      <c r="GX95" s="3"/>
      <c r="GY95" s="3"/>
      <c r="GZ95" s="3"/>
      <c r="HA95" s="3"/>
      <c r="HB95" s="3"/>
      <c r="HC95" s="3"/>
      <c r="HD95" s="3"/>
      <c r="HE95" s="3"/>
      <c r="HF95" s="3"/>
    </row>
    <row r="96" spans="5:214" x14ac:dyDescent="0.25">
      <c r="E96" s="189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  <c r="CV96" s="3"/>
      <c r="CW96" s="3"/>
      <c r="CX96" s="3"/>
      <c r="CY96" s="3"/>
      <c r="CZ96" s="3"/>
      <c r="DA96" s="3"/>
      <c r="DB96" s="3"/>
      <c r="DC96" s="3"/>
      <c r="DD96" s="3"/>
      <c r="DE96" s="3"/>
      <c r="DF96" s="3"/>
      <c r="DG96" s="3"/>
      <c r="DH96" s="3"/>
      <c r="DI96" s="3"/>
      <c r="DJ96" s="3"/>
      <c r="DK96" s="3"/>
      <c r="DL96" s="3"/>
      <c r="DM96" s="3"/>
      <c r="DN96" s="3"/>
      <c r="DO96" s="3"/>
      <c r="DP96" s="3"/>
      <c r="DQ96" s="3"/>
      <c r="DR96" s="3"/>
      <c r="DS96" s="3"/>
      <c r="DT96" s="3"/>
      <c r="DU96" s="3"/>
      <c r="DV96" s="3"/>
      <c r="DW96" s="3"/>
      <c r="DX96" s="3"/>
      <c r="DY96" s="3"/>
      <c r="DZ96" s="3"/>
      <c r="EA96" s="3"/>
      <c r="EB96" s="3"/>
      <c r="EC96" s="3"/>
      <c r="ED96" s="3"/>
      <c r="EE96" s="3"/>
      <c r="EF96" s="3"/>
      <c r="EG96" s="3"/>
      <c r="EH96" s="3"/>
      <c r="EI96" s="3"/>
      <c r="EJ96" s="3"/>
      <c r="EK96" s="3"/>
      <c r="EL96" s="3"/>
      <c r="EM96" s="3"/>
      <c r="EN96" s="3"/>
      <c r="EO96" s="3"/>
      <c r="EP96" s="3"/>
      <c r="EQ96" s="3"/>
      <c r="ER96" s="3"/>
      <c r="ES96" s="3"/>
      <c r="ET96" s="3"/>
      <c r="EU96" s="3"/>
      <c r="EV96" s="3"/>
      <c r="EW96" s="3"/>
      <c r="EX96" s="3"/>
      <c r="EY96" s="3"/>
      <c r="EZ96" s="3"/>
      <c r="FA96" s="3"/>
      <c r="FB96" s="3"/>
      <c r="FC96" s="3"/>
      <c r="FD96" s="3"/>
      <c r="FE96" s="3"/>
      <c r="FF96" s="3"/>
      <c r="FG96" s="3"/>
      <c r="FH96" s="3"/>
      <c r="FI96" s="3"/>
      <c r="FJ96" s="3"/>
      <c r="FK96" s="3"/>
      <c r="FL96" s="3"/>
      <c r="FM96" s="3"/>
      <c r="FN96" s="3"/>
      <c r="FO96" s="3"/>
      <c r="FP96" s="3"/>
      <c r="FQ96" s="3"/>
      <c r="FR96" s="3"/>
      <c r="FS96" s="3"/>
      <c r="FT96" s="3"/>
      <c r="FU96" s="3"/>
      <c r="FV96" s="3"/>
      <c r="FW96" s="3"/>
      <c r="FX96" s="3"/>
      <c r="FY96" s="3"/>
      <c r="FZ96" s="3"/>
      <c r="GA96" s="3"/>
      <c r="GB96" s="3"/>
      <c r="GC96" s="3"/>
      <c r="GD96" s="3"/>
      <c r="GE96" s="3"/>
      <c r="GF96" s="3"/>
      <c r="GG96" s="3"/>
      <c r="GH96" s="3"/>
      <c r="GI96" s="3"/>
      <c r="GJ96" s="3"/>
      <c r="GK96" s="3"/>
      <c r="GL96" s="3"/>
      <c r="GM96" s="3"/>
      <c r="GN96" s="3"/>
      <c r="GO96" s="3"/>
      <c r="GP96" s="3"/>
      <c r="GQ96" s="3"/>
      <c r="GR96" s="3"/>
      <c r="GS96" s="3"/>
      <c r="GT96" s="3"/>
      <c r="GU96" s="3"/>
      <c r="GV96" s="3"/>
      <c r="GW96" s="3"/>
      <c r="GX96" s="3"/>
      <c r="GY96" s="3"/>
      <c r="GZ96" s="3"/>
      <c r="HA96" s="3"/>
      <c r="HB96" s="3"/>
      <c r="HC96" s="3"/>
      <c r="HD96" s="3"/>
      <c r="HE96" s="3"/>
      <c r="HF96" s="3"/>
    </row>
    <row r="97" spans="1:214" x14ac:dyDescent="0.25">
      <c r="E97" s="189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3"/>
      <c r="CQ97" s="3"/>
      <c r="CR97" s="3"/>
      <c r="CS97" s="3"/>
      <c r="CT97" s="3"/>
      <c r="CU97" s="3"/>
      <c r="CV97" s="3"/>
      <c r="CW97" s="3"/>
      <c r="CX97" s="3"/>
      <c r="CY97" s="3"/>
      <c r="CZ97" s="3"/>
      <c r="DA97" s="3"/>
      <c r="DB97" s="3"/>
      <c r="DC97" s="3"/>
      <c r="DD97" s="3"/>
      <c r="DE97" s="3"/>
      <c r="DF97" s="3"/>
      <c r="DG97" s="3"/>
      <c r="DH97" s="3"/>
      <c r="DI97" s="3"/>
      <c r="DJ97" s="3"/>
      <c r="DK97" s="3"/>
      <c r="DL97" s="3"/>
      <c r="DM97" s="3"/>
      <c r="DN97" s="3"/>
      <c r="DO97" s="3"/>
      <c r="DP97" s="3"/>
      <c r="DQ97" s="3"/>
      <c r="DR97" s="3"/>
      <c r="DS97" s="3"/>
      <c r="DT97" s="3"/>
      <c r="DU97" s="3"/>
      <c r="DV97" s="3"/>
      <c r="DW97" s="3"/>
      <c r="DX97" s="3"/>
      <c r="DY97" s="3"/>
      <c r="DZ97" s="3"/>
      <c r="EA97" s="3"/>
      <c r="EB97" s="3"/>
      <c r="EC97" s="3"/>
      <c r="ED97" s="3"/>
      <c r="EE97" s="3"/>
      <c r="EF97" s="3"/>
      <c r="EG97" s="3"/>
      <c r="EH97" s="3"/>
      <c r="EI97" s="3"/>
      <c r="EJ97" s="3"/>
      <c r="EK97" s="3"/>
      <c r="EL97" s="3"/>
      <c r="EM97" s="3"/>
      <c r="EN97" s="3"/>
      <c r="EO97" s="3"/>
      <c r="EP97" s="3"/>
      <c r="EQ97" s="3"/>
      <c r="ER97" s="3"/>
      <c r="ES97" s="3"/>
      <c r="ET97" s="3"/>
      <c r="EU97" s="3"/>
      <c r="EV97" s="3"/>
      <c r="EW97" s="3"/>
      <c r="EX97" s="3"/>
      <c r="EY97" s="3"/>
      <c r="EZ97" s="3"/>
      <c r="FA97" s="3"/>
      <c r="FB97" s="3"/>
      <c r="FC97" s="3"/>
      <c r="FD97" s="3"/>
      <c r="FE97" s="3"/>
      <c r="FF97" s="3"/>
      <c r="FG97" s="3"/>
      <c r="FH97" s="3"/>
      <c r="FI97" s="3"/>
      <c r="FJ97" s="3"/>
      <c r="FK97" s="3"/>
      <c r="FL97" s="3"/>
      <c r="FM97" s="3"/>
      <c r="FN97" s="3"/>
      <c r="FO97" s="3"/>
      <c r="FP97" s="3"/>
      <c r="FQ97" s="3"/>
      <c r="FR97" s="3"/>
      <c r="FS97" s="3"/>
      <c r="FT97" s="3"/>
      <c r="FU97" s="3"/>
      <c r="FV97" s="3"/>
      <c r="FW97" s="3"/>
      <c r="FX97" s="3"/>
      <c r="FY97" s="3"/>
      <c r="FZ97" s="3"/>
      <c r="GA97" s="3"/>
      <c r="GB97" s="3"/>
      <c r="GC97" s="3"/>
      <c r="GD97" s="3"/>
      <c r="GE97" s="3"/>
      <c r="GF97" s="3"/>
      <c r="GG97" s="3"/>
      <c r="GH97" s="3"/>
      <c r="GI97" s="3"/>
      <c r="GJ97" s="3"/>
      <c r="GK97" s="3"/>
      <c r="GL97" s="3"/>
      <c r="GM97" s="3"/>
      <c r="GN97" s="3"/>
      <c r="GO97" s="3"/>
      <c r="GP97" s="3"/>
      <c r="GQ97" s="3"/>
      <c r="GR97" s="3"/>
      <c r="GS97" s="3"/>
      <c r="GT97" s="3"/>
      <c r="GU97" s="3"/>
      <c r="GV97" s="3"/>
      <c r="GW97" s="3"/>
      <c r="GX97" s="3"/>
      <c r="GY97" s="3"/>
      <c r="GZ97" s="3"/>
      <c r="HA97" s="3"/>
      <c r="HB97" s="3"/>
      <c r="HC97" s="3"/>
      <c r="HD97" s="3"/>
      <c r="HE97" s="3"/>
      <c r="HF97" s="3"/>
    </row>
    <row r="98" spans="1:214" x14ac:dyDescent="0.25"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  <c r="CK98" s="3"/>
      <c r="CL98" s="3"/>
      <c r="CM98" s="3"/>
      <c r="CN98" s="3"/>
      <c r="CO98" s="3"/>
      <c r="CP98" s="3"/>
      <c r="CQ98" s="3"/>
      <c r="CR98" s="3"/>
      <c r="CS98" s="3"/>
      <c r="CT98" s="3"/>
      <c r="CU98" s="3"/>
      <c r="CV98" s="3"/>
      <c r="CW98" s="3"/>
      <c r="CX98" s="3"/>
      <c r="CY98" s="3"/>
      <c r="CZ98" s="3"/>
      <c r="DA98" s="3"/>
      <c r="DB98" s="3"/>
      <c r="DC98" s="3"/>
      <c r="DD98" s="3"/>
      <c r="DE98" s="3"/>
      <c r="DF98" s="3"/>
      <c r="DG98" s="3"/>
      <c r="DH98" s="3"/>
      <c r="DI98" s="3"/>
      <c r="DJ98" s="3"/>
      <c r="DK98" s="3"/>
      <c r="DL98" s="3"/>
      <c r="DM98" s="3"/>
      <c r="DN98" s="3"/>
      <c r="DO98" s="3"/>
      <c r="DP98" s="3"/>
      <c r="DQ98" s="3"/>
      <c r="DR98" s="3"/>
      <c r="DS98" s="3"/>
      <c r="DT98" s="3"/>
      <c r="DU98" s="3"/>
      <c r="DV98" s="3"/>
      <c r="DW98" s="3"/>
      <c r="DX98" s="3"/>
      <c r="DY98" s="3"/>
      <c r="DZ98" s="3"/>
      <c r="EA98" s="3"/>
      <c r="EB98" s="3"/>
      <c r="EC98" s="3"/>
      <c r="ED98" s="3"/>
      <c r="EE98" s="3"/>
      <c r="EF98" s="3"/>
      <c r="EG98" s="3"/>
      <c r="EH98" s="3"/>
      <c r="EI98" s="3"/>
      <c r="EJ98" s="3"/>
      <c r="EK98" s="3"/>
      <c r="EL98" s="3"/>
      <c r="EM98" s="3"/>
      <c r="EN98" s="3"/>
      <c r="EO98" s="3"/>
      <c r="EP98" s="3"/>
      <c r="EQ98" s="3"/>
      <c r="ER98" s="3"/>
      <c r="ES98" s="3"/>
      <c r="ET98" s="3"/>
      <c r="EU98" s="3"/>
      <c r="EV98" s="3"/>
      <c r="EW98" s="3"/>
      <c r="EX98" s="3"/>
      <c r="EY98" s="3"/>
      <c r="EZ98" s="3"/>
      <c r="FA98" s="3"/>
      <c r="FB98" s="3"/>
      <c r="FC98" s="3"/>
      <c r="FD98" s="3"/>
      <c r="FE98" s="3"/>
      <c r="FF98" s="3"/>
      <c r="FG98" s="3"/>
      <c r="FH98" s="3"/>
      <c r="FI98" s="3"/>
      <c r="FJ98" s="3"/>
      <c r="FK98" s="3"/>
      <c r="FL98" s="3"/>
      <c r="FM98" s="3"/>
      <c r="FN98" s="3"/>
      <c r="FO98" s="3"/>
      <c r="FP98" s="3"/>
      <c r="FQ98" s="3"/>
      <c r="FR98" s="3"/>
      <c r="FS98" s="3"/>
      <c r="FT98" s="3"/>
      <c r="FU98" s="3"/>
      <c r="FV98" s="3"/>
      <c r="FW98" s="3"/>
      <c r="FX98" s="3"/>
      <c r="FY98" s="3"/>
      <c r="FZ98" s="3"/>
      <c r="GA98" s="3"/>
      <c r="GB98" s="3"/>
      <c r="GC98" s="3"/>
      <c r="GD98" s="3"/>
      <c r="GE98" s="3"/>
      <c r="GF98" s="3"/>
      <c r="GG98" s="3"/>
      <c r="GH98" s="3"/>
      <c r="GI98" s="3"/>
      <c r="GJ98" s="3"/>
      <c r="GK98" s="3"/>
      <c r="GL98" s="3"/>
      <c r="GM98" s="3"/>
      <c r="GN98" s="3"/>
      <c r="GO98" s="3"/>
      <c r="GP98" s="3"/>
      <c r="GQ98" s="3"/>
      <c r="GR98" s="3"/>
      <c r="GS98" s="3"/>
      <c r="GT98" s="3"/>
      <c r="GU98" s="3"/>
      <c r="GV98" s="3"/>
      <c r="GW98" s="3"/>
      <c r="GX98" s="3"/>
      <c r="GY98" s="3"/>
      <c r="GZ98" s="3"/>
      <c r="HA98" s="3"/>
      <c r="HB98" s="3"/>
      <c r="HC98" s="3"/>
      <c r="HD98" s="3"/>
      <c r="HE98" s="3"/>
      <c r="HF98" s="3"/>
    </row>
    <row r="99" spans="1:214" x14ac:dyDescent="0.25">
      <c r="A99" s="190" t="s">
        <v>10</v>
      </c>
      <c r="B99" s="190" t="s">
        <v>8</v>
      </c>
      <c r="C99" s="190" t="s">
        <v>9</v>
      </c>
      <c r="D99" s="190" t="s">
        <v>7</v>
      </c>
      <c r="E99" s="190" t="s">
        <v>11</v>
      </c>
      <c r="F99" s="103" t="s">
        <v>12</v>
      </c>
      <c r="G99" s="8" t="s">
        <v>18</v>
      </c>
      <c r="H99" s="8" t="s">
        <v>16</v>
      </c>
      <c r="M99" s="8" t="s">
        <v>18</v>
      </c>
      <c r="N99" s="8" t="s">
        <v>16</v>
      </c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  <c r="CK99" s="3"/>
      <c r="CL99" s="3"/>
      <c r="CM99" s="3"/>
      <c r="CN99" s="3"/>
      <c r="CO99" s="3"/>
      <c r="CP99" s="3"/>
      <c r="CQ99" s="3"/>
      <c r="CR99" s="3"/>
      <c r="CS99" s="3"/>
      <c r="CT99" s="3"/>
      <c r="CU99" s="3"/>
      <c r="CV99" s="3"/>
      <c r="CW99" s="3"/>
      <c r="CX99" s="3"/>
      <c r="CY99" s="3"/>
      <c r="CZ99" s="3"/>
      <c r="DA99" s="3"/>
      <c r="DB99" s="3"/>
      <c r="DC99" s="3"/>
      <c r="DD99" s="3"/>
      <c r="DE99" s="3"/>
      <c r="DF99" s="3"/>
      <c r="DG99" s="3"/>
      <c r="DH99" s="3"/>
      <c r="DI99" s="3"/>
      <c r="DJ99" s="3"/>
      <c r="DK99" s="3"/>
      <c r="DL99" s="3"/>
      <c r="DM99" s="3"/>
      <c r="DN99" s="3"/>
      <c r="DO99" s="3"/>
      <c r="DP99" s="3"/>
      <c r="DQ99" s="3"/>
      <c r="DR99" s="3"/>
      <c r="DS99" s="3"/>
      <c r="DT99" s="3"/>
      <c r="DU99" s="3"/>
      <c r="DV99" s="3"/>
      <c r="DW99" s="3"/>
      <c r="DX99" s="3"/>
      <c r="DY99" s="3"/>
      <c r="DZ99" s="3"/>
      <c r="EA99" s="3"/>
      <c r="EB99" s="3"/>
      <c r="EC99" s="3"/>
      <c r="ED99" s="3"/>
      <c r="EE99" s="3"/>
      <c r="EF99" s="3"/>
      <c r="EG99" s="3"/>
      <c r="EH99" s="3"/>
      <c r="EI99" s="3"/>
      <c r="EJ99" s="3"/>
      <c r="EK99" s="3"/>
      <c r="EL99" s="3"/>
      <c r="EM99" s="3"/>
      <c r="EN99" s="3"/>
      <c r="EO99" s="3"/>
      <c r="EP99" s="3"/>
      <c r="EQ99" s="3"/>
      <c r="ER99" s="3"/>
      <c r="ES99" s="3"/>
      <c r="ET99" s="3"/>
      <c r="EU99" s="3"/>
      <c r="EV99" s="3"/>
      <c r="EW99" s="3"/>
      <c r="EX99" s="3"/>
      <c r="EY99" s="3"/>
      <c r="EZ99" s="3"/>
      <c r="FA99" s="3"/>
      <c r="FB99" s="3"/>
      <c r="FC99" s="3"/>
      <c r="FD99" s="3"/>
      <c r="FE99" s="3"/>
      <c r="FF99" s="3"/>
      <c r="FG99" s="3"/>
      <c r="FH99" s="3"/>
      <c r="FI99" s="3"/>
      <c r="FJ99" s="3"/>
      <c r="FK99" s="3"/>
      <c r="FL99" s="3"/>
      <c r="FM99" s="3"/>
      <c r="FN99" s="3"/>
      <c r="FO99" s="3"/>
      <c r="FP99" s="3"/>
      <c r="FQ99" s="3"/>
      <c r="FR99" s="3"/>
      <c r="FS99" s="3"/>
      <c r="FT99" s="3"/>
      <c r="FU99" s="3"/>
      <c r="FV99" s="3"/>
      <c r="FW99" s="3"/>
      <c r="FX99" s="3"/>
      <c r="FY99" s="3"/>
      <c r="FZ99" s="3"/>
      <c r="GA99" s="3"/>
      <c r="GB99" s="3"/>
      <c r="GC99" s="3"/>
      <c r="GD99" s="3"/>
      <c r="GE99" s="3"/>
      <c r="GF99" s="3"/>
      <c r="GG99" s="3"/>
      <c r="GH99" s="3"/>
      <c r="GI99" s="3"/>
      <c r="GJ99" s="3"/>
      <c r="GK99" s="3"/>
      <c r="GL99" s="3"/>
      <c r="GM99" s="3"/>
      <c r="GN99" s="3"/>
      <c r="GO99" s="3"/>
      <c r="GP99" s="3"/>
      <c r="GQ99" s="3"/>
      <c r="GR99" s="3"/>
      <c r="GS99" s="3"/>
      <c r="GT99" s="3"/>
      <c r="GU99" s="3"/>
      <c r="GV99" s="3"/>
      <c r="GW99" s="3"/>
      <c r="GX99" s="3"/>
      <c r="GY99" s="3"/>
      <c r="GZ99" s="3"/>
      <c r="HA99" s="3"/>
      <c r="HB99" s="3"/>
      <c r="HC99" s="3"/>
      <c r="HD99" s="3"/>
      <c r="HE99" s="3"/>
      <c r="HF99" s="3"/>
    </row>
    <row r="100" spans="1:214" x14ac:dyDescent="0.25">
      <c r="A100" s="41" t="s">
        <v>41</v>
      </c>
      <c r="B100" s="41">
        <f>COUNTA(A1:HA1)</f>
        <v>4</v>
      </c>
      <c r="C100" s="41">
        <f>COUNTA(A1:A95)</f>
        <v>24</v>
      </c>
      <c r="D100" s="41">
        <f>SUM(E100,H100)</f>
        <v>28633</v>
      </c>
      <c r="E100" s="41">
        <f>SUM(B10:B95)</f>
        <v>17000</v>
      </c>
      <c r="F100" s="103">
        <f>SUM(C10:C95)</f>
        <v>17003</v>
      </c>
      <c r="G100">
        <v>5370</v>
      </c>
      <c r="H100">
        <f>F100-G100</f>
        <v>11633</v>
      </c>
      <c r="M100">
        <v>5370</v>
      </c>
      <c r="N100">
        <f>L100-M100</f>
        <v>-5370</v>
      </c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  <c r="CK100" s="3"/>
      <c r="CL100" s="3"/>
      <c r="CM100" s="3"/>
      <c r="CN100" s="3"/>
      <c r="CO100" s="3"/>
      <c r="CP100" s="3"/>
      <c r="CQ100" s="3"/>
      <c r="CR100" s="3"/>
      <c r="CS100" s="3"/>
      <c r="CT100" s="3"/>
      <c r="CU100" s="3"/>
      <c r="CV100" s="3"/>
      <c r="CW100" s="3"/>
      <c r="CX100" s="3"/>
      <c r="CY100" s="3"/>
      <c r="CZ100" s="3"/>
      <c r="DA100" s="3"/>
      <c r="DB100" s="3"/>
      <c r="DC100" s="3"/>
      <c r="DD100" s="3"/>
      <c r="DE100" s="3"/>
      <c r="DF100" s="3"/>
      <c r="DG100" s="3"/>
      <c r="DH100" s="3"/>
      <c r="DI100" s="3"/>
      <c r="DJ100" s="3"/>
      <c r="DK100" s="3"/>
      <c r="DL100" s="3"/>
      <c r="DM100" s="3"/>
      <c r="DN100" s="3"/>
      <c r="DO100" s="3"/>
      <c r="DP100" s="3"/>
      <c r="DQ100" s="3"/>
      <c r="DR100" s="3"/>
      <c r="DS100" s="3"/>
      <c r="DT100" s="3"/>
      <c r="DU100" s="3"/>
      <c r="DV100" s="3"/>
      <c r="DW100" s="3"/>
      <c r="DX100" s="3"/>
      <c r="DY100" s="3"/>
      <c r="DZ100" s="3"/>
      <c r="EA100" s="3"/>
      <c r="EB100" s="3"/>
      <c r="EC100" s="3"/>
      <c r="ED100" s="3"/>
      <c r="EE100" s="3"/>
      <c r="EF100" s="3"/>
      <c r="EG100" s="3"/>
      <c r="EH100" s="3"/>
      <c r="EI100" s="3"/>
      <c r="EJ100" s="3"/>
      <c r="EK100" s="3"/>
      <c r="EL100" s="3"/>
      <c r="EM100" s="3"/>
      <c r="EN100" s="3"/>
      <c r="EO100" s="3"/>
      <c r="EP100" s="3"/>
      <c r="EQ100" s="3"/>
      <c r="ER100" s="3"/>
      <c r="ES100" s="3"/>
      <c r="ET100" s="3"/>
      <c r="EU100" s="3"/>
      <c r="EV100" s="3"/>
      <c r="EW100" s="3"/>
      <c r="EX100" s="3"/>
      <c r="EY100" s="3"/>
      <c r="EZ100" s="3"/>
      <c r="FA100" s="3"/>
      <c r="FB100" s="3"/>
      <c r="FC100" s="3"/>
      <c r="FD100" s="3"/>
      <c r="FE100" s="3"/>
      <c r="FF100" s="3"/>
      <c r="FG100" s="3"/>
      <c r="FH100" s="3"/>
      <c r="FI100" s="3"/>
      <c r="FJ100" s="3"/>
      <c r="FK100" s="3"/>
      <c r="FL100" s="3"/>
      <c r="FM100" s="3"/>
      <c r="FN100" s="3"/>
      <c r="FO100" s="3"/>
      <c r="FP100" s="3"/>
      <c r="FQ100" s="3"/>
      <c r="FR100" s="3"/>
      <c r="FS100" s="3"/>
      <c r="FT100" s="3"/>
      <c r="FU100" s="3"/>
      <c r="FV100" s="3"/>
      <c r="FW100" s="3"/>
      <c r="FX100" s="3"/>
      <c r="FY100" s="3"/>
      <c r="FZ100" s="3"/>
      <c r="GA100" s="3"/>
      <c r="GB100" s="3"/>
      <c r="GC100" s="3"/>
      <c r="GD100" s="3"/>
      <c r="GE100" s="3"/>
      <c r="GF100" s="3"/>
      <c r="GG100" s="3"/>
      <c r="GH100" s="3"/>
      <c r="GI100" s="3"/>
      <c r="GJ100" s="3"/>
      <c r="GK100" s="3"/>
      <c r="GL100" s="3"/>
      <c r="GM100" s="3"/>
      <c r="GN100" s="3"/>
      <c r="GO100" s="3"/>
      <c r="GP100" s="3"/>
      <c r="GQ100" s="3"/>
      <c r="GR100" s="3"/>
      <c r="GS100" s="3"/>
      <c r="GT100" s="3"/>
      <c r="GU100" s="3"/>
      <c r="GV100" s="3"/>
      <c r="GW100" s="3"/>
      <c r="GX100" s="3"/>
      <c r="GY100" s="3"/>
      <c r="GZ100" s="3"/>
      <c r="HA100" s="3"/>
      <c r="HB100" s="3"/>
      <c r="HC100" s="3"/>
      <c r="HD100" s="3"/>
      <c r="HE100" s="3"/>
      <c r="HF100" s="3"/>
    </row>
    <row r="101" spans="1:214" x14ac:dyDescent="0.25">
      <c r="A101" s="41" t="s">
        <v>42</v>
      </c>
      <c r="C101" s="41">
        <f>COUNTA(E1:E95)</f>
        <v>22</v>
      </c>
      <c r="D101" s="41">
        <f>SUM(E101,H101)</f>
        <v>587352.77812499995</v>
      </c>
      <c r="E101" s="41">
        <f>SUM(F10:F95)</f>
        <v>6</v>
      </c>
      <c r="F101" s="103">
        <f>SUM(G10:G95)</f>
        <v>591156.77812499995</v>
      </c>
      <c r="G101">
        <v>3810</v>
      </c>
      <c r="H101">
        <f>F101-G101</f>
        <v>587346.77812499995</v>
      </c>
      <c r="M101">
        <v>3810</v>
      </c>
      <c r="N101">
        <f>L101-M101</f>
        <v>-3810</v>
      </c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  <c r="CK101" s="3"/>
      <c r="CL101" s="3"/>
      <c r="CM101" s="3"/>
      <c r="CN101" s="3"/>
      <c r="CO101" s="3"/>
      <c r="CP101" s="3"/>
      <c r="CQ101" s="3"/>
      <c r="CR101" s="3"/>
      <c r="CS101" s="3"/>
      <c r="CT101" s="3"/>
      <c r="CU101" s="3"/>
      <c r="CV101" s="3"/>
      <c r="CW101" s="3"/>
      <c r="CX101" s="3"/>
      <c r="CY101" s="3"/>
      <c r="CZ101" s="3"/>
      <c r="DA101" s="3"/>
      <c r="DB101" s="3"/>
      <c r="DC101" s="3"/>
      <c r="DD101" s="3"/>
      <c r="DE101" s="3"/>
      <c r="DF101" s="3"/>
      <c r="DG101" s="3"/>
      <c r="DH101" s="3"/>
      <c r="DI101" s="3"/>
      <c r="DJ101" s="3"/>
      <c r="DK101" s="3"/>
      <c r="DL101" s="3"/>
      <c r="DM101" s="3"/>
      <c r="DN101" s="3"/>
      <c r="DO101" s="3"/>
      <c r="DP101" s="3"/>
      <c r="DQ101" s="3"/>
      <c r="DR101" s="3"/>
      <c r="DS101" s="3"/>
      <c r="DT101" s="3"/>
      <c r="DU101" s="3"/>
      <c r="DV101" s="3"/>
      <c r="DW101" s="3"/>
      <c r="DX101" s="3"/>
      <c r="DY101" s="3"/>
      <c r="DZ101" s="3"/>
      <c r="EA101" s="3"/>
      <c r="EB101" s="3"/>
      <c r="EC101" s="3"/>
      <c r="ED101" s="3"/>
      <c r="EE101" s="3"/>
      <c r="EF101" s="3"/>
      <c r="EG101" s="3"/>
      <c r="EH101" s="3"/>
      <c r="EI101" s="3"/>
      <c r="EJ101" s="3"/>
      <c r="EK101" s="3"/>
      <c r="EL101" s="3"/>
      <c r="EM101" s="3"/>
      <c r="EN101" s="3"/>
      <c r="EO101" s="3"/>
      <c r="EP101" s="3"/>
      <c r="EQ101" s="3"/>
      <c r="ER101" s="3"/>
      <c r="ES101" s="3"/>
      <c r="ET101" s="3"/>
      <c r="EU101" s="3"/>
      <c r="EV101" s="3"/>
      <c r="EW101" s="3"/>
      <c r="EX101" s="3"/>
      <c r="EY101" s="3"/>
      <c r="EZ101" s="3"/>
      <c r="FA101" s="3"/>
      <c r="FB101" s="3"/>
      <c r="FC101" s="3"/>
      <c r="FD101" s="3"/>
      <c r="FE101" s="3"/>
      <c r="FF101" s="3"/>
      <c r="FG101" s="3"/>
      <c r="FH101" s="3"/>
      <c r="FI101" s="3"/>
      <c r="FJ101" s="3"/>
      <c r="FK101" s="3"/>
      <c r="FL101" s="3"/>
      <c r="FM101" s="3"/>
      <c r="FN101" s="3"/>
      <c r="FO101" s="3"/>
      <c r="FP101" s="3"/>
      <c r="FQ101" s="3"/>
      <c r="FR101" s="3"/>
      <c r="FS101" s="3"/>
      <c r="FT101" s="3"/>
      <c r="FU101" s="3"/>
      <c r="FV101" s="3"/>
      <c r="FW101" s="3"/>
      <c r="FX101" s="3"/>
      <c r="FY101" s="3"/>
      <c r="FZ101" s="3"/>
      <c r="GA101" s="3"/>
      <c r="GB101" s="3"/>
      <c r="GC101" s="3"/>
      <c r="GD101" s="3"/>
      <c r="GE101" s="3"/>
      <c r="GF101" s="3"/>
      <c r="GG101" s="3"/>
      <c r="GH101" s="3"/>
      <c r="GI101" s="3"/>
      <c r="GJ101" s="3"/>
      <c r="GK101" s="3"/>
      <c r="GL101" s="3"/>
      <c r="GM101" s="3"/>
      <c r="GN101" s="3"/>
      <c r="GO101" s="3"/>
      <c r="GP101" s="3"/>
      <c r="GQ101" s="3"/>
      <c r="GR101" s="3"/>
      <c r="GS101" s="3"/>
      <c r="GT101" s="3"/>
      <c r="GU101" s="3"/>
      <c r="GV101" s="3"/>
      <c r="GW101" s="3"/>
      <c r="GX101" s="3"/>
      <c r="GY101" s="3"/>
      <c r="GZ101" s="3"/>
      <c r="HA101" s="3"/>
      <c r="HB101" s="3"/>
      <c r="HC101" s="3"/>
      <c r="HD101" s="3"/>
      <c r="HE101" s="3"/>
      <c r="HF101" s="3"/>
    </row>
    <row r="102" spans="1:214" x14ac:dyDescent="0.25">
      <c r="A102" s="41" t="s">
        <v>82</v>
      </c>
      <c r="C102" s="41">
        <f>COUNTA(I1:I95)</f>
        <v>10</v>
      </c>
      <c r="D102" s="41">
        <f>SUM(E102,H102)</f>
        <v>3261</v>
      </c>
      <c r="E102" s="41">
        <f>SUM(J5:J95)</f>
        <v>3250</v>
      </c>
      <c r="F102" s="103">
        <f>SUM(K44:K95)</f>
        <v>11</v>
      </c>
      <c r="H102">
        <f>F102-G102</f>
        <v>11</v>
      </c>
      <c r="N102">
        <f>L102-M102</f>
        <v>0</v>
      </c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  <c r="CK102" s="3"/>
      <c r="CL102" s="3"/>
      <c r="CM102" s="3"/>
      <c r="CN102" s="3"/>
      <c r="CO102" s="3"/>
      <c r="CP102" s="3"/>
      <c r="CQ102" s="3"/>
      <c r="CR102" s="3"/>
      <c r="CS102" s="3"/>
      <c r="CT102" s="3"/>
      <c r="CU102" s="3"/>
      <c r="CV102" s="3"/>
      <c r="CW102" s="3"/>
      <c r="CX102" s="3"/>
      <c r="CY102" s="3"/>
      <c r="CZ102" s="3"/>
      <c r="DA102" s="3"/>
      <c r="DB102" s="3"/>
      <c r="DC102" s="3"/>
      <c r="DD102" s="3"/>
      <c r="DE102" s="3"/>
      <c r="DF102" s="3"/>
      <c r="DG102" s="3"/>
      <c r="DH102" s="3"/>
      <c r="DI102" s="3"/>
      <c r="DJ102" s="3"/>
      <c r="DK102" s="3"/>
      <c r="DL102" s="3"/>
      <c r="DM102" s="3"/>
      <c r="DN102" s="3"/>
      <c r="DO102" s="3"/>
      <c r="DP102" s="3"/>
      <c r="DQ102" s="3"/>
      <c r="DR102" s="3"/>
      <c r="DS102" s="3"/>
      <c r="DT102" s="3"/>
      <c r="DU102" s="3"/>
      <c r="DV102" s="3"/>
      <c r="DW102" s="3"/>
      <c r="DX102" s="3"/>
      <c r="DY102" s="3"/>
      <c r="DZ102" s="3"/>
      <c r="EA102" s="3"/>
      <c r="EB102" s="3"/>
      <c r="EC102" s="3"/>
      <c r="ED102" s="3"/>
      <c r="EE102" s="3"/>
      <c r="EF102" s="3"/>
      <c r="EG102" s="3"/>
      <c r="EH102" s="3"/>
      <c r="EI102" s="3"/>
      <c r="EJ102" s="3"/>
      <c r="EK102" s="3"/>
      <c r="EL102" s="3"/>
      <c r="EM102" s="3"/>
      <c r="EN102" s="3"/>
      <c r="EO102" s="3"/>
      <c r="EP102" s="3"/>
      <c r="EQ102" s="3"/>
      <c r="ER102" s="3"/>
      <c r="ES102" s="3"/>
      <c r="ET102" s="3"/>
      <c r="EU102" s="3"/>
      <c r="EV102" s="3"/>
      <c r="EW102" s="3"/>
      <c r="EX102" s="3"/>
      <c r="EY102" s="3"/>
      <c r="EZ102" s="3"/>
      <c r="FA102" s="3"/>
      <c r="FB102" s="3"/>
      <c r="FC102" s="3"/>
      <c r="FD102" s="3"/>
      <c r="FE102" s="3"/>
      <c r="FF102" s="3"/>
      <c r="FG102" s="3"/>
      <c r="FH102" s="3"/>
      <c r="FI102" s="3"/>
      <c r="FJ102" s="3"/>
      <c r="FK102" s="3"/>
      <c r="FL102" s="3"/>
      <c r="FM102" s="3"/>
      <c r="FN102" s="3"/>
      <c r="FO102" s="3"/>
      <c r="FP102" s="3"/>
      <c r="FQ102" s="3"/>
      <c r="FR102" s="3"/>
      <c r="FS102" s="3"/>
      <c r="FT102" s="3"/>
      <c r="FU102" s="3"/>
      <c r="FV102" s="3"/>
      <c r="FW102" s="3"/>
      <c r="FX102" s="3"/>
      <c r="FY102" s="3"/>
      <c r="FZ102" s="3"/>
      <c r="GA102" s="3"/>
      <c r="GB102" s="3"/>
      <c r="GC102" s="3"/>
      <c r="GD102" s="3"/>
      <c r="GE102" s="3"/>
      <c r="GF102" s="3"/>
      <c r="GG102" s="3"/>
      <c r="GH102" s="3"/>
      <c r="GI102" s="3"/>
      <c r="GJ102" s="3"/>
      <c r="GK102" s="3"/>
      <c r="GL102" s="3"/>
      <c r="GM102" s="3"/>
      <c r="GN102" s="3"/>
      <c r="GO102" s="3"/>
      <c r="GP102" s="3"/>
      <c r="GQ102" s="3"/>
      <c r="GR102" s="3"/>
      <c r="GS102" s="3"/>
      <c r="GT102" s="3"/>
      <c r="GU102" s="3"/>
      <c r="GV102" s="3"/>
      <c r="GW102" s="3"/>
      <c r="GX102" s="3"/>
      <c r="GY102" s="3"/>
      <c r="GZ102" s="3"/>
      <c r="HA102" s="3"/>
      <c r="HB102" s="3"/>
      <c r="HC102" s="3"/>
      <c r="HD102" s="3"/>
      <c r="HE102" s="3"/>
      <c r="HF102" s="3"/>
    </row>
    <row r="103" spans="1:214" x14ac:dyDescent="0.25">
      <c r="A103" s="41" t="s">
        <v>83</v>
      </c>
      <c r="C103" s="41">
        <f>COUNTA(M1:M95)</f>
        <v>18</v>
      </c>
      <c r="D103" s="41">
        <f>SUM(E103,H103)</f>
        <v>49707</v>
      </c>
      <c r="E103" s="41">
        <f>SUM(N5:N95)</f>
        <v>31698</v>
      </c>
      <c r="F103" s="103">
        <f>SUM(O5:O95)</f>
        <v>18009</v>
      </c>
      <c r="H103">
        <f>F103-G103</f>
        <v>18009</v>
      </c>
      <c r="N103">
        <f>L103-M103</f>
        <v>0</v>
      </c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  <c r="CK103" s="3"/>
      <c r="CL103" s="3"/>
      <c r="CM103" s="3"/>
      <c r="CN103" s="3"/>
      <c r="CO103" s="3"/>
      <c r="CP103" s="3"/>
      <c r="CQ103" s="3"/>
      <c r="CR103" s="3"/>
      <c r="CS103" s="3"/>
      <c r="CT103" s="3"/>
      <c r="CU103" s="3"/>
      <c r="CV103" s="3"/>
      <c r="CW103" s="3"/>
      <c r="CX103" s="3"/>
      <c r="CY103" s="3"/>
      <c r="CZ103" s="3"/>
      <c r="DA103" s="3"/>
      <c r="DB103" s="3"/>
      <c r="DC103" s="3"/>
      <c r="DD103" s="3"/>
      <c r="DE103" s="3"/>
      <c r="DF103" s="3"/>
      <c r="DG103" s="3"/>
      <c r="DH103" s="3"/>
      <c r="DI103" s="3"/>
      <c r="DJ103" s="3"/>
      <c r="DK103" s="3"/>
      <c r="DL103" s="3"/>
      <c r="DM103" s="3"/>
      <c r="DN103" s="3"/>
      <c r="DO103" s="3"/>
      <c r="DP103" s="3"/>
      <c r="DQ103" s="3"/>
      <c r="DR103" s="3"/>
      <c r="DS103" s="3"/>
      <c r="DT103" s="3"/>
      <c r="DU103" s="3"/>
      <c r="DV103" s="3"/>
      <c r="DW103" s="3"/>
      <c r="DX103" s="3"/>
      <c r="DY103" s="3"/>
      <c r="DZ103" s="3"/>
      <c r="EA103" s="3"/>
      <c r="EB103" s="3"/>
      <c r="EC103" s="3"/>
      <c r="ED103" s="3"/>
      <c r="EE103" s="3"/>
      <c r="EF103" s="3"/>
      <c r="EG103" s="3"/>
      <c r="EH103" s="3"/>
      <c r="EI103" s="3"/>
      <c r="EJ103" s="3"/>
      <c r="EK103" s="3"/>
      <c r="EL103" s="3"/>
      <c r="EM103" s="3"/>
      <c r="EN103" s="3"/>
      <c r="EO103" s="3"/>
      <c r="EP103" s="3"/>
      <c r="EQ103" s="3"/>
      <c r="ER103" s="3"/>
      <c r="ES103" s="3"/>
      <c r="ET103" s="3"/>
      <c r="EU103" s="3"/>
      <c r="EV103" s="3"/>
      <c r="EW103" s="3"/>
      <c r="EX103" s="3"/>
      <c r="EY103" s="3"/>
      <c r="EZ103" s="3"/>
      <c r="FA103" s="3"/>
      <c r="FB103" s="3"/>
      <c r="FC103" s="3"/>
      <c r="FD103" s="3"/>
      <c r="FE103" s="3"/>
      <c r="FF103" s="3"/>
      <c r="FG103" s="3"/>
      <c r="FH103" s="3"/>
      <c r="FI103" s="3"/>
      <c r="FJ103" s="3"/>
      <c r="FK103" s="3"/>
      <c r="FL103" s="3"/>
      <c r="FM103" s="3"/>
      <c r="FN103" s="3"/>
      <c r="FO103" s="3"/>
      <c r="FP103" s="3"/>
      <c r="FQ103" s="3"/>
      <c r="FR103" s="3"/>
      <c r="FS103" s="3"/>
      <c r="FT103" s="3"/>
      <c r="FU103" s="3"/>
      <c r="FV103" s="3"/>
      <c r="FW103" s="3"/>
      <c r="FX103" s="3"/>
      <c r="FY103" s="3"/>
      <c r="FZ103" s="3"/>
      <c r="GA103" s="3"/>
      <c r="GB103" s="3"/>
      <c r="GC103" s="3"/>
      <c r="GD103" s="3"/>
      <c r="GE103" s="3"/>
      <c r="GF103" s="3"/>
      <c r="GG103" s="3"/>
      <c r="GH103" s="3"/>
      <c r="GI103" s="3"/>
      <c r="GJ103" s="3"/>
      <c r="GK103" s="3"/>
      <c r="GL103" s="3"/>
      <c r="GM103" s="3"/>
      <c r="GN103" s="3"/>
      <c r="GO103" s="3"/>
      <c r="GP103" s="3"/>
      <c r="GQ103" s="3"/>
      <c r="GR103" s="3"/>
      <c r="GS103" s="3"/>
      <c r="GT103" s="3"/>
      <c r="GU103" s="3"/>
      <c r="GV103" s="3"/>
      <c r="GW103" s="3"/>
      <c r="GX103" s="3"/>
      <c r="GY103" s="3"/>
      <c r="GZ103" s="3"/>
      <c r="HA103" s="3"/>
      <c r="HB103" s="3"/>
      <c r="HC103" s="3"/>
      <c r="HD103" s="3"/>
      <c r="HE103" s="3"/>
      <c r="HF103" s="3"/>
    </row>
    <row r="104" spans="1:214" x14ac:dyDescent="0.25">
      <c r="A104" s="41" t="s">
        <v>84</v>
      </c>
      <c r="C104" s="41">
        <f>COUNTA(Q1:Q95)</f>
        <v>16</v>
      </c>
      <c r="D104" s="41">
        <f t="shared" ref="D104:D148" si="4">SUM(E104,H104)</f>
        <v>609450.77812499995</v>
      </c>
      <c r="E104" s="41">
        <f>SUM(R3:R95)</f>
        <v>12</v>
      </c>
      <c r="F104" s="103">
        <f>SUM(S3:S95)</f>
        <v>609438.77812499995</v>
      </c>
      <c r="H104">
        <f t="shared" ref="H104:H130" si="5">F104-G104</f>
        <v>609438.77812499995</v>
      </c>
      <c r="N104">
        <f t="shared" ref="N104:N130" si="6">L104-M104</f>
        <v>0</v>
      </c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  <c r="CK104" s="3"/>
      <c r="CL104" s="3"/>
      <c r="CM104" s="3"/>
      <c r="CN104" s="3"/>
      <c r="CO104" s="3"/>
      <c r="CP104" s="3"/>
      <c r="CQ104" s="3"/>
      <c r="CR104" s="3"/>
      <c r="CS104" s="3"/>
      <c r="CT104" s="3"/>
      <c r="CU104" s="3"/>
      <c r="CV104" s="3"/>
      <c r="CW104" s="3"/>
      <c r="CX104" s="3"/>
      <c r="CY104" s="3"/>
      <c r="CZ104" s="3"/>
      <c r="DA104" s="3"/>
      <c r="DB104" s="3"/>
      <c r="DC104" s="3"/>
      <c r="DD104" s="3"/>
      <c r="DE104" s="3"/>
      <c r="DF104" s="3"/>
      <c r="DG104" s="3"/>
      <c r="DH104" s="3"/>
      <c r="DI104" s="3"/>
      <c r="DJ104" s="3"/>
      <c r="DK104" s="3"/>
      <c r="DL104" s="3"/>
      <c r="DM104" s="3"/>
      <c r="DN104" s="3"/>
      <c r="DO104" s="3"/>
      <c r="DP104" s="3"/>
      <c r="DQ104" s="3"/>
      <c r="DR104" s="3"/>
      <c r="DS104" s="3"/>
      <c r="DT104" s="3"/>
      <c r="DU104" s="3"/>
      <c r="DV104" s="3"/>
      <c r="DW104" s="3"/>
      <c r="DX104" s="3"/>
      <c r="DY104" s="3"/>
      <c r="DZ104" s="3"/>
      <c r="EA104" s="3"/>
      <c r="EB104" s="3"/>
      <c r="EC104" s="3"/>
      <c r="ED104" s="3"/>
      <c r="EE104" s="3"/>
      <c r="EF104" s="3"/>
      <c r="EG104" s="3"/>
      <c r="EH104" s="3"/>
      <c r="EI104" s="3"/>
      <c r="EJ104" s="3"/>
      <c r="EK104" s="3"/>
      <c r="EL104" s="3"/>
      <c r="EM104" s="3"/>
      <c r="EN104" s="3"/>
      <c r="EO104" s="3"/>
      <c r="EP104" s="3"/>
      <c r="EQ104" s="3"/>
      <c r="ER104" s="3"/>
      <c r="ES104" s="3"/>
      <c r="ET104" s="3"/>
      <c r="EU104" s="3"/>
      <c r="EV104" s="3"/>
      <c r="EW104" s="3"/>
      <c r="EX104" s="3"/>
      <c r="EY104" s="3"/>
      <c r="EZ104" s="3"/>
      <c r="FA104" s="3"/>
      <c r="FB104" s="3"/>
      <c r="FC104" s="3"/>
      <c r="FD104" s="3"/>
      <c r="FE104" s="3"/>
      <c r="FF104" s="3"/>
      <c r="FG104" s="3"/>
      <c r="FH104" s="3"/>
      <c r="FI104" s="3"/>
      <c r="FJ104" s="3"/>
      <c r="FK104" s="3"/>
      <c r="FL104" s="3"/>
      <c r="FM104" s="3"/>
      <c r="FN104" s="3"/>
      <c r="FO104" s="3"/>
      <c r="FP104" s="3"/>
      <c r="FQ104" s="3"/>
      <c r="FR104" s="3"/>
      <c r="FS104" s="3"/>
      <c r="FT104" s="3"/>
      <c r="FU104" s="3"/>
      <c r="FV104" s="3"/>
      <c r="FW104" s="3"/>
      <c r="FX104" s="3"/>
      <c r="FY104" s="3"/>
      <c r="FZ104" s="3"/>
      <c r="GA104" s="3"/>
      <c r="GB104" s="3"/>
      <c r="GC104" s="3"/>
      <c r="GD104" s="3"/>
      <c r="GE104" s="3"/>
      <c r="GF104" s="3"/>
      <c r="GG104" s="3"/>
      <c r="GH104" s="3"/>
      <c r="GI104" s="3"/>
      <c r="GJ104" s="3"/>
      <c r="GK104" s="3"/>
      <c r="GL104" s="3"/>
      <c r="GM104" s="3"/>
      <c r="GN104" s="3"/>
      <c r="GO104" s="3"/>
      <c r="GP104" s="3"/>
      <c r="GQ104" s="3"/>
      <c r="GR104" s="3"/>
      <c r="GS104" s="3"/>
      <c r="GT104" s="3"/>
      <c r="GU104" s="3"/>
      <c r="GV104" s="3"/>
      <c r="GW104" s="3"/>
      <c r="GX104" s="3"/>
      <c r="GY104" s="3"/>
      <c r="GZ104" s="3"/>
      <c r="HA104" s="3"/>
      <c r="HB104" s="3"/>
      <c r="HC104" s="3"/>
      <c r="HD104" s="3"/>
      <c r="HE104" s="3"/>
      <c r="HF104" s="3"/>
    </row>
    <row r="105" spans="1:214" x14ac:dyDescent="0.25">
      <c r="C105" s="41">
        <f>COUNTA(U1:U95)</f>
        <v>9</v>
      </c>
      <c r="D105" s="41">
        <f>SUM(E105,H105)</f>
        <v>16585</v>
      </c>
      <c r="E105" s="41">
        <f>SUM(V3:V95)</f>
        <v>13292</v>
      </c>
      <c r="F105" s="103">
        <f>SUM(W3:W95)</f>
        <v>3293</v>
      </c>
      <c r="H105">
        <f t="shared" si="5"/>
        <v>3293</v>
      </c>
      <c r="N105">
        <f t="shared" si="6"/>
        <v>0</v>
      </c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  <c r="CK105" s="3"/>
      <c r="CL105" s="3"/>
      <c r="CM105" s="3"/>
      <c r="CN105" s="3"/>
      <c r="CO105" s="3"/>
      <c r="CP105" s="3"/>
      <c r="CQ105" s="3"/>
      <c r="CR105" s="3"/>
      <c r="CS105" s="3"/>
      <c r="CT105" s="3"/>
      <c r="CU105" s="3"/>
      <c r="CV105" s="3"/>
      <c r="CW105" s="3"/>
      <c r="CX105" s="3"/>
      <c r="CY105" s="3"/>
      <c r="CZ105" s="3"/>
      <c r="DA105" s="3"/>
      <c r="DB105" s="3"/>
      <c r="DC105" s="3"/>
      <c r="DD105" s="3"/>
      <c r="DE105" s="3"/>
      <c r="DF105" s="3"/>
      <c r="DG105" s="3"/>
      <c r="DH105" s="3"/>
      <c r="DI105" s="3"/>
      <c r="DJ105" s="3"/>
      <c r="DK105" s="3"/>
      <c r="DL105" s="3"/>
      <c r="DM105" s="3"/>
      <c r="DN105" s="3"/>
      <c r="DO105" s="3"/>
      <c r="DP105" s="3"/>
      <c r="DQ105" s="3"/>
      <c r="DR105" s="3"/>
      <c r="DS105" s="3"/>
      <c r="DT105" s="3"/>
      <c r="DU105" s="3"/>
      <c r="DV105" s="3"/>
      <c r="DW105" s="3"/>
      <c r="DX105" s="3"/>
      <c r="DY105" s="3"/>
      <c r="DZ105" s="3"/>
      <c r="EA105" s="3"/>
      <c r="EB105" s="3"/>
      <c r="EC105" s="3"/>
      <c r="ED105" s="3"/>
      <c r="EE105" s="3"/>
      <c r="EF105" s="3"/>
      <c r="EG105" s="3"/>
      <c r="EH105" s="3"/>
      <c r="EI105" s="3"/>
      <c r="EJ105" s="3"/>
      <c r="EK105" s="3"/>
      <c r="EL105" s="3"/>
      <c r="EM105" s="3"/>
      <c r="EN105" s="3"/>
      <c r="EO105" s="3"/>
      <c r="EP105" s="3"/>
      <c r="EQ105" s="3"/>
      <c r="ER105" s="3"/>
      <c r="ES105" s="3"/>
      <c r="ET105" s="3"/>
      <c r="EU105" s="3"/>
      <c r="EV105" s="3"/>
      <c r="EW105" s="3"/>
      <c r="EX105" s="3"/>
      <c r="EY105" s="3"/>
      <c r="EZ105" s="3"/>
      <c r="FA105" s="3"/>
      <c r="FB105" s="3"/>
      <c r="FC105" s="3"/>
      <c r="FD105" s="3"/>
      <c r="FE105" s="3"/>
      <c r="FF105" s="3"/>
      <c r="FG105" s="3"/>
      <c r="FH105" s="3"/>
      <c r="FI105" s="3"/>
      <c r="FJ105" s="3"/>
      <c r="FK105" s="3"/>
      <c r="FL105" s="3"/>
      <c r="FM105" s="3"/>
      <c r="FN105" s="3"/>
      <c r="FO105" s="3"/>
      <c r="FP105" s="3"/>
      <c r="FQ105" s="3"/>
      <c r="FR105" s="3"/>
      <c r="FS105" s="3"/>
      <c r="FT105" s="3"/>
      <c r="FU105" s="3"/>
      <c r="FV105" s="3"/>
      <c r="FW105" s="3"/>
      <c r="FX105" s="3"/>
      <c r="FY105" s="3"/>
      <c r="FZ105" s="3"/>
      <c r="GA105" s="3"/>
      <c r="GB105" s="3"/>
      <c r="GC105" s="3"/>
      <c r="GD105" s="3"/>
      <c r="GE105" s="3"/>
      <c r="GF105" s="3"/>
      <c r="GG105" s="3"/>
      <c r="GH105" s="3"/>
      <c r="GI105" s="3"/>
      <c r="GJ105" s="3"/>
      <c r="GK105" s="3"/>
      <c r="GL105" s="3"/>
      <c r="GM105" s="3"/>
      <c r="GN105" s="3"/>
      <c r="GO105" s="3"/>
      <c r="GP105" s="3"/>
      <c r="GQ105" s="3"/>
      <c r="GR105" s="3"/>
      <c r="GS105" s="3"/>
      <c r="GT105" s="3"/>
      <c r="GU105" s="3"/>
      <c r="GV105" s="3"/>
      <c r="GW105" s="3"/>
      <c r="GX105" s="3"/>
      <c r="GY105" s="3"/>
      <c r="GZ105" s="3"/>
      <c r="HA105" s="3"/>
      <c r="HB105" s="3"/>
      <c r="HC105" s="3"/>
      <c r="HD105" s="3"/>
      <c r="HE105" s="3"/>
      <c r="HF105" s="3"/>
    </row>
    <row r="106" spans="1:214" x14ac:dyDescent="0.25">
      <c r="C106" s="41">
        <f>COUNTA(Y1:Y95)</f>
        <v>1</v>
      </c>
      <c r="D106" s="41">
        <f t="shared" si="4"/>
        <v>53</v>
      </c>
      <c r="E106" s="41">
        <f>SUM(Z3:Z95)</f>
        <v>26</v>
      </c>
      <c r="F106" s="103">
        <f>SUM(AA3:AA95)</f>
        <v>27</v>
      </c>
      <c r="H106">
        <f t="shared" si="5"/>
        <v>27</v>
      </c>
      <c r="N106">
        <f t="shared" si="6"/>
        <v>0</v>
      </c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  <c r="CK106" s="3"/>
      <c r="CL106" s="3"/>
      <c r="CM106" s="3"/>
      <c r="CN106" s="3"/>
      <c r="CO106" s="3"/>
      <c r="CP106" s="3"/>
      <c r="CQ106" s="3"/>
      <c r="CR106" s="3"/>
      <c r="CS106" s="3"/>
      <c r="CT106" s="3"/>
      <c r="CU106" s="3"/>
      <c r="CV106" s="3"/>
      <c r="CW106" s="3"/>
      <c r="CX106" s="3"/>
      <c r="CY106" s="3"/>
      <c r="CZ106" s="3"/>
      <c r="DA106" s="3"/>
      <c r="DB106" s="3"/>
      <c r="DC106" s="3"/>
      <c r="DD106" s="3"/>
      <c r="DE106" s="3"/>
      <c r="DF106" s="3"/>
      <c r="DG106" s="3"/>
      <c r="DH106" s="3"/>
      <c r="DI106" s="3"/>
      <c r="DJ106" s="3"/>
      <c r="DK106" s="3"/>
      <c r="DL106" s="3"/>
      <c r="DM106" s="3"/>
      <c r="DN106" s="3"/>
      <c r="DO106" s="3"/>
      <c r="DP106" s="3"/>
      <c r="DQ106" s="3"/>
      <c r="DR106" s="3"/>
      <c r="DS106" s="3"/>
      <c r="DT106" s="3"/>
      <c r="DU106" s="3"/>
      <c r="DV106" s="3"/>
      <c r="DW106" s="3"/>
      <c r="DX106" s="3"/>
      <c r="DY106" s="3"/>
      <c r="DZ106" s="3"/>
      <c r="EA106" s="3"/>
      <c r="EB106" s="3"/>
      <c r="EC106" s="3"/>
      <c r="ED106" s="3"/>
      <c r="EE106" s="3"/>
      <c r="EF106" s="3"/>
      <c r="EG106" s="3"/>
      <c r="EH106" s="3"/>
      <c r="EI106" s="3"/>
      <c r="EJ106" s="3"/>
      <c r="EK106" s="3"/>
      <c r="EL106" s="3"/>
      <c r="EM106" s="3"/>
      <c r="EN106" s="3"/>
      <c r="EO106" s="3"/>
      <c r="EP106" s="3"/>
      <c r="EQ106" s="3"/>
      <c r="ER106" s="3"/>
      <c r="ES106" s="3"/>
      <c r="ET106" s="3"/>
      <c r="EU106" s="3"/>
      <c r="EV106" s="3"/>
      <c r="EW106" s="3"/>
      <c r="EX106" s="3"/>
      <c r="EY106" s="3"/>
      <c r="EZ106" s="3"/>
      <c r="FA106" s="3"/>
      <c r="FB106" s="3"/>
      <c r="FC106" s="3"/>
      <c r="FD106" s="3"/>
      <c r="FE106" s="3"/>
      <c r="FF106" s="3"/>
      <c r="FG106" s="3"/>
      <c r="FH106" s="3"/>
      <c r="FI106" s="3"/>
      <c r="FJ106" s="3"/>
      <c r="FK106" s="3"/>
      <c r="FL106" s="3"/>
      <c r="FM106" s="3"/>
      <c r="FN106" s="3"/>
      <c r="FO106" s="3"/>
      <c r="FP106" s="3"/>
      <c r="FQ106" s="3"/>
      <c r="FR106" s="3"/>
      <c r="FS106" s="3"/>
      <c r="FT106" s="3"/>
      <c r="FU106" s="3"/>
      <c r="FV106" s="3"/>
      <c r="FW106" s="3"/>
      <c r="FX106" s="3"/>
      <c r="FY106" s="3"/>
      <c r="FZ106" s="3"/>
      <c r="GA106" s="3"/>
      <c r="GB106" s="3"/>
      <c r="GC106" s="3"/>
      <c r="GD106" s="3"/>
      <c r="GE106" s="3"/>
      <c r="GF106" s="3"/>
      <c r="GG106" s="3"/>
      <c r="GH106" s="3"/>
      <c r="GI106" s="3"/>
      <c r="GJ106" s="3"/>
      <c r="GK106" s="3"/>
      <c r="GL106" s="3"/>
      <c r="GM106" s="3"/>
      <c r="GN106" s="3"/>
      <c r="GO106" s="3"/>
      <c r="GP106" s="3"/>
      <c r="GQ106" s="3"/>
      <c r="GR106" s="3"/>
      <c r="GS106" s="3"/>
      <c r="GT106" s="3"/>
      <c r="GU106" s="3"/>
      <c r="GV106" s="3"/>
      <c r="GW106" s="3"/>
      <c r="GX106" s="3"/>
      <c r="GY106" s="3"/>
      <c r="GZ106" s="3"/>
      <c r="HA106" s="3"/>
      <c r="HB106" s="3"/>
      <c r="HC106" s="3"/>
      <c r="HD106" s="3"/>
      <c r="HE106" s="3"/>
      <c r="HF106" s="3"/>
    </row>
    <row r="107" spans="1:214" x14ac:dyDescent="0.25">
      <c r="C107" s="41">
        <f>COUNTA(AC1:AC95)</f>
        <v>1</v>
      </c>
      <c r="D107" s="41">
        <f t="shared" si="4"/>
        <v>61</v>
      </c>
      <c r="E107" s="41">
        <f>SUM(AD3:AD95)</f>
        <v>30</v>
      </c>
      <c r="F107" s="103">
        <f>SUM(AE3:AE95)</f>
        <v>31</v>
      </c>
      <c r="H107">
        <f t="shared" si="5"/>
        <v>31</v>
      </c>
      <c r="N107">
        <f t="shared" si="6"/>
        <v>0</v>
      </c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  <c r="CK107" s="3"/>
      <c r="CL107" s="3"/>
      <c r="CM107" s="3"/>
      <c r="CN107" s="3"/>
      <c r="CO107" s="3"/>
      <c r="CP107" s="3"/>
      <c r="CQ107" s="3"/>
      <c r="CR107" s="3"/>
      <c r="CS107" s="3"/>
      <c r="CT107" s="3"/>
      <c r="CU107" s="3"/>
      <c r="CV107" s="3"/>
      <c r="CW107" s="3"/>
      <c r="CX107" s="3"/>
      <c r="CY107" s="3"/>
      <c r="CZ107" s="3"/>
      <c r="DA107" s="3"/>
      <c r="DB107" s="3"/>
      <c r="DC107" s="3"/>
      <c r="DD107" s="3"/>
      <c r="DE107" s="3"/>
      <c r="DF107" s="3"/>
      <c r="DG107" s="3"/>
      <c r="DH107" s="3"/>
      <c r="DI107" s="3"/>
      <c r="DJ107" s="3"/>
      <c r="DK107" s="3"/>
      <c r="DL107" s="3"/>
      <c r="DM107" s="3"/>
      <c r="DN107" s="3"/>
      <c r="DO107" s="3"/>
      <c r="DP107" s="3"/>
      <c r="DQ107" s="3"/>
      <c r="DR107" s="3"/>
      <c r="DS107" s="3"/>
      <c r="DT107" s="3"/>
      <c r="DU107" s="3"/>
      <c r="DV107" s="3"/>
      <c r="DW107" s="3"/>
      <c r="DX107" s="3"/>
      <c r="DY107" s="3"/>
      <c r="DZ107" s="3"/>
      <c r="EA107" s="3"/>
      <c r="EB107" s="3"/>
      <c r="EC107" s="3"/>
      <c r="ED107" s="3"/>
      <c r="EE107" s="3"/>
      <c r="EF107" s="3"/>
      <c r="EG107" s="3"/>
      <c r="EH107" s="3"/>
      <c r="EI107" s="3"/>
      <c r="EJ107" s="3"/>
      <c r="EK107" s="3"/>
      <c r="EL107" s="3"/>
      <c r="EM107" s="3"/>
      <c r="EN107" s="3"/>
      <c r="EO107" s="3"/>
      <c r="EP107" s="3"/>
      <c r="EQ107" s="3"/>
      <c r="ER107" s="3"/>
      <c r="ES107" s="3"/>
      <c r="ET107" s="3"/>
      <c r="EU107" s="3"/>
      <c r="EV107" s="3"/>
      <c r="EW107" s="3"/>
      <c r="EX107" s="3"/>
      <c r="EY107" s="3"/>
      <c r="EZ107" s="3"/>
      <c r="FA107" s="3"/>
      <c r="FB107" s="3"/>
      <c r="FC107" s="3"/>
      <c r="FD107" s="3"/>
      <c r="FE107" s="3"/>
      <c r="FF107" s="3"/>
      <c r="FG107" s="3"/>
      <c r="FH107" s="3"/>
      <c r="FI107" s="3"/>
      <c r="FJ107" s="3"/>
      <c r="FK107" s="3"/>
      <c r="FL107" s="3"/>
      <c r="FM107" s="3"/>
      <c r="FN107" s="3"/>
      <c r="FO107" s="3"/>
      <c r="FP107" s="3"/>
      <c r="FQ107" s="3"/>
      <c r="FR107" s="3"/>
      <c r="FS107" s="3"/>
      <c r="FT107" s="3"/>
      <c r="FU107" s="3"/>
      <c r="FV107" s="3"/>
      <c r="FW107" s="3"/>
      <c r="FX107" s="3"/>
      <c r="FY107" s="3"/>
      <c r="FZ107" s="3"/>
      <c r="GA107" s="3"/>
      <c r="GB107" s="3"/>
      <c r="GC107" s="3"/>
      <c r="GD107" s="3"/>
      <c r="GE107" s="3"/>
      <c r="GF107" s="3"/>
      <c r="GG107" s="3"/>
      <c r="GH107" s="3"/>
      <c r="GI107" s="3"/>
      <c r="GJ107" s="3"/>
      <c r="GK107" s="3"/>
      <c r="GL107" s="3"/>
      <c r="GM107" s="3"/>
      <c r="GN107" s="3"/>
      <c r="GO107" s="3"/>
      <c r="GP107" s="3"/>
      <c r="GQ107" s="3"/>
      <c r="GR107" s="3"/>
      <c r="GS107" s="3"/>
      <c r="GT107" s="3"/>
      <c r="GU107" s="3"/>
      <c r="GV107" s="3"/>
      <c r="GW107" s="3"/>
      <c r="GX107" s="3"/>
      <c r="GY107" s="3"/>
      <c r="GZ107" s="3"/>
      <c r="HA107" s="3"/>
      <c r="HB107" s="3"/>
      <c r="HC107" s="3"/>
      <c r="HD107" s="3"/>
      <c r="HE107" s="3"/>
      <c r="HF107" s="3"/>
    </row>
    <row r="108" spans="1:214" x14ac:dyDescent="0.25">
      <c r="C108" s="41">
        <f>COUNTA(AG1:AG95)</f>
        <v>1</v>
      </c>
      <c r="D108" s="41">
        <f t="shared" si="4"/>
        <v>69</v>
      </c>
      <c r="E108" s="41">
        <f>SUM(AH3:AH95)</f>
        <v>34</v>
      </c>
      <c r="F108" s="103">
        <f>SUM(AI3:AI95)</f>
        <v>35</v>
      </c>
      <c r="H108">
        <f t="shared" si="5"/>
        <v>35</v>
      </c>
      <c r="N108">
        <f t="shared" si="6"/>
        <v>0</v>
      </c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  <c r="CK108" s="3"/>
      <c r="CL108" s="3"/>
      <c r="CM108" s="3"/>
      <c r="CN108" s="3"/>
      <c r="CO108" s="3"/>
      <c r="CP108" s="3"/>
      <c r="CQ108" s="3"/>
      <c r="CR108" s="3"/>
      <c r="CS108" s="3"/>
      <c r="CT108" s="3"/>
      <c r="CU108" s="3"/>
      <c r="CV108" s="3"/>
      <c r="CW108" s="3"/>
      <c r="CX108" s="3"/>
      <c r="CY108" s="3"/>
      <c r="CZ108" s="3"/>
      <c r="DA108" s="3"/>
      <c r="DB108" s="3"/>
      <c r="DC108" s="3"/>
      <c r="DD108" s="3"/>
      <c r="DE108" s="3"/>
      <c r="DF108" s="3"/>
      <c r="DG108" s="3"/>
      <c r="DH108" s="3"/>
      <c r="DI108" s="3"/>
      <c r="DJ108" s="3"/>
      <c r="DK108" s="3"/>
      <c r="DL108" s="3"/>
      <c r="DM108" s="3"/>
      <c r="DN108" s="3"/>
      <c r="DO108" s="3"/>
      <c r="DP108" s="3"/>
      <c r="DQ108" s="3"/>
      <c r="DR108" s="3"/>
      <c r="DS108" s="3"/>
      <c r="DT108" s="3"/>
      <c r="DU108" s="3"/>
      <c r="DV108" s="3"/>
      <c r="DW108" s="3"/>
      <c r="DX108" s="3"/>
      <c r="DY108" s="3"/>
      <c r="DZ108" s="3"/>
      <c r="EA108" s="3"/>
      <c r="EB108" s="3"/>
      <c r="EC108" s="3"/>
      <c r="ED108" s="3"/>
      <c r="EE108" s="3"/>
      <c r="EF108" s="3"/>
      <c r="EG108" s="3"/>
      <c r="EH108" s="3"/>
      <c r="EI108" s="3"/>
      <c r="EJ108" s="3"/>
      <c r="EK108" s="3"/>
      <c r="EL108" s="3"/>
      <c r="EM108" s="3"/>
      <c r="EN108" s="3"/>
      <c r="EO108" s="3"/>
      <c r="EP108" s="3"/>
      <c r="EQ108" s="3"/>
      <c r="ER108" s="3"/>
      <c r="ES108" s="3"/>
      <c r="ET108" s="3"/>
      <c r="EU108" s="3"/>
      <c r="EV108" s="3"/>
      <c r="EW108" s="3"/>
      <c r="EX108" s="3"/>
      <c r="EY108" s="3"/>
      <c r="EZ108" s="3"/>
      <c r="FA108" s="3"/>
      <c r="FB108" s="3"/>
      <c r="FC108" s="3"/>
      <c r="FD108" s="3"/>
      <c r="FE108" s="3"/>
      <c r="FF108" s="3"/>
      <c r="FG108" s="3"/>
      <c r="FH108" s="3"/>
      <c r="FI108" s="3"/>
      <c r="FJ108" s="3"/>
      <c r="FK108" s="3"/>
      <c r="FL108" s="3"/>
      <c r="FM108" s="3"/>
      <c r="FN108" s="3"/>
      <c r="FO108" s="3"/>
      <c r="FP108" s="3"/>
      <c r="FQ108" s="3"/>
      <c r="FR108" s="3"/>
      <c r="FS108" s="3"/>
      <c r="FT108" s="3"/>
      <c r="FU108" s="3"/>
      <c r="FV108" s="3"/>
      <c r="FW108" s="3"/>
      <c r="FX108" s="3"/>
      <c r="FY108" s="3"/>
      <c r="FZ108" s="3"/>
      <c r="GA108" s="3"/>
      <c r="GB108" s="3"/>
      <c r="GC108" s="3"/>
      <c r="GD108" s="3"/>
      <c r="GE108" s="3"/>
      <c r="GF108" s="3"/>
      <c r="GG108" s="3"/>
      <c r="GH108" s="3"/>
      <c r="GI108" s="3"/>
      <c r="GJ108" s="3"/>
      <c r="GK108" s="3"/>
      <c r="GL108" s="3"/>
      <c r="GM108" s="3"/>
      <c r="GN108" s="3"/>
      <c r="GO108" s="3"/>
      <c r="GP108" s="3"/>
      <c r="GQ108" s="3"/>
      <c r="GR108" s="3"/>
      <c r="GS108" s="3"/>
      <c r="GT108" s="3"/>
      <c r="GU108" s="3"/>
      <c r="GV108" s="3"/>
      <c r="GW108" s="3"/>
      <c r="GX108" s="3"/>
      <c r="GY108" s="3"/>
      <c r="GZ108" s="3"/>
      <c r="HA108" s="3"/>
      <c r="HB108" s="3"/>
      <c r="HC108" s="3"/>
      <c r="HD108" s="3"/>
      <c r="HE108" s="3"/>
      <c r="HF108" s="3"/>
    </row>
    <row r="109" spans="1:214" x14ac:dyDescent="0.25">
      <c r="C109" s="41">
        <f>COUNTA(AK1:AK95)</f>
        <v>1</v>
      </c>
      <c r="D109" s="41">
        <f t="shared" si="4"/>
        <v>77</v>
      </c>
      <c r="E109" s="41">
        <f>SUM(AL3:AL95)</f>
        <v>38</v>
      </c>
      <c r="F109" s="103">
        <f>SUM(AM3:AM95)</f>
        <v>39</v>
      </c>
      <c r="H109">
        <f t="shared" si="5"/>
        <v>39</v>
      </c>
      <c r="N109">
        <f t="shared" si="6"/>
        <v>0</v>
      </c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  <c r="CK109" s="3"/>
      <c r="CL109" s="3"/>
      <c r="CM109" s="3"/>
      <c r="CN109" s="3"/>
      <c r="CO109" s="3"/>
      <c r="CP109" s="3"/>
      <c r="CQ109" s="3"/>
      <c r="CR109" s="3"/>
      <c r="CS109" s="3"/>
      <c r="CT109" s="3"/>
      <c r="CU109" s="3"/>
      <c r="CV109" s="3"/>
      <c r="CW109" s="3"/>
      <c r="CX109" s="3"/>
      <c r="CY109" s="3"/>
      <c r="CZ109" s="3"/>
      <c r="DA109" s="3"/>
      <c r="DB109" s="3"/>
      <c r="DC109" s="3"/>
      <c r="DD109" s="3"/>
      <c r="DE109" s="3"/>
      <c r="DF109" s="3"/>
      <c r="DG109" s="3"/>
      <c r="DH109" s="3"/>
      <c r="DI109" s="3"/>
      <c r="DJ109" s="3"/>
      <c r="DK109" s="3"/>
      <c r="DL109" s="3"/>
      <c r="DM109" s="3"/>
      <c r="DN109" s="3"/>
      <c r="DO109" s="3"/>
      <c r="DP109" s="3"/>
      <c r="DQ109" s="3"/>
      <c r="DR109" s="3"/>
      <c r="DS109" s="3"/>
      <c r="DT109" s="3"/>
      <c r="DU109" s="3"/>
      <c r="DV109" s="3"/>
      <c r="DW109" s="3"/>
      <c r="DX109" s="3"/>
      <c r="DY109" s="3"/>
      <c r="DZ109" s="3"/>
      <c r="EA109" s="3"/>
      <c r="EB109" s="3"/>
      <c r="EC109" s="3"/>
      <c r="ED109" s="3"/>
      <c r="EE109" s="3"/>
      <c r="EF109" s="3"/>
      <c r="EG109" s="3"/>
      <c r="EH109" s="3"/>
      <c r="EI109" s="3"/>
      <c r="EJ109" s="3"/>
      <c r="EK109" s="3"/>
      <c r="EL109" s="3"/>
      <c r="EM109" s="3"/>
      <c r="EN109" s="3"/>
      <c r="EO109" s="3"/>
      <c r="EP109" s="3"/>
      <c r="EQ109" s="3"/>
      <c r="ER109" s="3"/>
      <c r="ES109" s="3"/>
      <c r="ET109" s="3"/>
      <c r="EU109" s="3"/>
      <c r="EV109" s="3"/>
      <c r="EW109" s="3"/>
      <c r="EX109" s="3"/>
      <c r="EY109" s="3"/>
      <c r="EZ109" s="3"/>
      <c r="FA109" s="3"/>
      <c r="FB109" s="3"/>
      <c r="FC109" s="3"/>
      <c r="FD109" s="3"/>
      <c r="FE109" s="3"/>
      <c r="FF109" s="3"/>
      <c r="FG109" s="3"/>
      <c r="FH109" s="3"/>
      <c r="FI109" s="3"/>
      <c r="FJ109" s="3"/>
      <c r="FK109" s="3"/>
      <c r="FL109" s="3"/>
      <c r="FM109" s="3"/>
      <c r="FN109" s="3"/>
      <c r="FO109" s="3"/>
      <c r="FP109" s="3"/>
      <c r="FQ109" s="3"/>
      <c r="FR109" s="3"/>
      <c r="FS109" s="3"/>
      <c r="FT109" s="3"/>
      <c r="FU109" s="3"/>
      <c r="FV109" s="3"/>
      <c r="FW109" s="3"/>
      <c r="FX109" s="3"/>
      <c r="FY109" s="3"/>
      <c r="FZ109" s="3"/>
      <c r="GA109" s="3"/>
      <c r="GB109" s="3"/>
      <c r="GC109" s="3"/>
      <c r="GD109" s="3"/>
      <c r="GE109" s="3"/>
      <c r="GF109" s="3"/>
      <c r="GG109" s="3"/>
      <c r="GH109" s="3"/>
      <c r="GI109" s="3"/>
      <c r="GJ109" s="3"/>
      <c r="GK109" s="3"/>
      <c r="GL109" s="3"/>
      <c r="GM109" s="3"/>
      <c r="GN109" s="3"/>
      <c r="GO109" s="3"/>
      <c r="GP109" s="3"/>
      <c r="GQ109" s="3"/>
      <c r="GR109" s="3"/>
      <c r="GS109" s="3"/>
      <c r="GT109" s="3"/>
      <c r="GU109" s="3"/>
      <c r="GV109" s="3"/>
      <c r="GW109" s="3"/>
      <c r="GX109" s="3"/>
      <c r="GY109" s="3"/>
      <c r="GZ109" s="3"/>
      <c r="HA109" s="3"/>
      <c r="HB109" s="3"/>
      <c r="HC109" s="3"/>
      <c r="HD109" s="3"/>
      <c r="HE109" s="3"/>
      <c r="HF109" s="3"/>
    </row>
    <row r="110" spans="1:214" x14ac:dyDescent="0.25">
      <c r="C110" s="41">
        <f>COUNTA(AO1:AO95)</f>
        <v>1</v>
      </c>
      <c r="D110" s="41">
        <f t="shared" si="4"/>
        <v>85</v>
      </c>
      <c r="E110" s="41">
        <f>SUM(AP3:AP95)</f>
        <v>42</v>
      </c>
      <c r="F110" s="103">
        <f>SUM(AQ3:AQ95)</f>
        <v>43</v>
      </c>
      <c r="H110">
        <f t="shared" si="5"/>
        <v>43</v>
      </c>
      <c r="N110">
        <f t="shared" si="6"/>
        <v>0</v>
      </c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  <c r="CK110" s="3"/>
      <c r="CL110" s="3"/>
      <c r="CM110" s="3"/>
      <c r="CN110" s="3"/>
      <c r="CO110" s="3"/>
      <c r="CP110" s="3"/>
      <c r="CQ110" s="3"/>
      <c r="CR110" s="3"/>
      <c r="CS110" s="3"/>
      <c r="CT110" s="3"/>
      <c r="CU110" s="3"/>
      <c r="CV110" s="3"/>
      <c r="CW110" s="3"/>
      <c r="CX110" s="3"/>
      <c r="CY110" s="3"/>
      <c r="CZ110" s="3"/>
      <c r="DA110" s="3"/>
      <c r="DB110" s="3"/>
      <c r="DC110" s="3"/>
      <c r="DD110" s="3"/>
      <c r="DE110" s="3"/>
      <c r="DF110" s="3"/>
      <c r="DG110" s="3"/>
      <c r="DH110" s="3"/>
      <c r="DI110" s="3"/>
      <c r="DJ110" s="3"/>
      <c r="DK110" s="3"/>
      <c r="DL110" s="3"/>
      <c r="DM110" s="3"/>
      <c r="DN110" s="3"/>
      <c r="DO110" s="3"/>
      <c r="DP110" s="3"/>
      <c r="DQ110" s="3"/>
      <c r="DR110" s="3"/>
      <c r="DS110" s="3"/>
      <c r="DT110" s="3"/>
      <c r="DU110" s="3"/>
      <c r="DV110" s="3"/>
      <c r="DW110" s="3"/>
      <c r="DX110" s="3"/>
      <c r="DY110" s="3"/>
      <c r="DZ110" s="3"/>
      <c r="EA110" s="3"/>
      <c r="EB110" s="3"/>
      <c r="EC110" s="3"/>
      <c r="ED110" s="3"/>
      <c r="EE110" s="3"/>
      <c r="EF110" s="3"/>
      <c r="EG110" s="3"/>
      <c r="EH110" s="3"/>
      <c r="EI110" s="3"/>
      <c r="EJ110" s="3"/>
      <c r="EK110" s="3"/>
      <c r="EL110" s="3"/>
      <c r="EM110" s="3"/>
      <c r="EN110" s="3"/>
      <c r="EO110" s="3"/>
      <c r="EP110" s="3"/>
      <c r="EQ110" s="3"/>
      <c r="ER110" s="3"/>
      <c r="ES110" s="3"/>
      <c r="ET110" s="3"/>
      <c r="EU110" s="3"/>
      <c r="EV110" s="3"/>
      <c r="EW110" s="3"/>
      <c r="EX110" s="3"/>
      <c r="EY110" s="3"/>
      <c r="EZ110" s="3"/>
      <c r="FA110" s="3"/>
      <c r="FB110" s="3"/>
      <c r="FC110" s="3"/>
      <c r="FD110" s="3"/>
      <c r="FE110" s="3"/>
      <c r="FF110" s="3"/>
      <c r="FG110" s="3"/>
      <c r="FH110" s="3"/>
      <c r="FI110" s="3"/>
      <c r="FJ110" s="3"/>
      <c r="FK110" s="3"/>
      <c r="FL110" s="3"/>
      <c r="FM110" s="3"/>
      <c r="FN110" s="3"/>
      <c r="FO110" s="3"/>
      <c r="FP110" s="3"/>
      <c r="FQ110" s="3"/>
      <c r="FR110" s="3"/>
      <c r="FS110" s="3"/>
      <c r="FT110" s="3"/>
      <c r="FU110" s="3"/>
      <c r="FV110" s="3"/>
      <c r="FW110" s="3"/>
      <c r="FX110" s="3"/>
      <c r="FY110" s="3"/>
      <c r="FZ110" s="3"/>
      <c r="GA110" s="3"/>
      <c r="GB110" s="3"/>
      <c r="GC110" s="3"/>
      <c r="GD110" s="3"/>
      <c r="GE110" s="3"/>
      <c r="GF110" s="3"/>
      <c r="GG110" s="3"/>
      <c r="GH110" s="3"/>
      <c r="GI110" s="3"/>
      <c r="GJ110" s="3"/>
      <c r="GK110" s="3"/>
      <c r="GL110" s="3"/>
      <c r="GM110" s="3"/>
      <c r="GN110" s="3"/>
      <c r="GO110" s="3"/>
      <c r="GP110" s="3"/>
      <c r="GQ110" s="3"/>
      <c r="GR110" s="3"/>
      <c r="GS110" s="3"/>
      <c r="GT110" s="3"/>
      <c r="GU110" s="3"/>
      <c r="GV110" s="3"/>
      <c r="GW110" s="3"/>
      <c r="GX110" s="3"/>
      <c r="GY110" s="3"/>
      <c r="GZ110" s="3"/>
      <c r="HA110" s="3"/>
      <c r="HB110" s="3"/>
      <c r="HC110" s="3"/>
      <c r="HD110" s="3"/>
      <c r="HE110" s="3"/>
      <c r="HF110" s="3"/>
    </row>
    <row r="111" spans="1:214" x14ac:dyDescent="0.25">
      <c r="C111" s="41">
        <f>COUNTA(AS1:AS95)</f>
        <v>1</v>
      </c>
      <c r="D111" s="41">
        <f t="shared" si="4"/>
        <v>93</v>
      </c>
      <c r="E111" s="41">
        <f>SUM(AT3:AT95)</f>
        <v>46</v>
      </c>
      <c r="F111" s="103">
        <f>SUM(AU3:AU95)</f>
        <v>47</v>
      </c>
      <c r="H111">
        <f t="shared" si="5"/>
        <v>47</v>
      </c>
      <c r="N111">
        <f t="shared" si="6"/>
        <v>0</v>
      </c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  <c r="CK111" s="3"/>
      <c r="CL111" s="3"/>
      <c r="CM111" s="3"/>
      <c r="CN111" s="3"/>
      <c r="CO111" s="3"/>
      <c r="CP111" s="3"/>
      <c r="CQ111" s="3"/>
      <c r="CR111" s="3"/>
      <c r="CS111" s="3"/>
      <c r="CT111" s="3"/>
      <c r="CU111" s="3"/>
      <c r="CV111" s="3"/>
      <c r="CW111" s="3"/>
      <c r="CX111" s="3"/>
      <c r="CY111" s="3"/>
      <c r="CZ111" s="3"/>
      <c r="DA111" s="3"/>
      <c r="DB111" s="3"/>
      <c r="DC111" s="3"/>
      <c r="DD111" s="3"/>
      <c r="DE111" s="3"/>
      <c r="DF111" s="3"/>
      <c r="DG111" s="3"/>
      <c r="DH111" s="3"/>
      <c r="DI111" s="3"/>
      <c r="DJ111" s="3"/>
      <c r="DK111" s="3"/>
      <c r="DL111" s="3"/>
      <c r="DM111" s="3"/>
      <c r="DN111" s="3"/>
      <c r="DO111" s="3"/>
      <c r="DP111" s="3"/>
      <c r="DQ111" s="3"/>
      <c r="DR111" s="3"/>
      <c r="DS111" s="3"/>
      <c r="DT111" s="3"/>
      <c r="DU111" s="3"/>
      <c r="DV111" s="3"/>
      <c r="DW111" s="3"/>
      <c r="DX111" s="3"/>
      <c r="DY111" s="3"/>
      <c r="DZ111" s="3"/>
      <c r="EA111" s="3"/>
      <c r="EB111" s="3"/>
      <c r="EC111" s="3"/>
      <c r="ED111" s="3"/>
      <c r="EE111" s="3"/>
      <c r="EF111" s="3"/>
      <c r="EG111" s="3"/>
      <c r="EH111" s="3"/>
      <c r="EI111" s="3"/>
      <c r="EJ111" s="3"/>
      <c r="EK111" s="3"/>
      <c r="EL111" s="3"/>
      <c r="EM111" s="3"/>
      <c r="EN111" s="3"/>
      <c r="EO111" s="3"/>
      <c r="EP111" s="3"/>
      <c r="EQ111" s="3"/>
      <c r="ER111" s="3"/>
      <c r="ES111" s="3"/>
      <c r="ET111" s="3"/>
      <c r="EU111" s="3"/>
      <c r="EV111" s="3"/>
      <c r="EW111" s="3"/>
      <c r="EX111" s="3"/>
      <c r="EY111" s="3"/>
      <c r="EZ111" s="3"/>
      <c r="FA111" s="3"/>
      <c r="FB111" s="3"/>
      <c r="FC111" s="3"/>
      <c r="FD111" s="3"/>
      <c r="FE111" s="3"/>
      <c r="FF111" s="3"/>
      <c r="FG111" s="3"/>
      <c r="FH111" s="3"/>
      <c r="FI111" s="3"/>
      <c r="FJ111" s="3"/>
      <c r="FK111" s="3"/>
      <c r="FL111" s="3"/>
      <c r="FM111" s="3"/>
      <c r="FN111" s="3"/>
      <c r="FO111" s="3"/>
      <c r="FP111" s="3"/>
      <c r="FQ111" s="3"/>
      <c r="FR111" s="3"/>
      <c r="FS111" s="3"/>
      <c r="FT111" s="3"/>
      <c r="FU111" s="3"/>
      <c r="FV111" s="3"/>
      <c r="FW111" s="3"/>
      <c r="FX111" s="3"/>
      <c r="FY111" s="3"/>
      <c r="FZ111" s="3"/>
      <c r="GA111" s="3"/>
      <c r="GB111" s="3"/>
      <c r="GC111" s="3"/>
      <c r="GD111" s="3"/>
      <c r="GE111" s="3"/>
      <c r="GF111" s="3"/>
      <c r="GG111" s="3"/>
      <c r="GH111" s="3"/>
      <c r="GI111" s="3"/>
      <c r="GJ111" s="3"/>
      <c r="GK111" s="3"/>
      <c r="GL111" s="3"/>
      <c r="GM111" s="3"/>
      <c r="GN111" s="3"/>
      <c r="GO111" s="3"/>
      <c r="GP111" s="3"/>
      <c r="GQ111" s="3"/>
      <c r="GR111" s="3"/>
      <c r="GS111" s="3"/>
      <c r="GT111" s="3"/>
      <c r="GU111" s="3"/>
      <c r="GV111" s="3"/>
      <c r="GW111" s="3"/>
      <c r="GX111" s="3"/>
      <c r="GY111" s="3"/>
      <c r="GZ111" s="3"/>
      <c r="HA111" s="3"/>
      <c r="HB111" s="3"/>
      <c r="HC111" s="3"/>
      <c r="HD111" s="3"/>
      <c r="HE111" s="3"/>
      <c r="HF111" s="3"/>
    </row>
    <row r="112" spans="1:214" x14ac:dyDescent="0.25">
      <c r="C112" s="41">
        <f>COUNTA(AW1:AW95)</f>
        <v>1</v>
      </c>
      <c r="D112" s="41">
        <f t="shared" si="4"/>
        <v>101</v>
      </c>
      <c r="E112" s="41">
        <f>SUM(AX3:AX95)</f>
        <v>50</v>
      </c>
      <c r="F112" s="103">
        <f>SUM(AY3:AY95)</f>
        <v>51</v>
      </c>
      <c r="H112">
        <f t="shared" si="5"/>
        <v>51</v>
      </c>
      <c r="N112">
        <f t="shared" si="6"/>
        <v>0</v>
      </c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  <c r="CK112" s="3"/>
      <c r="CL112" s="3"/>
      <c r="CM112" s="3"/>
      <c r="CN112" s="3"/>
      <c r="CO112" s="3"/>
      <c r="CP112" s="3"/>
      <c r="CQ112" s="3"/>
      <c r="CR112" s="3"/>
      <c r="CS112" s="3"/>
      <c r="CT112" s="3"/>
      <c r="CU112" s="3"/>
      <c r="CV112" s="3"/>
      <c r="CW112" s="3"/>
      <c r="CX112" s="3"/>
      <c r="CY112" s="3"/>
      <c r="CZ112" s="3"/>
      <c r="DA112" s="3"/>
      <c r="DB112" s="3"/>
      <c r="DC112" s="3"/>
      <c r="DD112" s="3"/>
      <c r="DE112" s="3"/>
      <c r="DF112" s="3"/>
      <c r="DG112" s="3"/>
      <c r="DH112" s="3"/>
      <c r="DI112" s="3"/>
      <c r="DJ112" s="3"/>
      <c r="DK112" s="3"/>
      <c r="DL112" s="3"/>
      <c r="DM112" s="3"/>
      <c r="DN112" s="3"/>
      <c r="DO112" s="3"/>
      <c r="DP112" s="3"/>
      <c r="DQ112" s="3"/>
      <c r="DR112" s="3"/>
      <c r="DS112" s="3"/>
      <c r="DT112" s="3"/>
      <c r="DU112" s="3"/>
      <c r="DV112" s="3"/>
      <c r="DW112" s="3"/>
      <c r="DX112" s="3"/>
      <c r="DY112" s="3"/>
      <c r="DZ112" s="3"/>
      <c r="EA112" s="3"/>
      <c r="EB112" s="3"/>
      <c r="EC112" s="3"/>
      <c r="ED112" s="3"/>
      <c r="EE112" s="3"/>
      <c r="EF112" s="3"/>
      <c r="EG112" s="3"/>
      <c r="EH112" s="3"/>
      <c r="EI112" s="3"/>
      <c r="EJ112" s="3"/>
      <c r="EK112" s="3"/>
      <c r="EL112" s="3"/>
      <c r="EM112" s="3"/>
      <c r="EN112" s="3"/>
      <c r="EO112" s="3"/>
      <c r="EP112" s="3"/>
      <c r="EQ112" s="3"/>
      <c r="ER112" s="3"/>
      <c r="ES112" s="3"/>
      <c r="ET112" s="3"/>
      <c r="EU112" s="3"/>
      <c r="EV112" s="3"/>
      <c r="EW112" s="3"/>
      <c r="EX112" s="3"/>
      <c r="EY112" s="3"/>
      <c r="EZ112" s="3"/>
      <c r="FA112" s="3"/>
      <c r="FB112" s="3"/>
      <c r="FC112" s="3"/>
      <c r="FD112" s="3"/>
      <c r="FE112" s="3"/>
      <c r="FF112" s="3"/>
      <c r="FG112" s="3"/>
      <c r="FH112" s="3"/>
      <c r="FI112" s="3"/>
      <c r="FJ112" s="3"/>
      <c r="FK112" s="3"/>
      <c r="FL112" s="3"/>
      <c r="FM112" s="3"/>
      <c r="FN112" s="3"/>
      <c r="FO112" s="3"/>
      <c r="FP112" s="3"/>
      <c r="FQ112" s="3"/>
      <c r="FR112" s="3"/>
      <c r="FS112" s="3"/>
      <c r="FT112" s="3"/>
      <c r="FU112" s="3"/>
      <c r="FV112" s="3"/>
      <c r="FW112" s="3"/>
      <c r="FX112" s="3"/>
      <c r="FY112" s="3"/>
      <c r="FZ112" s="3"/>
      <c r="GA112" s="3"/>
      <c r="GB112" s="3"/>
      <c r="GC112" s="3"/>
      <c r="GD112" s="3"/>
      <c r="GE112" s="3"/>
      <c r="GF112" s="3"/>
      <c r="GG112" s="3"/>
      <c r="GH112" s="3"/>
      <c r="GI112" s="3"/>
      <c r="GJ112" s="3"/>
      <c r="GK112" s="3"/>
      <c r="GL112" s="3"/>
      <c r="GM112" s="3"/>
      <c r="GN112" s="3"/>
      <c r="GO112" s="3"/>
      <c r="GP112" s="3"/>
      <c r="GQ112" s="3"/>
      <c r="GR112" s="3"/>
      <c r="GS112" s="3"/>
      <c r="GT112" s="3"/>
      <c r="GU112" s="3"/>
      <c r="GV112" s="3"/>
      <c r="GW112" s="3"/>
      <c r="GX112" s="3"/>
      <c r="GY112" s="3"/>
      <c r="GZ112" s="3"/>
      <c r="HA112" s="3"/>
      <c r="HB112" s="3"/>
      <c r="HC112" s="3"/>
      <c r="HD112" s="3"/>
      <c r="HE112" s="3"/>
      <c r="HF112" s="3"/>
    </row>
    <row r="113" spans="3:214" x14ac:dyDescent="0.25">
      <c r="C113" s="41">
        <f>COUNTA(BA1:BA95)</f>
        <v>1</v>
      </c>
      <c r="D113" s="41">
        <f t="shared" si="4"/>
        <v>109</v>
      </c>
      <c r="E113" s="41">
        <f>SUM(BB3:BB95)</f>
        <v>54</v>
      </c>
      <c r="F113" s="103">
        <f>SUM(BC3:BC95)</f>
        <v>55</v>
      </c>
      <c r="H113">
        <f t="shared" si="5"/>
        <v>55</v>
      </c>
      <c r="N113">
        <f t="shared" si="6"/>
        <v>0</v>
      </c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  <c r="CK113" s="3"/>
      <c r="CL113" s="3"/>
      <c r="CM113" s="3"/>
      <c r="CN113" s="3"/>
      <c r="CO113" s="3"/>
      <c r="CP113" s="3"/>
      <c r="CQ113" s="3"/>
      <c r="CR113" s="3"/>
      <c r="CS113" s="3"/>
      <c r="CT113" s="3"/>
      <c r="CU113" s="3"/>
      <c r="CV113" s="3"/>
      <c r="CW113" s="3"/>
      <c r="CX113" s="3"/>
      <c r="CY113" s="3"/>
      <c r="CZ113" s="3"/>
      <c r="DA113" s="3"/>
      <c r="DB113" s="3"/>
      <c r="DC113" s="3"/>
      <c r="DD113" s="3"/>
      <c r="DE113" s="3"/>
      <c r="DF113" s="3"/>
      <c r="DG113" s="3"/>
      <c r="DH113" s="3"/>
      <c r="DI113" s="3"/>
      <c r="DJ113" s="3"/>
      <c r="DK113" s="3"/>
      <c r="DL113" s="3"/>
      <c r="DM113" s="3"/>
      <c r="DN113" s="3"/>
      <c r="DO113" s="3"/>
      <c r="DP113" s="3"/>
      <c r="DQ113" s="3"/>
      <c r="DR113" s="3"/>
      <c r="DS113" s="3"/>
      <c r="DT113" s="3"/>
      <c r="DU113" s="3"/>
      <c r="DV113" s="3"/>
      <c r="DW113" s="3"/>
      <c r="DX113" s="3"/>
      <c r="DY113" s="3"/>
      <c r="DZ113" s="3"/>
      <c r="EA113" s="3"/>
      <c r="EB113" s="3"/>
      <c r="EC113" s="3"/>
      <c r="ED113" s="3"/>
      <c r="EE113" s="3"/>
      <c r="EF113" s="3"/>
      <c r="EG113" s="3"/>
      <c r="EH113" s="3"/>
      <c r="EI113" s="3"/>
      <c r="EJ113" s="3"/>
      <c r="EK113" s="3"/>
      <c r="EL113" s="3"/>
      <c r="EM113" s="3"/>
      <c r="EN113" s="3"/>
      <c r="EO113" s="3"/>
      <c r="EP113" s="3"/>
      <c r="EQ113" s="3"/>
      <c r="ER113" s="3"/>
      <c r="ES113" s="3"/>
      <c r="ET113" s="3"/>
      <c r="EU113" s="3"/>
      <c r="EV113" s="3"/>
      <c r="EW113" s="3"/>
      <c r="EX113" s="3"/>
      <c r="EY113" s="3"/>
      <c r="EZ113" s="3"/>
      <c r="FA113" s="3"/>
      <c r="FB113" s="3"/>
      <c r="FC113" s="3"/>
      <c r="FD113" s="3"/>
      <c r="FE113" s="3"/>
      <c r="FF113" s="3"/>
      <c r="FG113" s="3"/>
      <c r="FH113" s="3"/>
      <c r="FI113" s="3"/>
      <c r="FJ113" s="3"/>
      <c r="FK113" s="3"/>
      <c r="FL113" s="3"/>
      <c r="FM113" s="3"/>
      <c r="FN113" s="3"/>
      <c r="FO113" s="3"/>
      <c r="FP113" s="3"/>
      <c r="FQ113" s="3"/>
      <c r="FR113" s="3"/>
      <c r="FS113" s="3"/>
      <c r="FT113" s="3"/>
      <c r="FU113" s="3"/>
      <c r="FV113" s="3"/>
      <c r="FW113" s="3"/>
      <c r="FX113" s="3"/>
      <c r="FY113" s="3"/>
      <c r="FZ113" s="3"/>
      <c r="GA113" s="3"/>
      <c r="GB113" s="3"/>
      <c r="GC113" s="3"/>
      <c r="GD113" s="3"/>
      <c r="GE113" s="3"/>
      <c r="GF113" s="3"/>
      <c r="GG113" s="3"/>
      <c r="GH113" s="3"/>
      <c r="GI113" s="3"/>
      <c r="GJ113" s="3"/>
      <c r="GK113" s="3"/>
      <c r="GL113" s="3"/>
      <c r="GM113" s="3"/>
      <c r="GN113" s="3"/>
      <c r="GO113" s="3"/>
      <c r="GP113" s="3"/>
      <c r="GQ113" s="3"/>
      <c r="GR113" s="3"/>
      <c r="GS113" s="3"/>
      <c r="GT113" s="3"/>
      <c r="GU113" s="3"/>
      <c r="GV113" s="3"/>
      <c r="GW113" s="3"/>
      <c r="GX113" s="3"/>
      <c r="GY113" s="3"/>
      <c r="GZ113" s="3"/>
      <c r="HA113" s="3"/>
      <c r="HB113" s="3"/>
      <c r="HC113" s="3"/>
      <c r="HD113" s="3"/>
      <c r="HE113" s="3"/>
      <c r="HF113" s="3"/>
    </row>
    <row r="114" spans="3:214" x14ac:dyDescent="0.25">
      <c r="C114" s="41">
        <f>COUNTA(BE1:BE95)</f>
        <v>1</v>
      </c>
      <c r="D114" s="41">
        <f t="shared" si="4"/>
        <v>117</v>
      </c>
      <c r="E114" s="41">
        <f>SUM(BF3:BF95)</f>
        <v>58</v>
      </c>
      <c r="F114" s="103">
        <f>SUM(BG3:BG95)</f>
        <v>59</v>
      </c>
      <c r="H114">
        <f t="shared" si="5"/>
        <v>59</v>
      </c>
      <c r="N114">
        <f t="shared" si="6"/>
        <v>0</v>
      </c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  <c r="CK114" s="3"/>
      <c r="CL114" s="3"/>
      <c r="CM114" s="3"/>
      <c r="CN114" s="3"/>
      <c r="CO114" s="3"/>
      <c r="CP114" s="3"/>
      <c r="CQ114" s="3"/>
      <c r="CR114" s="3"/>
      <c r="CS114" s="3"/>
      <c r="CT114" s="3"/>
      <c r="CU114" s="3"/>
      <c r="CV114" s="3"/>
      <c r="CW114" s="3"/>
      <c r="CX114" s="3"/>
      <c r="CY114" s="3"/>
      <c r="CZ114" s="3"/>
      <c r="DA114" s="3"/>
      <c r="DB114" s="3"/>
      <c r="DC114" s="3"/>
      <c r="DD114" s="3"/>
      <c r="DE114" s="3"/>
      <c r="DF114" s="3"/>
      <c r="DG114" s="3"/>
      <c r="DH114" s="3"/>
      <c r="DI114" s="3"/>
      <c r="DJ114" s="3"/>
      <c r="DK114" s="3"/>
      <c r="DL114" s="3"/>
      <c r="DM114" s="3"/>
      <c r="DN114" s="3"/>
      <c r="DO114" s="3"/>
      <c r="DP114" s="3"/>
      <c r="DQ114" s="3"/>
      <c r="DR114" s="3"/>
      <c r="DS114" s="3"/>
      <c r="DT114" s="3"/>
      <c r="DU114" s="3"/>
      <c r="DV114" s="3"/>
      <c r="DW114" s="3"/>
      <c r="DX114" s="3"/>
      <c r="DY114" s="3"/>
      <c r="DZ114" s="3"/>
      <c r="EA114" s="3"/>
      <c r="EB114" s="3"/>
      <c r="EC114" s="3"/>
      <c r="ED114" s="3"/>
      <c r="EE114" s="3"/>
      <c r="EF114" s="3"/>
      <c r="EG114" s="3"/>
      <c r="EH114" s="3"/>
      <c r="EI114" s="3"/>
      <c r="EJ114" s="3"/>
      <c r="EK114" s="3"/>
      <c r="EL114" s="3"/>
      <c r="EM114" s="3"/>
      <c r="EN114" s="3"/>
      <c r="EO114" s="3"/>
      <c r="EP114" s="3"/>
      <c r="EQ114" s="3"/>
      <c r="ER114" s="3"/>
      <c r="ES114" s="3"/>
      <c r="ET114" s="3"/>
      <c r="EU114" s="3"/>
      <c r="EV114" s="3"/>
      <c r="EW114" s="3"/>
      <c r="EX114" s="3"/>
      <c r="EY114" s="3"/>
      <c r="EZ114" s="3"/>
      <c r="FA114" s="3"/>
      <c r="FB114" s="3"/>
      <c r="FC114" s="3"/>
      <c r="FD114" s="3"/>
      <c r="FE114" s="3"/>
      <c r="FF114" s="3"/>
      <c r="FG114" s="3"/>
      <c r="FH114" s="3"/>
      <c r="FI114" s="3"/>
      <c r="FJ114" s="3"/>
      <c r="FK114" s="3"/>
      <c r="FL114" s="3"/>
      <c r="FM114" s="3"/>
      <c r="FN114" s="3"/>
      <c r="FO114" s="3"/>
      <c r="FP114" s="3"/>
      <c r="FQ114" s="3"/>
      <c r="FR114" s="3"/>
      <c r="FS114" s="3"/>
      <c r="FT114" s="3"/>
      <c r="FU114" s="3"/>
      <c r="FV114" s="3"/>
      <c r="FW114" s="3"/>
      <c r="FX114" s="3"/>
      <c r="FY114" s="3"/>
      <c r="FZ114" s="3"/>
      <c r="GA114" s="3"/>
      <c r="GB114" s="3"/>
      <c r="GC114" s="3"/>
      <c r="GD114" s="3"/>
      <c r="GE114" s="3"/>
      <c r="GF114" s="3"/>
      <c r="GG114" s="3"/>
      <c r="GH114" s="3"/>
      <c r="GI114" s="3"/>
      <c r="GJ114" s="3"/>
      <c r="GK114" s="3"/>
      <c r="GL114" s="3"/>
      <c r="GM114" s="3"/>
      <c r="GN114" s="3"/>
      <c r="GO114" s="3"/>
      <c r="GP114" s="3"/>
      <c r="GQ114" s="3"/>
      <c r="GR114" s="3"/>
      <c r="GS114" s="3"/>
      <c r="GT114" s="3"/>
      <c r="GU114" s="3"/>
      <c r="GV114" s="3"/>
      <c r="GW114" s="3"/>
      <c r="GX114" s="3"/>
      <c r="GY114" s="3"/>
      <c r="GZ114" s="3"/>
      <c r="HA114" s="3"/>
      <c r="HB114" s="3"/>
      <c r="HC114" s="3"/>
      <c r="HD114" s="3"/>
      <c r="HE114" s="3"/>
      <c r="HF114" s="3"/>
    </row>
    <row r="115" spans="3:214" x14ac:dyDescent="0.25">
      <c r="C115" s="41">
        <f>COUNTA(BI1:BI95)</f>
        <v>1</v>
      </c>
      <c r="D115" s="41">
        <f t="shared" si="4"/>
        <v>125</v>
      </c>
      <c r="E115" s="41">
        <f>SUM(BJ3:BJ95)</f>
        <v>62</v>
      </c>
      <c r="F115" s="103">
        <f>SUM(BK3:BK95)</f>
        <v>63</v>
      </c>
      <c r="H115">
        <f t="shared" si="5"/>
        <v>63</v>
      </c>
      <c r="N115">
        <f t="shared" si="6"/>
        <v>0</v>
      </c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  <c r="CK115" s="3"/>
      <c r="CL115" s="3"/>
      <c r="CM115" s="3"/>
      <c r="CN115" s="3"/>
      <c r="CO115" s="3"/>
      <c r="CP115" s="3"/>
      <c r="CQ115" s="3"/>
      <c r="CR115" s="3"/>
      <c r="CS115" s="3"/>
      <c r="CT115" s="3"/>
      <c r="CU115" s="3"/>
      <c r="CV115" s="3"/>
      <c r="CW115" s="3"/>
      <c r="CX115" s="3"/>
      <c r="CY115" s="3"/>
      <c r="CZ115" s="3"/>
      <c r="DA115" s="3"/>
      <c r="DB115" s="3"/>
      <c r="DC115" s="3"/>
      <c r="DD115" s="3"/>
      <c r="DE115" s="3"/>
      <c r="DF115" s="3"/>
      <c r="DG115" s="3"/>
      <c r="DH115" s="3"/>
      <c r="DI115" s="3"/>
      <c r="DJ115" s="3"/>
      <c r="DK115" s="3"/>
      <c r="DL115" s="3"/>
      <c r="DM115" s="3"/>
      <c r="DN115" s="3"/>
      <c r="DO115" s="3"/>
      <c r="DP115" s="3"/>
      <c r="DQ115" s="3"/>
      <c r="DR115" s="3"/>
      <c r="DS115" s="3"/>
      <c r="DT115" s="3"/>
      <c r="DU115" s="3"/>
      <c r="DV115" s="3"/>
      <c r="DW115" s="3"/>
      <c r="DX115" s="3"/>
      <c r="DY115" s="3"/>
      <c r="DZ115" s="3"/>
      <c r="EA115" s="3"/>
      <c r="EB115" s="3"/>
      <c r="EC115" s="3"/>
      <c r="ED115" s="3"/>
      <c r="EE115" s="3"/>
      <c r="EF115" s="3"/>
      <c r="EG115" s="3"/>
      <c r="EH115" s="3"/>
      <c r="EI115" s="3"/>
      <c r="EJ115" s="3"/>
      <c r="EK115" s="3"/>
      <c r="EL115" s="3"/>
      <c r="EM115" s="3"/>
      <c r="EN115" s="3"/>
      <c r="EO115" s="3"/>
      <c r="EP115" s="3"/>
      <c r="EQ115" s="3"/>
      <c r="ER115" s="3"/>
      <c r="ES115" s="3"/>
      <c r="ET115" s="3"/>
      <c r="EU115" s="3"/>
      <c r="EV115" s="3"/>
      <c r="EW115" s="3"/>
      <c r="EX115" s="3"/>
      <c r="EY115" s="3"/>
      <c r="EZ115" s="3"/>
      <c r="FA115" s="3"/>
      <c r="FB115" s="3"/>
      <c r="FC115" s="3"/>
      <c r="FD115" s="3"/>
      <c r="FE115" s="3"/>
      <c r="FF115" s="3"/>
      <c r="FG115" s="3"/>
      <c r="FH115" s="3"/>
      <c r="FI115" s="3"/>
      <c r="FJ115" s="3"/>
      <c r="FK115" s="3"/>
      <c r="FL115" s="3"/>
      <c r="FM115" s="3"/>
      <c r="FN115" s="3"/>
      <c r="FO115" s="3"/>
      <c r="FP115" s="3"/>
      <c r="FQ115" s="3"/>
      <c r="FR115" s="3"/>
      <c r="FS115" s="3"/>
      <c r="FT115" s="3"/>
      <c r="FU115" s="3"/>
      <c r="FV115" s="3"/>
      <c r="FW115" s="3"/>
      <c r="FX115" s="3"/>
      <c r="FY115" s="3"/>
      <c r="FZ115" s="3"/>
      <c r="GA115" s="3"/>
      <c r="GB115" s="3"/>
      <c r="GC115" s="3"/>
      <c r="GD115" s="3"/>
      <c r="GE115" s="3"/>
      <c r="GF115" s="3"/>
      <c r="GG115" s="3"/>
      <c r="GH115" s="3"/>
      <c r="GI115" s="3"/>
      <c r="GJ115" s="3"/>
      <c r="GK115" s="3"/>
      <c r="GL115" s="3"/>
      <c r="GM115" s="3"/>
      <c r="GN115" s="3"/>
      <c r="GO115" s="3"/>
      <c r="GP115" s="3"/>
      <c r="GQ115" s="3"/>
      <c r="GR115" s="3"/>
      <c r="GS115" s="3"/>
      <c r="GT115" s="3"/>
      <c r="GU115" s="3"/>
      <c r="GV115" s="3"/>
      <c r="GW115" s="3"/>
      <c r="GX115" s="3"/>
      <c r="GY115" s="3"/>
      <c r="GZ115" s="3"/>
      <c r="HA115" s="3"/>
      <c r="HB115" s="3"/>
      <c r="HC115" s="3"/>
      <c r="HD115" s="3"/>
      <c r="HE115" s="3"/>
      <c r="HF115" s="3"/>
    </row>
    <row r="116" spans="3:214" x14ac:dyDescent="0.25">
      <c r="C116" s="41">
        <f>COUNTA(BM1:BM95)</f>
        <v>1</v>
      </c>
      <c r="D116" s="41">
        <f t="shared" si="4"/>
        <v>133</v>
      </c>
      <c r="E116" s="41">
        <f>SUM(BN3:BN95)</f>
        <v>66</v>
      </c>
      <c r="F116" s="103">
        <f>SUM(BO3:BO95)</f>
        <v>67</v>
      </c>
      <c r="H116">
        <f t="shared" si="5"/>
        <v>67</v>
      </c>
      <c r="N116">
        <f t="shared" si="6"/>
        <v>0</v>
      </c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  <c r="CK116" s="3"/>
      <c r="CL116" s="3"/>
      <c r="CM116" s="3"/>
      <c r="CN116" s="3"/>
      <c r="CO116" s="3"/>
      <c r="CP116" s="3"/>
      <c r="CQ116" s="3"/>
      <c r="CR116" s="3"/>
      <c r="CS116" s="3"/>
      <c r="CT116" s="3"/>
      <c r="CU116" s="3"/>
      <c r="CV116" s="3"/>
      <c r="CW116" s="3"/>
      <c r="CX116" s="3"/>
      <c r="CY116" s="3"/>
      <c r="CZ116" s="3"/>
      <c r="DA116" s="3"/>
      <c r="DB116" s="3"/>
      <c r="DC116" s="3"/>
      <c r="DD116" s="3"/>
      <c r="DE116" s="3"/>
      <c r="DF116" s="3"/>
      <c r="DG116" s="3"/>
      <c r="DH116" s="3"/>
      <c r="DI116" s="3"/>
      <c r="DJ116" s="3"/>
      <c r="DK116" s="3"/>
      <c r="DL116" s="3"/>
      <c r="DM116" s="3"/>
      <c r="DN116" s="3"/>
      <c r="DO116" s="3"/>
      <c r="DP116" s="3"/>
      <c r="DQ116" s="3"/>
      <c r="DR116" s="3"/>
      <c r="DS116" s="3"/>
      <c r="DT116" s="3"/>
      <c r="DU116" s="3"/>
      <c r="DV116" s="3"/>
      <c r="DW116" s="3"/>
      <c r="DX116" s="3"/>
      <c r="DY116" s="3"/>
      <c r="DZ116" s="3"/>
      <c r="EA116" s="3"/>
      <c r="EB116" s="3"/>
      <c r="EC116" s="3"/>
      <c r="ED116" s="3"/>
      <c r="EE116" s="3"/>
      <c r="EF116" s="3"/>
      <c r="EG116" s="3"/>
      <c r="EH116" s="3"/>
      <c r="EI116" s="3"/>
      <c r="EJ116" s="3"/>
      <c r="EK116" s="3"/>
      <c r="EL116" s="3"/>
      <c r="EM116" s="3"/>
      <c r="EN116" s="3"/>
      <c r="EO116" s="3"/>
      <c r="EP116" s="3"/>
      <c r="EQ116" s="3"/>
      <c r="ER116" s="3"/>
      <c r="ES116" s="3"/>
      <c r="ET116" s="3"/>
      <c r="EU116" s="3"/>
      <c r="EV116" s="3"/>
      <c r="EW116" s="3"/>
      <c r="EX116" s="3"/>
      <c r="EY116" s="3"/>
      <c r="EZ116" s="3"/>
      <c r="FA116" s="3"/>
      <c r="FB116" s="3"/>
      <c r="FC116" s="3"/>
      <c r="FD116" s="3"/>
      <c r="FE116" s="3"/>
      <c r="FF116" s="3"/>
      <c r="FG116" s="3"/>
      <c r="FH116" s="3"/>
      <c r="FI116" s="3"/>
      <c r="FJ116" s="3"/>
      <c r="FK116" s="3"/>
      <c r="FL116" s="3"/>
      <c r="FM116" s="3"/>
      <c r="FN116" s="3"/>
      <c r="FO116" s="3"/>
      <c r="FP116" s="3"/>
      <c r="FQ116" s="3"/>
      <c r="FR116" s="3"/>
      <c r="FS116" s="3"/>
      <c r="FT116" s="3"/>
      <c r="FU116" s="3"/>
      <c r="FV116" s="3"/>
      <c r="FW116" s="3"/>
      <c r="FX116" s="3"/>
      <c r="FY116" s="3"/>
      <c r="FZ116" s="3"/>
      <c r="GA116" s="3"/>
      <c r="GB116" s="3"/>
      <c r="GC116" s="3"/>
      <c r="GD116" s="3"/>
      <c r="GE116" s="3"/>
      <c r="GF116" s="3"/>
      <c r="GG116" s="3"/>
      <c r="GH116" s="3"/>
      <c r="GI116" s="3"/>
      <c r="GJ116" s="3"/>
      <c r="GK116" s="3"/>
      <c r="GL116" s="3"/>
      <c r="GM116" s="3"/>
      <c r="GN116" s="3"/>
      <c r="GO116" s="3"/>
      <c r="GP116" s="3"/>
      <c r="GQ116" s="3"/>
      <c r="GR116" s="3"/>
      <c r="GS116" s="3"/>
      <c r="GT116" s="3"/>
      <c r="GU116" s="3"/>
      <c r="GV116" s="3"/>
      <c r="GW116" s="3"/>
      <c r="GX116" s="3"/>
      <c r="GY116" s="3"/>
      <c r="GZ116" s="3"/>
      <c r="HA116" s="3"/>
      <c r="HB116" s="3"/>
      <c r="HC116" s="3"/>
      <c r="HD116" s="3"/>
      <c r="HE116" s="3"/>
      <c r="HF116" s="3"/>
    </row>
    <row r="117" spans="3:214" x14ac:dyDescent="0.25">
      <c r="C117" s="41">
        <f>COUNTA(BQ1:BQ95)</f>
        <v>1</v>
      </c>
      <c r="D117" s="41">
        <f t="shared" si="4"/>
        <v>141</v>
      </c>
      <c r="E117" s="41">
        <f>SUM(BR3:BR95)</f>
        <v>70</v>
      </c>
      <c r="F117" s="103">
        <f>SUM(BS3:BS95)</f>
        <v>71</v>
      </c>
      <c r="H117">
        <f t="shared" si="5"/>
        <v>71</v>
      </c>
      <c r="N117">
        <f t="shared" si="6"/>
        <v>0</v>
      </c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FL117" s="3"/>
      <c r="FM117" s="3"/>
      <c r="FN117" s="3"/>
      <c r="FO117" s="3"/>
      <c r="FP117" s="3"/>
      <c r="FQ117" s="3"/>
      <c r="FR117" s="3"/>
      <c r="FS117" s="3"/>
      <c r="FT117" s="3"/>
      <c r="FU117" s="3"/>
      <c r="FV117" s="3"/>
      <c r="FW117" s="3"/>
      <c r="FX117" s="3"/>
      <c r="FY117" s="3"/>
      <c r="FZ117" s="3"/>
      <c r="GA117" s="3"/>
      <c r="GB117" s="3"/>
      <c r="GC117" s="3"/>
      <c r="GD117" s="3"/>
      <c r="GE117" s="3"/>
      <c r="GF117" s="3"/>
      <c r="GG117" s="3"/>
      <c r="GH117" s="3"/>
      <c r="GI117" s="3"/>
      <c r="GJ117" s="3"/>
      <c r="GK117" s="3"/>
      <c r="GL117" s="3"/>
      <c r="GM117" s="3"/>
      <c r="GN117" s="3"/>
      <c r="GO117" s="3"/>
      <c r="GP117" s="3"/>
      <c r="GQ117" s="3"/>
      <c r="GR117" s="3"/>
      <c r="GS117" s="3"/>
      <c r="GT117" s="3"/>
      <c r="GU117" s="3"/>
      <c r="GV117" s="3"/>
      <c r="GW117" s="3"/>
      <c r="GX117" s="3"/>
      <c r="GY117" s="3"/>
      <c r="GZ117" s="3"/>
      <c r="HA117" s="3"/>
      <c r="HB117" s="3"/>
      <c r="HC117" s="3"/>
      <c r="HD117" s="3"/>
      <c r="HE117" s="3"/>
      <c r="HF117" s="3"/>
    </row>
    <row r="118" spans="3:214" x14ac:dyDescent="0.25">
      <c r="C118" s="41">
        <f>COUNTA(BU1:BU95)</f>
        <v>1</v>
      </c>
      <c r="D118" s="41">
        <f t="shared" si="4"/>
        <v>149</v>
      </c>
      <c r="E118" s="41">
        <f>SUM(BV3:BV95)</f>
        <v>74</v>
      </c>
      <c r="F118" s="103">
        <f>SUM(BW3:BW95)</f>
        <v>75</v>
      </c>
      <c r="H118">
        <f t="shared" si="5"/>
        <v>75</v>
      </c>
      <c r="N118">
        <f t="shared" si="6"/>
        <v>0</v>
      </c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FL118" s="3"/>
      <c r="FM118" s="3"/>
      <c r="FN118" s="3"/>
      <c r="FO118" s="3"/>
      <c r="FP118" s="3"/>
      <c r="FQ118" s="3"/>
      <c r="FR118" s="3"/>
      <c r="FS118" s="3"/>
      <c r="FT118" s="3"/>
      <c r="FU118" s="3"/>
      <c r="FV118" s="3"/>
      <c r="FW118" s="3"/>
      <c r="FX118" s="3"/>
      <c r="FY118" s="3"/>
      <c r="FZ118" s="3"/>
      <c r="GA118" s="3"/>
      <c r="GB118" s="3"/>
      <c r="GC118" s="3"/>
      <c r="GD118" s="3"/>
      <c r="GE118" s="3"/>
      <c r="GF118" s="3"/>
      <c r="GG118" s="3"/>
      <c r="GH118" s="3"/>
      <c r="GI118" s="3"/>
      <c r="GJ118" s="3"/>
      <c r="GK118" s="3"/>
      <c r="GL118" s="3"/>
      <c r="GM118" s="3"/>
      <c r="GN118" s="3"/>
      <c r="GO118" s="3"/>
      <c r="GP118" s="3"/>
      <c r="GQ118" s="3"/>
      <c r="GR118" s="3"/>
      <c r="GS118" s="3"/>
      <c r="GT118" s="3"/>
      <c r="GU118" s="3"/>
      <c r="GV118" s="3"/>
      <c r="GW118" s="3"/>
      <c r="GX118" s="3"/>
      <c r="GY118" s="3"/>
      <c r="GZ118" s="3"/>
      <c r="HA118" s="3"/>
      <c r="HB118" s="3"/>
      <c r="HC118" s="3"/>
      <c r="HD118" s="3"/>
      <c r="HE118" s="3"/>
      <c r="HF118" s="3"/>
    </row>
    <row r="119" spans="3:214" x14ac:dyDescent="0.25">
      <c r="C119" s="41">
        <f>COUNTA(BY1:BY95)</f>
        <v>1</v>
      </c>
      <c r="D119" s="41">
        <f t="shared" si="4"/>
        <v>157</v>
      </c>
      <c r="E119" s="41">
        <f>SUM(BZ3:BZ95)</f>
        <v>78</v>
      </c>
      <c r="F119" s="103">
        <f>SUM(CA3:CA95)</f>
        <v>79</v>
      </c>
      <c r="H119">
        <f t="shared" si="5"/>
        <v>79</v>
      </c>
      <c r="N119">
        <f t="shared" si="6"/>
        <v>0</v>
      </c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FL119" s="3"/>
      <c r="FM119" s="3"/>
      <c r="FN119" s="3"/>
      <c r="FO119" s="3"/>
      <c r="FP119" s="3"/>
      <c r="FQ119" s="3"/>
      <c r="FR119" s="3"/>
      <c r="FS119" s="3"/>
      <c r="FT119" s="3"/>
      <c r="FU119" s="3"/>
      <c r="FV119" s="3"/>
      <c r="FW119" s="3"/>
      <c r="FX119" s="3"/>
      <c r="FY119" s="3"/>
      <c r="FZ119" s="3"/>
      <c r="GA119" s="3"/>
      <c r="GB119" s="3"/>
      <c r="GC119" s="3"/>
      <c r="GD119" s="3"/>
      <c r="GE119" s="3"/>
      <c r="GF119" s="3"/>
      <c r="GG119" s="3"/>
      <c r="GH119" s="3"/>
      <c r="GI119" s="3"/>
      <c r="GJ119" s="3"/>
      <c r="GK119" s="3"/>
      <c r="GL119" s="3"/>
      <c r="GM119" s="3"/>
      <c r="GN119" s="3"/>
      <c r="GO119" s="3"/>
      <c r="GP119" s="3"/>
      <c r="GQ119" s="3"/>
      <c r="GR119" s="3"/>
      <c r="GS119" s="3"/>
      <c r="GT119" s="3"/>
      <c r="GU119" s="3"/>
      <c r="GV119" s="3"/>
      <c r="GW119" s="3"/>
      <c r="GX119" s="3"/>
      <c r="GY119" s="3"/>
      <c r="GZ119" s="3"/>
      <c r="HA119" s="3"/>
      <c r="HB119" s="3"/>
      <c r="HC119" s="3"/>
      <c r="HD119" s="3"/>
      <c r="HE119" s="3"/>
      <c r="HF119" s="3"/>
    </row>
    <row r="120" spans="3:214" x14ac:dyDescent="0.25">
      <c r="C120" s="41">
        <f>COUNTA(CC1:CC95)</f>
        <v>1</v>
      </c>
      <c r="D120" s="41">
        <f t="shared" si="4"/>
        <v>165</v>
      </c>
      <c r="E120" s="41">
        <f>SUM(CD3:CD95)</f>
        <v>82</v>
      </c>
      <c r="F120" s="103">
        <f>SUM(CE3:CE95)</f>
        <v>83</v>
      </c>
      <c r="H120">
        <f t="shared" si="5"/>
        <v>83</v>
      </c>
      <c r="N120">
        <f t="shared" si="6"/>
        <v>0</v>
      </c>
      <c r="FL120" s="3"/>
      <c r="FM120" s="3"/>
      <c r="FN120" s="3"/>
      <c r="FO120" s="3"/>
      <c r="FP120" s="3"/>
      <c r="FQ120" s="3"/>
      <c r="FR120" s="3"/>
      <c r="FS120" s="3"/>
      <c r="FT120" s="3"/>
      <c r="FU120" s="3"/>
      <c r="FV120" s="3"/>
      <c r="FW120" s="3"/>
      <c r="FX120" s="3"/>
      <c r="FY120" s="3"/>
      <c r="FZ120" s="3"/>
      <c r="GA120" s="3"/>
      <c r="GB120" s="3"/>
      <c r="GC120" s="3"/>
      <c r="GD120" s="3"/>
      <c r="GE120" s="3"/>
      <c r="GF120" s="3"/>
      <c r="GG120" s="3"/>
      <c r="GH120" s="3"/>
      <c r="GI120" s="3"/>
      <c r="GJ120" s="3"/>
      <c r="GK120" s="3"/>
      <c r="GL120" s="3"/>
      <c r="GM120" s="3"/>
      <c r="GN120" s="3"/>
      <c r="GO120" s="3"/>
      <c r="GP120" s="3"/>
      <c r="GQ120" s="3"/>
      <c r="GR120" s="3"/>
      <c r="GS120" s="3"/>
      <c r="GT120" s="3"/>
      <c r="GU120" s="3"/>
      <c r="GV120" s="3"/>
      <c r="GW120" s="3"/>
      <c r="GX120" s="3"/>
      <c r="GY120" s="3"/>
      <c r="GZ120" s="3"/>
      <c r="HA120" s="3"/>
      <c r="HB120" s="3"/>
      <c r="HC120" s="3"/>
      <c r="HD120" s="3"/>
      <c r="HE120" s="3"/>
      <c r="HF120" s="3"/>
    </row>
    <row r="121" spans="3:214" x14ac:dyDescent="0.25">
      <c r="C121" s="41">
        <f>COUNTA(CG1:CG95)</f>
        <v>1</v>
      </c>
      <c r="D121" s="41">
        <f t="shared" si="4"/>
        <v>173</v>
      </c>
      <c r="E121" s="41">
        <f>SUM(CH3:CH95)</f>
        <v>86</v>
      </c>
      <c r="F121" s="103">
        <f>SUM(CI3:CI95)</f>
        <v>87</v>
      </c>
      <c r="H121">
        <f t="shared" si="5"/>
        <v>87</v>
      </c>
      <c r="N121">
        <f t="shared" si="6"/>
        <v>0</v>
      </c>
      <c r="FL121" s="3"/>
      <c r="FM121" s="3"/>
      <c r="FN121" s="3"/>
      <c r="FO121" s="3"/>
      <c r="FP121" s="3"/>
      <c r="FQ121" s="3"/>
      <c r="FR121" s="3"/>
      <c r="FS121" s="3"/>
      <c r="FT121" s="3"/>
      <c r="FU121" s="3"/>
      <c r="FV121" s="3"/>
      <c r="FW121" s="3"/>
      <c r="FX121" s="3"/>
      <c r="FY121" s="3"/>
      <c r="FZ121" s="3"/>
      <c r="GA121" s="3"/>
      <c r="GB121" s="3"/>
      <c r="GC121" s="3"/>
      <c r="GD121" s="3"/>
      <c r="GE121" s="3"/>
      <c r="GF121" s="3"/>
      <c r="GG121" s="3"/>
      <c r="GH121" s="3"/>
      <c r="GI121" s="3"/>
      <c r="GJ121" s="3"/>
      <c r="GK121" s="3"/>
      <c r="GL121" s="3"/>
      <c r="GM121" s="3"/>
      <c r="GN121" s="3"/>
      <c r="GO121" s="3"/>
      <c r="GP121" s="3"/>
      <c r="GQ121" s="3"/>
      <c r="GR121" s="3"/>
      <c r="GS121" s="3"/>
      <c r="GT121" s="3"/>
      <c r="GU121" s="3"/>
      <c r="GV121" s="3"/>
      <c r="GW121" s="3"/>
      <c r="GX121" s="3"/>
      <c r="GY121" s="3"/>
      <c r="GZ121" s="3"/>
      <c r="HA121" s="3"/>
      <c r="HB121" s="3"/>
      <c r="HC121" s="3"/>
      <c r="HD121" s="3"/>
      <c r="HE121" s="3"/>
      <c r="HF121" s="3"/>
    </row>
    <row r="122" spans="3:214" x14ac:dyDescent="0.25">
      <c r="C122" s="41">
        <f>COUNTA(CK1:CK95)</f>
        <v>1</v>
      </c>
      <c r="D122" s="41">
        <f t="shared" si="4"/>
        <v>181</v>
      </c>
      <c r="E122" s="41">
        <f>SUM(CL3:CL95)</f>
        <v>90</v>
      </c>
      <c r="F122" s="103">
        <f>SUM(CM3:CM95)</f>
        <v>91</v>
      </c>
      <c r="H122">
        <f t="shared" si="5"/>
        <v>91</v>
      </c>
      <c r="N122">
        <f t="shared" si="6"/>
        <v>0</v>
      </c>
      <c r="FL122" s="3"/>
      <c r="FM122" s="3"/>
      <c r="FN122" s="3"/>
      <c r="FO122" s="3"/>
      <c r="FP122" s="3"/>
      <c r="FQ122" s="3"/>
      <c r="FR122" s="3"/>
      <c r="FS122" s="3"/>
      <c r="FT122" s="3"/>
      <c r="FU122" s="3"/>
      <c r="FV122" s="3"/>
      <c r="FW122" s="3"/>
      <c r="FX122" s="3"/>
      <c r="FY122" s="3"/>
      <c r="FZ122" s="3"/>
      <c r="GA122" s="3"/>
      <c r="GB122" s="3"/>
      <c r="GC122" s="3"/>
      <c r="GD122" s="3"/>
      <c r="GE122" s="3"/>
      <c r="GF122" s="3"/>
      <c r="GG122" s="3"/>
      <c r="GH122" s="3"/>
      <c r="GI122" s="3"/>
      <c r="GJ122" s="3"/>
      <c r="GK122" s="3"/>
      <c r="GL122" s="3"/>
      <c r="GM122" s="3"/>
      <c r="GN122" s="3"/>
      <c r="GO122" s="3"/>
      <c r="GP122" s="3"/>
      <c r="GQ122" s="3"/>
      <c r="GR122" s="3"/>
      <c r="GS122" s="3"/>
      <c r="GT122" s="3"/>
      <c r="GU122" s="3"/>
      <c r="GV122" s="3"/>
      <c r="GW122" s="3"/>
      <c r="GX122" s="3"/>
      <c r="GY122" s="3"/>
      <c r="GZ122" s="3"/>
      <c r="HA122" s="3"/>
      <c r="HB122" s="3"/>
      <c r="HC122" s="3"/>
      <c r="HD122" s="3"/>
      <c r="HE122" s="3"/>
      <c r="HF122" s="3"/>
    </row>
    <row r="123" spans="3:214" x14ac:dyDescent="0.25">
      <c r="C123" s="41">
        <f>COUNTA(CO1:CO95)</f>
        <v>1</v>
      </c>
      <c r="D123" s="41">
        <f t="shared" si="4"/>
        <v>189</v>
      </c>
      <c r="E123" s="41">
        <f>SUM(CP3:CP95)</f>
        <v>94</v>
      </c>
      <c r="F123" s="103">
        <f>SUM(CQ3:CQ95)</f>
        <v>95</v>
      </c>
      <c r="H123">
        <f t="shared" si="5"/>
        <v>95</v>
      </c>
      <c r="N123">
        <f t="shared" si="6"/>
        <v>0</v>
      </c>
      <c r="FL123" s="3"/>
      <c r="FM123" s="3"/>
      <c r="FN123" s="3"/>
      <c r="FO123" s="3"/>
      <c r="FP123" s="3"/>
      <c r="FQ123" s="3"/>
      <c r="FR123" s="3"/>
      <c r="FS123" s="3"/>
      <c r="FT123" s="3"/>
      <c r="FU123" s="3"/>
      <c r="FV123" s="3"/>
      <c r="FW123" s="3"/>
      <c r="FX123" s="3"/>
      <c r="FY123" s="3"/>
      <c r="FZ123" s="3"/>
      <c r="GA123" s="3"/>
      <c r="GB123" s="3"/>
      <c r="GC123" s="3"/>
      <c r="GD123" s="3"/>
      <c r="GE123" s="3"/>
      <c r="GF123" s="3"/>
      <c r="GG123" s="3"/>
      <c r="GH123" s="3"/>
      <c r="GI123" s="3"/>
      <c r="GJ123" s="3"/>
      <c r="GK123" s="3"/>
      <c r="GL123" s="3"/>
      <c r="GM123" s="3"/>
      <c r="GN123" s="3"/>
      <c r="GO123" s="3"/>
      <c r="GP123" s="3"/>
      <c r="GQ123" s="3"/>
      <c r="GR123" s="3"/>
      <c r="GS123" s="3"/>
      <c r="GT123" s="3"/>
      <c r="GU123" s="3"/>
      <c r="GV123" s="3"/>
      <c r="GW123" s="3"/>
      <c r="GX123" s="3"/>
      <c r="GY123" s="3"/>
      <c r="GZ123" s="3"/>
      <c r="HA123" s="3"/>
      <c r="HB123" s="3"/>
      <c r="HC123" s="3"/>
      <c r="HD123" s="3"/>
      <c r="HE123" s="3"/>
      <c r="HF123" s="3"/>
    </row>
    <row r="124" spans="3:214" x14ac:dyDescent="0.25">
      <c r="C124" s="41">
        <f>COUNTA(CS1:CS95)</f>
        <v>1</v>
      </c>
      <c r="D124" s="41">
        <f t="shared" si="4"/>
        <v>197</v>
      </c>
      <c r="E124" s="41">
        <f>SUM(CT3:CT95)</f>
        <v>98</v>
      </c>
      <c r="F124" s="103">
        <f>SUM(CU3:CU95)</f>
        <v>99</v>
      </c>
      <c r="H124">
        <f t="shared" si="5"/>
        <v>99</v>
      </c>
      <c r="N124">
        <f t="shared" si="6"/>
        <v>0</v>
      </c>
      <c r="FL124" s="3"/>
      <c r="FM124" s="3"/>
      <c r="FN124" s="3"/>
      <c r="FO124" s="3"/>
      <c r="FP124" s="3"/>
      <c r="FQ124" s="3"/>
      <c r="FR124" s="3"/>
      <c r="FS124" s="3"/>
      <c r="FT124" s="3"/>
      <c r="FU124" s="3"/>
      <c r="FV124" s="3"/>
      <c r="FW124" s="3"/>
      <c r="FX124" s="3"/>
      <c r="FY124" s="3"/>
      <c r="FZ124" s="3"/>
      <c r="GA124" s="3"/>
      <c r="GB124" s="3"/>
      <c r="GC124" s="3"/>
      <c r="GD124" s="3"/>
      <c r="GE124" s="3"/>
      <c r="GF124" s="3"/>
      <c r="GG124" s="3"/>
      <c r="GH124" s="3"/>
      <c r="GI124" s="3"/>
      <c r="GJ124" s="3"/>
      <c r="GK124" s="3"/>
      <c r="GL124" s="3"/>
      <c r="GM124" s="3"/>
      <c r="GN124" s="3"/>
      <c r="GO124" s="3"/>
      <c r="GP124" s="3"/>
      <c r="GQ124" s="3"/>
      <c r="GR124" s="3"/>
      <c r="GS124" s="3"/>
      <c r="GT124" s="3"/>
      <c r="GU124" s="3"/>
      <c r="GV124" s="3"/>
      <c r="GW124" s="3"/>
      <c r="GX124" s="3"/>
      <c r="GY124" s="3"/>
      <c r="GZ124" s="3"/>
      <c r="HA124" s="3"/>
      <c r="HB124" s="3"/>
      <c r="HC124" s="3"/>
      <c r="HD124" s="3"/>
      <c r="HE124" s="3"/>
      <c r="HF124" s="3"/>
    </row>
    <row r="125" spans="3:214" x14ac:dyDescent="0.25">
      <c r="C125" s="41">
        <f>COUNTA(CW1:CW95)</f>
        <v>1</v>
      </c>
      <c r="D125" s="41">
        <f t="shared" si="4"/>
        <v>205</v>
      </c>
      <c r="E125" s="41">
        <f>SUM(CX3:CX95)</f>
        <v>102</v>
      </c>
      <c r="F125" s="103">
        <f>SUM(CY3:CY95)</f>
        <v>103</v>
      </c>
      <c r="H125">
        <f t="shared" si="5"/>
        <v>103</v>
      </c>
      <c r="N125">
        <f t="shared" si="6"/>
        <v>0</v>
      </c>
      <c r="FL125" s="3"/>
      <c r="FM125" s="3"/>
      <c r="FN125" s="3"/>
      <c r="FO125" s="3"/>
      <c r="FP125" s="3"/>
      <c r="FQ125" s="3"/>
      <c r="FR125" s="3"/>
      <c r="FS125" s="3"/>
      <c r="FT125" s="3"/>
      <c r="FU125" s="3"/>
      <c r="FV125" s="3"/>
      <c r="FW125" s="3"/>
      <c r="FX125" s="3"/>
      <c r="FY125" s="3"/>
      <c r="FZ125" s="3"/>
      <c r="GA125" s="3"/>
      <c r="GB125" s="3"/>
      <c r="GC125" s="3"/>
      <c r="GD125" s="3"/>
      <c r="GE125" s="3"/>
      <c r="GF125" s="3"/>
      <c r="GG125" s="3"/>
      <c r="GH125" s="3"/>
      <c r="GI125" s="3"/>
      <c r="GJ125" s="3"/>
      <c r="GK125" s="3"/>
      <c r="GL125" s="3"/>
      <c r="GM125" s="3"/>
      <c r="GN125" s="3"/>
      <c r="GO125" s="3"/>
      <c r="GP125" s="3"/>
      <c r="GQ125" s="3"/>
      <c r="GR125" s="3"/>
      <c r="GS125" s="3"/>
      <c r="GT125" s="3"/>
      <c r="GU125" s="3"/>
      <c r="GV125" s="3"/>
      <c r="GW125" s="3"/>
      <c r="GX125" s="3"/>
      <c r="GY125" s="3"/>
      <c r="GZ125" s="3"/>
      <c r="HA125" s="3"/>
      <c r="HB125" s="3"/>
      <c r="HC125" s="3"/>
      <c r="HD125" s="3"/>
      <c r="HE125" s="3"/>
      <c r="HF125" s="3"/>
    </row>
    <row r="126" spans="3:214" x14ac:dyDescent="0.25">
      <c r="C126" s="41">
        <f>COUNTA(DA1:DA95)</f>
        <v>1</v>
      </c>
      <c r="D126" s="41">
        <f t="shared" si="4"/>
        <v>213</v>
      </c>
      <c r="E126" s="41">
        <f>SUM(DB3:DB95)</f>
        <v>106</v>
      </c>
      <c r="F126" s="103">
        <f>SUM(DC3:DC95)</f>
        <v>107</v>
      </c>
      <c r="H126">
        <f t="shared" si="5"/>
        <v>107</v>
      </c>
      <c r="N126">
        <f t="shared" si="6"/>
        <v>0</v>
      </c>
      <c r="FL126" s="3"/>
      <c r="FM126" s="3"/>
      <c r="FN126" s="3"/>
      <c r="FO126" s="3"/>
      <c r="FP126" s="3"/>
      <c r="FQ126" s="3"/>
      <c r="FR126" s="3"/>
      <c r="FS126" s="3"/>
      <c r="FT126" s="3"/>
      <c r="FU126" s="3"/>
      <c r="FV126" s="3"/>
      <c r="FW126" s="3"/>
      <c r="FX126" s="3"/>
      <c r="FY126" s="3"/>
      <c r="FZ126" s="3"/>
      <c r="GA126" s="3"/>
      <c r="GB126" s="3"/>
      <c r="GC126" s="3"/>
      <c r="GD126" s="3"/>
      <c r="GE126" s="3"/>
      <c r="GF126" s="3"/>
      <c r="GG126" s="3"/>
      <c r="GH126" s="3"/>
      <c r="GI126" s="3"/>
      <c r="GJ126" s="3"/>
      <c r="GK126" s="3"/>
      <c r="GL126" s="3"/>
      <c r="GM126" s="3"/>
      <c r="GN126" s="3"/>
      <c r="GO126" s="3"/>
      <c r="GP126" s="3"/>
      <c r="GQ126" s="3"/>
      <c r="GR126" s="3"/>
      <c r="GS126" s="3"/>
      <c r="GT126" s="3"/>
      <c r="GU126" s="3"/>
      <c r="GV126" s="3"/>
      <c r="GW126" s="3"/>
      <c r="GX126" s="3"/>
      <c r="GY126" s="3"/>
      <c r="GZ126" s="3"/>
      <c r="HA126" s="3"/>
      <c r="HB126" s="3"/>
      <c r="HC126" s="3"/>
      <c r="HD126" s="3"/>
      <c r="HE126" s="3"/>
      <c r="HF126" s="3"/>
    </row>
    <row r="127" spans="3:214" x14ac:dyDescent="0.25">
      <c r="C127" s="41">
        <f>COUNTA(DE1:DE95)</f>
        <v>1</v>
      </c>
      <c r="D127" s="41">
        <f t="shared" si="4"/>
        <v>221</v>
      </c>
      <c r="E127" s="41">
        <f>SUM(DF3:DF95)</f>
        <v>110</v>
      </c>
      <c r="F127" s="103">
        <f>SUM(DG3:DG95)</f>
        <v>111</v>
      </c>
      <c r="H127">
        <f t="shared" si="5"/>
        <v>111</v>
      </c>
      <c r="N127">
        <f t="shared" si="6"/>
        <v>0</v>
      </c>
      <c r="FL127" s="3"/>
      <c r="FM127" s="3"/>
      <c r="FN127" s="3"/>
      <c r="FO127" s="3"/>
      <c r="FP127" s="3"/>
      <c r="FQ127" s="3"/>
      <c r="FR127" s="3"/>
      <c r="FS127" s="3"/>
      <c r="FT127" s="3"/>
      <c r="FU127" s="3"/>
      <c r="FV127" s="3"/>
      <c r="FW127" s="3"/>
      <c r="FX127" s="3"/>
      <c r="FY127" s="3"/>
      <c r="FZ127" s="3"/>
      <c r="GA127" s="3"/>
      <c r="GB127" s="3"/>
      <c r="GC127" s="3"/>
      <c r="GD127" s="3"/>
      <c r="GE127" s="3"/>
      <c r="GF127" s="3"/>
      <c r="GG127" s="3"/>
      <c r="GH127" s="3"/>
      <c r="GI127" s="3"/>
      <c r="GJ127" s="3"/>
      <c r="GK127" s="3"/>
      <c r="GL127" s="3"/>
      <c r="GM127" s="3"/>
      <c r="GN127" s="3"/>
      <c r="GO127" s="3"/>
      <c r="GP127" s="3"/>
      <c r="GQ127" s="3"/>
      <c r="GR127" s="3"/>
      <c r="GS127" s="3"/>
      <c r="GT127" s="3"/>
      <c r="GU127" s="3"/>
      <c r="GV127" s="3"/>
      <c r="GW127" s="3"/>
      <c r="GX127" s="3"/>
      <c r="GY127" s="3"/>
      <c r="GZ127" s="3"/>
      <c r="HA127" s="3"/>
      <c r="HB127" s="3"/>
      <c r="HC127" s="3"/>
      <c r="HD127" s="3"/>
      <c r="HE127" s="3"/>
      <c r="HF127" s="3"/>
    </row>
    <row r="128" spans="3:214" x14ac:dyDescent="0.25">
      <c r="C128" s="41">
        <f>COUNTA(DI1:DI95)</f>
        <v>1</v>
      </c>
      <c r="D128" s="41">
        <f t="shared" si="4"/>
        <v>229</v>
      </c>
      <c r="E128" s="41">
        <f>SUM(DJ3:DJ95)</f>
        <v>114</v>
      </c>
      <c r="F128" s="103">
        <f>SUM(DK3:DK95)</f>
        <v>115</v>
      </c>
      <c r="H128">
        <f t="shared" si="5"/>
        <v>115</v>
      </c>
      <c r="N128">
        <f t="shared" si="6"/>
        <v>0</v>
      </c>
      <c r="FL128" s="3"/>
      <c r="FM128" s="3"/>
      <c r="FN128" s="3"/>
      <c r="FO128" s="3"/>
      <c r="FP128" s="3"/>
      <c r="FQ128" s="3"/>
      <c r="FR128" s="3"/>
      <c r="FS128" s="3"/>
      <c r="FT128" s="3"/>
      <c r="FU128" s="3"/>
      <c r="FV128" s="3"/>
      <c r="FW128" s="3"/>
      <c r="FX128" s="3"/>
      <c r="FY128" s="3"/>
      <c r="FZ128" s="3"/>
      <c r="GA128" s="3"/>
      <c r="GB128" s="3"/>
      <c r="GC128" s="3"/>
      <c r="GD128" s="3"/>
      <c r="GE128" s="3"/>
      <c r="GF128" s="3"/>
      <c r="GG128" s="3"/>
      <c r="GH128" s="3"/>
      <c r="GI128" s="3"/>
      <c r="GJ128" s="3"/>
      <c r="GK128" s="3"/>
      <c r="GL128" s="3"/>
      <c r="GM128" s="3"/>
      <c r="GN128" s="3"/>
      <c r="GO128" s="3"/>
      <c r="GP128" s="3"/>
      <c r="GQ128" s="3"/>
      <c r="GR128" s="3"/>
      <c r="GS128" s="3"/>
      <c r="GT128" s="3"/>
      <c r="GU128" s="3"/>
      <c r="GV128" s="3"/>
      <c r="GW128" s="3"/>
      <c r="GX128" s="3"/>
      <c r="GY128" s="3"/>
      <c r="GZ128" s="3"/>
      <c r="HA128" s="3"/>
      <c r="HB128" s="3"/>
      <c r="HC128" s="3"/>
      <c r="HD128" s="3"/>
      <c r="HE128" s="3"/>
      <c r="HF128" s="3"/>
    </row>
    <row r="129" spans="3:214" x14ac:dyDescent="0.25">
      <c r="C129" s="41">
        <f>COUNTA(DM1:DM95)</f>
        <v>1</v>
      </c>
      <c r="D129" s="41">
        <f t="shared" si="4"/>
        <v>237</v>
      </c>
      <c r="E129" s="41">
        <f>SUM(DN3:DN95)</f>
        <v>118</v>
      </c>
      <c r="F129" s="103">
        <f>SUM(DO3:DO95)</f>
        <v>119</v>
      </c>
      <c r="H129">
        <f t="shared" si="5"/>
        <v>119</v>
      </c>
      <c r="N129">
        <f t="shared" si="6"/>
        <v>0</v>
      </c>
      <c r="FL129" s="3"/>
      <c r="FM129" s="3"/>
      <c r="FN129" s="3"/>
      <c r="FO129" s="3"/>
      <c r="FP129" s="3"/>
      <c r="FQ129" s="3"/>
      <c r="FR129" s="3"/>
      <c r="FS129" s="3"/>
      <c r="FT129" s="3"/>
      <c r="FU129" s="3"/>
      <c r="FV129" s="3"/>
      <c r="FW129" s="3"/>
      <c r="FX129" s="3"/>
      <c r="FY129" s="3"/>
      <c r="FZ129" s="3"/>
      <c r="GA129" s="3"/>
      <c r="GB129" s="3"/>
      <c r="GC129" s="3"/>
      <c r="GD129" s="3"/>
      <c r="GE129" s="3"/>
      <c r="GF129" s="3"/>
      <c r="GG129" s="3"/>
      <c r="GH129" s="3"/>
      <c r="GI129" s="3"/>
      <c r="GJ129" s="3"/>
      <c r="GK129" s="3"/>
      <c r="GL129" s="3"/>
      <c r="GM129" s="3"/>
      <c r="GN129" s="3"/>
      <c r="GO129" s="3"/>
      <c r="GP129" s="3"/>
      <c r="GQ129" s="3"/>
      <c r="GR129" s="3"/>
      <c r="GS129" s="3"/>
      <c r="GT129" s="3"/>
      <c r="GU129" s="3"/>
      <c r="GV129" s="3"/>
      <c r="GW129" s="3"/>
      <c r="GX129" s="3"/>
      <c r="GY129" s="3"/>
      <c r="GZ129" s="3"/>
      <c r="HA129" s="3"/>
      <c r="HB129" s="3"/>
      <c r="HC129" s="3"/>
      <c r="HD129" s="3"/>
      <c r="HE129" s="3"/>
      <c r="HF129" s="3"/>
    </row>
    <row r="130" spans="3:214" x14ac:dyDescent="0.25">
      <c r="C130" s="41">
        <f>COUNTA(DQ1:DQ95)</f>
        <v>1</v>
      </c>
      <c r="D130" s="41">
        <f t="shared" si="4"/>
        <v>245</v>
      </c>
      <c r="E130" s="41">
        <f>SUM(DR3:DR95)</f>
        <v>122</v>
      </c>
      <c r="F130" s="103">
        <f>SUM(DS3:DS95)</f>
        <v>123</v>
      </c>
      <c r="H130">
        <f t="shared" si="5"/>
        <v>123</v>
      </c>
      <c r="N130">
        <f t="shared" si="6"/>
        <v>0</v>
      </c>
      <c r="FL130" s="3"/>
      <c r="FM130" s="3"/>
      <c r="FN130" s="3"/>
      <c r="FO130" s="3"/>
      <c r="FP130" s="3"/>
      <c r="FQ130" s="3"/>
      <c r="FR130" s="3"/>
      <c r="FS130" s="3"/>
      <c r="FT130" s="3"/>
      <c r="FU130" s="3"/>
      <c r="FV130" s="3"/>
      <c r="FW130" s="3"/>
      <c r="FX130" s="3"/>
      <c r="FY130" s="3"/>
      <c r="FZ130" s="3"/>
      <c r="GA130" s="3"/>
      <c r="GB130" s="3"/>
      <c r="GC130" s="3"/>
      <c r="GD130" s="3"/>
      <c r="GE130" s="3"/>
      <c r="GF130" s="3"/>
      <c r="GG130" s="3"/>
      <c r="GH130" s="3"/>
      <c r="GI130" s="3"/>
      <c r="GJ130" s="3"/>
      <c r="GK130" s="3"/>
      <c r="GL130" s="3"/>
      <c r="GM130" s="3"/>
      <c r="GN130" s="3"/>
      <c r="GO130" s="3"/>
      <c r="GP130" s="3"/>
      <c r="GQ130" s="3"/>
      <c r="GR130" s="3"/>
      <c r="GS130" s="3"/>
      <c r="GT130" s="3"/>
      <c r="GU130" s="3"/>
      <c r="GV130" s="3"/>
      <c r="GW130" s="3"/>
      <c r="GX130" s="3"/>
      <c r="GY130" s="3"/>
      <c r="GZ130" s="3"/>
      <c r="HA130" s="3"/>
      <c r="HB130" s="3"/>
      <c r="HC130" s="3"/>
      <c r="HD130" s="3"/>
      <c r="HE130" s="3"/>
      <c r="HF130" s="3"/>
    </row>
    <row r="131" spans="3:214" x14ac:dyDescent="0.25">
      <c r="C131" s="41">
        <f>COUNTA(DU1:DU95)</f>
        <v>1</v>
      </c>
      <c r="D131" s="41">
        <f t="shared" si="4"/>
        <v>253</v>
      </c>
      <c r="E131" s="41">
        <f>SUM(DV3:DV95)</f>
        <v>126</v>
      </c>
      <c r="F131" s="103">
        <f>SUM(DW3:DW95)</f>
        <v>127</v>
      </c>
      <c r="H131">
        <f t="shared" ref="H131:H148" si="7">F131-G103</f>
        <v>127</v>
      </c>
      <c r="N131">
        <f t="shared" ref="N131:N148" si="8">L131-M103</f>
        <v>0</v>
      </c>
      <c r="FL131" s="3"/>
      <c r="FM131" s="3"/>
      <c r="FN131" s="3"/>
      <c r="FO131" s="3"/>
      <c r="FP131" s="3"/>
      <c r="FQ131" s="3"/>
      <c r="FR131" s="3"/>
      <c r="FS131" s="3"/>
      <c r="FT131" s="3"/>
      <c r="FU131" s="3"/>
      <c r="FV131" s="3"/>
      <c r="FW131" s="3"/>
      <c r="FX131" s="3"/>
      <c r="FY131" s="3"/>
      <c r="FZ131" s="3"/>
      <c r="GA131" s="3"/>
      <c r="GB131" s="3"/>
      <c r="GC131" s="3"/>
      <c r="GD131" s="3"/>
      <c r="GE131" s="3"/>
      <c r="GF131" s="3"/>
      <c r="GG131" s="3"/>
      <c r="GH131" s="3"/>
      <c r="GI131" s="3"/>
      <c r="GJ131" s="3"/>
      <c r="GK131" s="3"/>
      <c r="GL131" s="3"/>
      <c r="GM131" s="3"/>
      <c r="GN131" s="3"/>
      <c r="GO131" s="3"/>
      <c r="GP131" s="3"/>
      <c r="GQ131" s="3"/>
      <c r="GR131" s="3"/>
      <c r="GS131" s="3"/>
      <c r="GT131" s="3"/>
      <c r="GU131" s="3"/>
      <c r="GV131" s="3"/>
      <c r="GW131" s="3"/>
      <c r="GX131" s="3"/>
      <c r="GY131" s="3"/>
      <c r="GZ131" s="3"/>
      <c r="HA131" s="3"/>
      <c r="HB131" s="3"/>
      <c r="HC131" s="3"/>
      <c r="HD131" s="3"/>
      <c r="HE131" s="3"/>
      <c r="HF131" s="3"/>
    </row>
    <row r="132" spans="3:214" x14ac:dyDescent="0.25">
      <c r="C132" s="41">
        <f>COUNTA(DY1:DY95)</f>
        <v>1</v>
      </c>
      <c r="D132" s="41">
        <f t="shared" si="4"/>
        <v>257</v>
      </c>
      <c r="E132" s="41">
        <f>SUM(DX3:DX95)</f>
        <v>128</v>
      </c>
      <c r="F132" s="103">
        <f>SUM(DY3:DY95)</f>
        <v>129</v>
      </c>
      <c r="H132">
        <f t="shared" si="7"/>
        <v>129</v>
      </c>
      <c r="N132">
        <f t="shared" si="8"/>
        <v>0</v>
      </c>
      <c r="FL132" s="3"/>
      <c r="FM132" s="3"/>
      <c r="FN132" s="3"/>
      <c r="FO132" s="3"/>
      <c r="FP132" s="3"/>
      <c r="FQ132" s="3"/>
      <c r="FR132" s="3"/>
      <c r="FS132" s="3"/>
      <c r="FT132" s="3"/>
      <c r="FU132" s="3"/>
      <c r="FV132" s="3"/>
      <c r="FW132" s="3"/>
      <c r="FX132" s="3"/>
      <c r="FY132" s="3"/>
      <c r="FZ132" s="3"/>
      <c r="GA132" s="3"/>
      <c r="GB132" s="3"/>
      <c r="GC132" s="3"/>
      <c r="GD132" s="3"/>
      <c r="GE132" s="3"/>
      <c r="GF132" s="3"/>
      <c r="GG132" s="3"/>
      <c r="GH132" s="3"/>
      <c r="GI132" s="3"/>
      <c r="GJ132" s="3"/>
      <c r="GK132" s="3"/>
      <c r="GL132" s="3"/>
      <c r="GM132" s="3"/>
      <c r="GN132" s="3"/>
      <c r="GO132" s="3"/>
      <c r="GP132" s="3"/>
      <c r="GQ132" s="3"/>
      <c r="GR132" s="3"/>
      <c r="GS132" s="3"/>
      <c r="GT132" s="3"/>
      <c r="GU132" s="3"/>
      <c r="GV132" s="3"/>
      <c r="GW132" s="3"/>
      <c r="GX132" s="3"/>
      <c r="GY132" s="3"/>
      <c r="GZ132" s="3"/>
      <c r="HA132" s="3"/>
      <c r="HB132" s="3"/>
      <c r="HC132" s="3"/>
      <c r="HD132" s="3"/>
      <c r="HE132" s="3"/>
      <c r="HF132" s="3"/>
    </row>
    <row r="133" spans="3:214" x14ac:dyDescent="0.25">
      <c r="C133" s="41">
        <f>COUNTA(EC1:EC95)</f>
        <v>1</v>
      </c>
      <c r="D133" s="41">
        <f t="shared" si="4"/>
        <v>269</v>
      </c>
      <c r="E133" s="41">
        <f>SUM(ED3:ED95)</f>
        <v>134</v>
      </c>
      <c r="F133" s="103">
        <f>SUM(EE3:EE95)</f>
        <v>135</v>
      </c>
      <c r="H133">
        <f t="shared" si="7"/>
        <v>135</v>
      </c>
      <c r="N133">
        <f t="shared" si="8"/>
        <v>0</v>
      </c>
      <c r="FL133" s="3"/>
      <c r="FM133" s="3"/>
      <c r="FN133" s="3"/>
      <c r="FO133" s="3"/>
      <c r="FP133" s="3"/>
      <c r="FQ133" s="3"/>
      <c r="FR133" s="3"/>
      <c r="FS133" s="3"/>
      <c r="FT133" s="3"/>
      <c r="FU133" s="3"/>
      <c r="FV133" s="3"/>
      <c r="FW133" s="3"/>
      <c r="FX133" s="3"/>
      <c r="FY133" s="3"/>
      <c r="FZ133" s="3"/>
      <c r="GA133" s="3"/>
      <c r="GB133" s="3"/>
      <c r="GC133" s="3"/>
      <c r="GD133" s="3"/>
      <c r="GE133" s="3"/>
      <c r="GF133" s="3"/>
      <c r="GG133" s="3"/>
      <c r="GH133" s="3"/>
      <c r="GI133" s="3"/>
      <c r="GJ133" s="3"/>
      <c r="GK133" s="3"/>
      <c r="GL133" s="3"/>
      <c r="GM133" s="3"/>
      <c r="GN133" s="3"/>
      <c r="GO133" s="3"/>
      <c r="GP133" s="3"/>
      <c r="GQ133" s="3"/>
      <c r="GR133" s="3"/>
      <c r="GS133" s="3"/>
      <c r="GT133" s="3"/>
      <c r="GU133" s="3"/>
      <c r="GV133" s="3"/>
      <c r="GW133" s="3"/>
      <c r="GX133" s="3"/>
      <c r="GY133" s="3"/>
      <c r="GZ133" s="3"/>
      <c r="HA133" s="3"/>
      <c r="HB133" s="3"/>
      <c r="HC133" s="3"/>
      <c r="HD133" s="3"/>
      <c r="HE133" s="3"/>
      <c r="HF133" s="3"/>
    </row>
    <row r="134" spans="3:214" x14ac:dyDescent="0.25">
      <c r="C134" s="41">
        <f>COUNTA(EG1:EG96)</f>
        <v>1</v>
      </c>
      <c r="D134" s="41">
        <f t="shared" si="4"/>
        <v>277</v>
      </c>
      <c r="E134" s="41">
        <f>SUM(EH3:EH95)</f>
        <v>138</v>
      </c>
      <c r="F134" s="103">
        <f>SUM(EI3:EI95)</f>
        <v>139</v>
      </c>
      <c r="H134">
        <f t="shared" si="7"/>
        <v>139</v>
      </c>
      <c r="N134">
        <f t="shared" si="8"/>
        <v>0</v>
      </c>
      <c r="FL134" s="3"/>
      <c r="FM134" s="3"/>
      <c r="FN134" s="3"/>
      <c r="FO134" s="3"/>
      <c r="FP134" s="3"/>
      <c r="FQ134" s="3"/>
      <c r="FR134" s="3"/>
      <c r="FS134" s="3"/>
      <c r="FT134" s="3"/>
      <c r="FU134" s="3"/>
      <c r="FV134" s="3"/>
      <c r="FW134" s="3"/>
      <c r="FX134" s="3"/>
      <c r="FY134" s="3"/>
      <c r="FZ134" s="3"/>
      <c r="GA134" s="3"/>
      <c r="GB134" s="3"/>
      <c r="GC134" s="3"/>
      <c r="GD134" s="3"/>
      <c r="GE134" s="3"/>
      <c r="GF134" s="3"/>
      <c r="GG134" s="3"/>
      <c r="GH134" s="3"/>
      <c r="GI134" s="3"/>
      <c r="GJ134" s="3"/>
      <c r="GK134" s="3"/>
      <c r="GL134" s="3"/>
      <c r="GM134" s="3"/>
      <c r="GN134" s="3"/>
      <c r="GO134" s="3"/>
      <c r="GP134" s="3"/>
      <c r="GQ134" s="3"/>
      <c r="GR134" s="3"/>
      <c r="GS134" s="3"/>
      <c r="GT134" s="3"/>
      <c r="GU134" s="3"/>
      <c r="GV134" s="3"/>
      <c r="GW134" s="3"/>
      <c r="GX134" s="3"/>
      <c r="GY134" s="3"/>
      <c r="GZ134" s="3"/>
      <c r="HA134" s="3"/>
      <c r="HB134" s="3"/>
      <c r="HC134" s="3"/>
      <c r="HD134" s="3"/>
      <c r="HE134" s="3"/>
      <c r="HF134" s="3"/>
    </row>
    <row r="135" spans="3:214" x14ac:dyDescent="0.25">
      <c r="C135" s="41">
        <f>COUNTA(EK1:EK95)</f>
        <v>1</v>
      </c>
      <c r="D135" s="41">
        <f t="shared" si="4"/>
        <v>285</v>
      </c>
      <c r="E135" s="41">
        <f>SUM(EL3:EL95)</f>
        <v>142</v>
      </c>
      <c r="F135" s="103">
        <f>SUM(EM3:EM95)</f>
        <v>143</v>
      </c>
      <c r="H135">
        <f t="shared" si="7"/>
        <v>143</v>
      </c>
      <c r="N135">
        <f t="shared" si="8"/>
        <v>0</v>
      </c>
      <c r="FL135" s="3"/>
      <c r="FM135" s="3"/>
      <c r="FN135" s="3"/>
      <c r="FO135" s="3"/>
      <c r="FP135" s="3"/>
      <c r="FQ135" s="3"/>
      <c r="FR135" s="3"/>
      <c r="FS135" s="3"/>
      <c r="FT135" s="3"/>
      <c r="FU135" s="3"/>
      <c r="FV135" s="3"/>
      <c r="FW135" s="3"/>
      <c r="FX135" s="3"/>
      <c r="FY135" s="3"/>
      <c r="FZ135" s="3"/>
      <c r="GA135" s="3"/>
      <c r="GB135" s="3"/>
      <c r="GC135" s="3"/>
      <c r="GD135" s="3"/>
      <c r="GE135" s="3"/>
      <c r="GF135" s="3"/>
      <c r="GG135" s="3"/>
      <c r="GH135" s="3"/>
      <c r="GI135" s="3"/>
      <c r="GJ135" s="3"/>
      <c r="GK135" s="3"/>
      <c r="GL135" s="3"/>
      <c r="GM135" s="3"/>
      <c r="GN135" s="3"/>
      <c r="GO135" s="3"/>
      <c r="GP135" s="3"/>
      <c r="GQ135" s="3"/>
      <c r="GR135" s="3"/>
      <c r="GS135" s="3"/>
      <c r="GT135" s="3"/>
      <c r="GU135" s="3"/>
      <c r="GV135" s="3"/>
      <c r="GW135" s="3"/>
      <c r="GX135" s="3"/>
      <c r="GY135" s="3"/>
      <c r="GZ135" s="3"/>
      <c r="HA135" s="3"/>
      <c r="HB135" s="3"/>
      <c r="HC135" s="3"/>
      <c r="HD135" s="3"/>
      <c r="HE135" s="3"/>
      <c r="HF135" s="3"/>
    </row>
    <row r="136" spans="3:214" x14ac:dyDescent="0.25">
      <c r="C136" s="41">
        <f>COUNTA(EO1:EO95)</f>
        <v>1</v>
      </c>
      <c r="D136" s="41">
        <f t="shared" si="4"/>
        <v>293</v>
      </c>
      <c r="E136" s="41">
        <f>SUM(EP3:EP95)</f>
        <v>146</v>
      </c>
      <c r="F136" s="103">
        <f>SUM(EQ3:EQ95)</f>
        <v>147</v>
      </c>
      <c r="H136">
        <f t="shared" si="7"/>
        <v>147</v>
      </c>
      <c r="N136">
        <f t="shared" si="8"/>
        <v>0</v>
      </c>
      <c r="FL136" s="3"/>
      <c r="FM136" s="3"/>
      <c r="FN136" s="3"/>
      <c r="FO136" s="3"/>
      <c r="FP136" s="3"/>
      <c r="FQ136" s="3"/>
      <c r="FR136" s="3"/>
      <c r="FS136" s="3"/>
      <c r="FT136" s="3"/>
      <c r="FU136" s="3"/>
      <c r="FV136" s="3"/>
      <c r="FW136" s="3"/>
      <c r="FX136" s="3"/>
      <c r="FY136" s="3"/>
      <c r="FZ136" s="3"/>
      <c r="GA136" s="3"/>
      <c r="GB136" s="3"/>
      <c r="GC136" s="3"/>
      <c r="GD136" s="3"/>
      <c r="GE136" s="3"/>
      <c r="GF136" s="3"/>
      <c r="GG136" s="3"/>
      <c r="GH136" s="3"/>
      <c r="GI136" s="3"/>
      <c r="GJ136" s="3"/>
      <c r="GK136" s="3"/>
      <c r="GL136" s="3"/>
      <c r="GM136" s="3"/>
      <c r="GN136" s="3"/>
      <c r="GO136" s="3"/>
      <c r="GP136" s="3"/>
      <c r="GQ136" s="3"/>
      <c r="GR136" s="3"/>
      <c r="GS136" s="3"/>
      <c r="GT136" s="3"/>
      <c r="GU136" s="3"/>
      <c r="GV136" s="3"/>
      <c r="GW136" s="3"/>
      <c r="GX136" s="3"/>
      <c r="GY136" s="3"/>
      <c r="GZ136" s="3"/>
      <c r="HA136" s="3"/>
      <c r="HB136" s="3"/>
      <c r="HC136" s="3"/>
      <c r="HD136" s="3"/>
      <c r="HE136" s="3"/>
      <c r="HF136" s="3"/>
    </row>
    <row r="137" spans="3:214" x14ac:dyDescent="0.25">
      <c r="C137" s="41">
        <f>COUNTA(ES1:ES95)</f>
        <v>1</v>
      </c>
      <c r="D137" s="41">
        <f t="shared" si="4"/>
        <v>301</v>
      </c>
      <c r="E137" s="41">
        <f>SUM(ET3:ET95)</f>
        <v>150</v>
      </c>
      <c r="F137" s="103">
        <f>SUM(EU3:EU95)</f>
        <v>151</v>
      </c>
      <c r="H137">
        <f t="shared" si="7"/>
        <v>151</v>
      </c>
      <c r="N137">
        <f t="shared" si="8"/>
        <v>0</v>
      </c>
      <c r="FL137" s="3"/>
      <c r="FM137" s="3"/>
      <c r="FN137" s="3"/>
      <c r="FO137" s="3"/>
      <c r="FP137" s="3"/>
      <c r="FQ137" s="3"/>
      <c r="FR137" s="3"/>
      <c r="FS137" s="3"/>
      <c r="FT137" s="3"/>
      <c r="FU137" s="3"/>
      <c r="FV137" s="3"/>
      <c r="FW137" s="3"/>
      <c r="FX137" s="3"/>
      <c r="FY137" s="3"/>
      <c r="FZ137" s="3"/>
      <c r="GA137" s="3"/>
      <c r="GB137" s="3"/>
      <c r="GC137" s="3"/>
      <c r="GD137" s="3"/>
      <c r="GE137" s="3"/>
      <c r="GF137" s="3"/>
      <c r="GG137" s="3"/>
      <c r="GH137" s="3"/>
      <c r="GI137" s="3"/>
      <c r="GJ137" s="3"/>
      <c r="GK137" s="3"/>
      <c r="GL137" s="3"/>
      <c r="GM137" s="3"/>
      <c r="GN137" s="3"/>
      <c r="GO137" s="3"/>
      <c r="GP137" s="3"/>
      <c r="GQ137" s="3"/>
      <c r="GR137" s="3"/>
      <c r="GS137" s="3"/>
      <c r="GT137" s="3"/>
      <c r="GU137" s="3"/>
      <c r="GV137" s="3"/>
      <c r="GW137" s="3"/>
      <c r="GX137" s="3"/>
      <c r="GY137" s="3"/>
      <c r="GZ137" s="3"/>
      <c r="HA137" s="3"/>
      <c r="HB137" s="3"/>
      <c r="HC137" s="3"/>
      <c r="HD137" s="3"/>
      <c r="HE137" s="3"/>
      <c r="HF137" s="3"/>
    </row>
    <row r="138" spans="3:214" x14ac:dyDescent="0.25">
      <c r="C138" s="41">
        <f>COUNTA(EW1:EW95)</f>
        <v>1</v>
      </c>
      <c r="D138" s="41">
        <f t="shared" si="4"/>
        <v>309</v>
      </c>
      <c r="E138" s="41">
        <f>SUM(EX3:EX95)</f>
        <v>154</v>
      </c>
      <c r="F138" s="103">
        <f>SUM(EY3:EY95)</f>
        <v>155</v>
      </c>
      <c r="H138">
        <f t="shared" si="7"/>
        <v>155</v>
      </c>
      <c r="N138">
        <f t="shared" si="8"/>
        <v>0</v>
      </c>
    </row>
    <row r="139" spans="3:214" x14ac:dyDescent="0.25">
      <c r="C139" s="41">
        <f>COUNTA(FA1:FA95)</f>
        <v>1</v>
      </c>
      <c r="D139" s="41">
        <f t="shared" si="4"/>
        <v>317</v>
      </c>
      <c r="E139" s="41">
        <f>SUM(FB3:FB95)</f>
        <v>158</v>
      </c>
      <c r="F139" s="103">
        <f>SUM(FC3:FC95)</f>
        <v>159</v>
      </c>
      <c r="H139">
        <f t="shared" si="7"/>
        <v>159</v>
      </c>
      <c r="N139">
        <f t="shared" si="8"/>
        <v>0</v>
      </c>
    </row>
    <row r="140" spans="3:214" x14ac:dyDescent="0.25">
      <c r="C140" s="41">
        <f>COUNTA(FE1:FE95)</f>
        <v>1</v>
      </c>
      <c r="D140" s="41">
        <f t="shared" si="4"/>
        <v>325</v>
      </c>
      <c r="E140" s="41">
        <f>SUM(FF3:FF95)</f>
        <v>162</v>
      </c>
      <c r="F140" s="103">
        <f>SUM(FG3:FG95)</f>
        <v>163</v>
      </c>
      <c r="H140">
        <f t="shared" si="7"/>
        <v>163</v>
      </c>
      <c r="N140">
        <f t="shared" si="8"/>
        <v>0</v>
      </c>
    </row>
    <row r="141" spans="3:214" x14ac:dyDescent="0.25">
      <c r="C141" s="41">
        <f>COUNTA(FI1:FI95)</f>
        <v>1</v>
      </c>
      <c r="D141" s="41">
        <f t="shared" si="4"/>
        <v>333</v>
      </c>
      <c r="E141" s="41">
        <f>SUM(FJ3:FJ95)</f>
        <v>166</v>
      </c>
      <c r="F141" s="103">
        <f>SUM(FK3:FK95)</f>
        <v>167</v>
      </c>
      <c r="H141">
        <f t="shared" si="7"/>
        <v>167</v>
      </c>
      <c r="N141">
        <f t="shared" si="8"/>
        <v>0</v>
      </c>
    </row>
    <row r="142" spans="3:214" x14ac:dyDescent="0.25">
      <c r="C142" s="41">
        <f>COUNTA(FM1:FM95)</f>
        <v>1</v>
      </c>
      <c r="D142" s="41">
        <f t="shared" si="4"/>
        <v>341</v>
      </c>
      <c r="E142" s="41">
        <f>SUM(FN3:FN95)</f>
        <v>170</v>
      </c>
      <c r="F142" s="103">
        <f>SUM(FO3:FO95)</f>
        <v>171</v>
      </c>
      <c r="H142">
        <f t="shared" si="7"/>
        <v>171</v>
      </c>
      <c r="N142">
        <f t="shared" si="8"/>
        <v>0</v>
      </c>
    </row>
    <row r="143" spans="3:214" x14ac:dyDescent="0.25">
      <c r="C143" s="41">
        <f>COUNTA(FQ1:FQ95)</f>
        <v>1</v>
      </c>
      <c r="D143" s="41">
        <f t="shared" si="4"/>
        <v>349</v>
      </c>
      <c r="E143" s="41">
        <f>SUM(FR3:FR95)</f>
        <v>174</v>
      </c>
      <c r="F143" s="103">
        <f>SUM(FS3:FS95)</f>
        <v>175</v>
      </c>
      <c r="H143">
        <f t="shared" si="7"/>
        <v>175</v>
      </c>
      <c r="N143">
        <f t="shared" si="8"/>
        <v>0</v>
      </c>
    </row>
    <row r="144" spans="3:214" x14ac:dyDescent="0.25">
      <c r="C144" s="41">
        <f>COUNTA(FU1:FU95)</f>
        <v>1</v>
      </c>
      <c r="D144" s="41">
        <f t="shared" si="4"/>
        <v>357</v>
      </c>
      <c r="E144" s="41">
        <f>SUM(FV3:FV95)</f>
        <v>178</v>
      </c>
      <c r="F144" s="103">
        <f>SUM(FW3:FW95)</f>
        <v>179</v>
      </c>
      <c r="H144">
        <f t="shared" si="7"/>
        <v>179</v>
      </c>
      <c r="N144">
        <f t="shared" si="8"/>
        <v>0</v>
      </c>
    </row>
    <row r="145" spans="3:14" x14ac:dyDescent="0.25">
      <c r="C145" s="41">
        <f>COUNTA(FY1:FY95)</f>
        <v>1</v>
      </c>
      <c r="D145" s="41">
        <f t="shared" si="4"/>
        <v>365</v>
      </c>
      <c r="E145" s="41">
        <f>SUM(FZ3:FZ95)</f>
        <v>182</v>
      </c>
      <c r="F145" s="103">
        <f>SUM(GA3:GA95)</f>
        <v>183</v>
      </c>
      <c r="H145">
        <f t="shared" si="7"/>
        <v>183</v>
      </c>
      <c r="N145">
        <f t="shared" si="8"/>
        <v>0</v>
      </c>
    </row>
    <row r="146" spans="3:14" x14ac:dyDescent="0.25">
      <c r="C146" s="41">
        <f>COUNTA(GC1:GC95)</f>
        <v>1</v>
      </c>
      <c r="D146" s="41">
        <f t="shared" si="4"/>
        <v>373</v>
      </c>
      <c r="E146" s="41">
        <f>SUM(GD3:GD95)</f>
        <v>186</v>
      </c>
      <c r="F146" s="103">
        <f>SUM(GE3:GE95)</f>
        <v>187</v>
      </c>
      <c r="H146">
        <f t="shared" si="7"/>
        <v>187</v>
      </c>
      <c r="N146">
        <f t="shared" si="8"/>
        <v>0</v>
      </c>
    </row>
    <row r="147" spans="3:14" x14ac:dyDescent="0.25">
      <c r="C147" s="41">
        <f>COUNTA(GG1:GG95)</f>
        <v>1</v>
      </c>
      <c r="D147" s="41">
        <f t="shared" si="4"/>
        <v>381</v>
      </c>
      <c r="E147" s="41">
        <f>SUM(GH3:GH95)</f>
        <v>190</v>
      </c>
      <c r="F147" s="103">
        <f>SUM(GI3:GI95)</f>
        <v>191</v>
      </c>
      <c r="H147">
        <f t="shared" si="7"/>
        <v>191</v>
      </c>
      <c r="N147">
        <f t="shared" si="8"/>
        <v>0</v>
      </c>
    </row>
    <row r="148" spans="3:14" x14ac:dyDescent="0.25">
      <c r="C148" s="41">
        <f>COUNTA(GK1:GK95)</f>
        <v>1</v>
      </c>
      <c r="D148" s="41">
        <f t="shared" si="4"/>
        <v>389</v>
      </c>
      <c r="E148" s="41">
        <f>SUM(GL3:GL95)</f>
        <v>194</v>
      </c>
      <c r="F148" s="103">
        <f>SUM(GM3:GM95)</f>
        <v>195</v>
      </c>
      <c r="H148">
        <f t="shared" si="7"/>
        <v>195</v>
      </c>
      <c r="N148">
        <f t="shared" si="8"/>
        <v>0</v>
      </c>
    </row>
  </sheetData>
  <mergeCells count="2">
    <mergeCell ref="Q23:Q24"/>
    <mergeCell ref="W23:W24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21E2A-2006-4459-8BB0-8882C09BF205}">
  <sheetPr codeName="Sheet5"/>
  <dimension ref="A1:HF148"/>
  <sheetViews>
    <sheetView zoomScale="85" zoomScaleNormal="85" workbookViewId="0">
      <selection activeCell="D5" sqref="D5"/>
    </sheetView>
  </sheetViews>
  <sheetFormatPr defaultRowHeight="15" x14ac:dyDescent="0.25"/>
  <cols>
    <col min="1" max="1" width="24.5703125" bestFit="1" customWidth="1"/>
    <col min="2" max="2" width="15.5703125" customWidth="1"/>
    <col min="3" max="3" width="16.5703125" customWidth="1"/>
    <col min="4" max="4" width="16" customWidth="1"/>
    <col min="5" max="5" width="15.7109375" customWidth="1"/>
    <col min="6" max="6" width="24.5703125" bestFit="1" customWidth="1"/>
    <col min="7" max="7" width="16.5703125" customWidth="1"/>
    <col min="8" max="8" width="13.5703125" customWidth="1"/>
    <col min="9" max="9" width="19.28515625" customWidth="1"/>
    <col min="10" max="10" width="16.28515625" customWidth="1"/>
    <col min="11" max="11" width="10.7109375" customWidth="1"/>
    <col min="12" max="12" width="11.28515625" customWidth="1"/>
    <col min="13" max="13" width="15.85546875" bestFit="1" customWidth="1"/>
    <col min="15" max="15" width="9.28515625" bestFit="1" customWidth="1"/>
    <col min="33" max="34" width="8.7109375" customWidth="1"/>
  </cols>
  <sheetData>
    <row r="1" spans="1:214" s="160" customFormat="1" ht="30.75" customHeight="1" thickBot="1" x14ac:dyDescent="0.3">
      <c r="A1" s="178" t="s">
        <v>87</v>
      </c>
      <c r="B1" s="175"/>
      <c r="C1" s="153"/>
      <c r="D1" s="153"/>
      <c r="E1" s="154"/>
      <c r="F1" s="178" t="s">
        <v>88</v>
      </c>
      <c r="G1" s="176"/>
      <c r="H1" s="155"/>
      <c r="I1" s="156"/>
      <c r="J1" s="156"/>
      <c r="K1" s="156"/>
      <c r="L1" s="156"/>
      <c r="M1" s="156"/>
      <c r="N1" s="156"/>
      <c r="O1" s="156"/>
      <c r="P1" s="157"/>
      <c r="Q1" s="158"/>
      <c r="R1" s="158"/>
      <c r="S1" s="158"/>
      <c r="T1" s="158"/>
      <c r="U1" s="158"/>
      <c r="V1" s="158"/>
      <c r="W1" s="159"/>
      <c r="X1" s="159"/>
      <c r="Y1" s="159"/>
      <c r="Z1" s="159"/>
      <c r="AA1" s="159"/>
      <c r="AB1" s="159"/>
      <c r="AC1" s="159"/>
      <c r="AD1" s="159"/>
      <c r="AE1" s="159"/>
      <c r="AF1" s="159"/>
      <c r="AG1" s="159"/>
      <c r="AH1" s="159"/>
      <c r="AI1" s="159"/>
      <c r="AJ1" s="159"/>
      <c r="AK1" s="159"/>
      <c r="AL1" s="159"/>
      <c r="AM1" s="159"/>
      <c r="AN1" s="159"/>
      <c r="AO1" s="159"/>
      <c r="AP1" s="159"/>
      <c r="AQ1" s="159"/>
      <c r="AR1" s="159"/>
      <c r="AS1" s="159"/>
      <c r="AT1" s="159"/>
      <c r="AU1" s="159"/>
      <c r="AV1" s="159"/>
      <c r="AW1" s="159"/>
      <c r="AX1" s="159"/>
      <c r="AY1" s="159"/>
      <c r="AZ1" s="159"/>
      <c r="BA1" s="159"/>
      <c r="BB1" s="159"/>
      <c r="BC1" s="159"/>
      <c r="BD1" s="159"/>
      <c r="BE1" s="159"/>
      <c r="BF1" s="159"/>
      <c r="BG1" s="159"/>
      <c r="BH1" s="159"/>
      <c r="BI1" s="159"/>
      <c r="BJ1" s="159"/>
      <c r="BK1" s="159"/>
      <c r="BL1" s="159"/>
      <c r="BM1" s="159"/>
      <c r="BN1" s="159"/>
      <c r="BO1" s="159"/>
      <c r="BP1" s="159"/>
      <c r="BQ1" s="159"/>
      <c r="BR1" s="159"/>
      <c r="BS1" s="159"/>
      <c r="BT1" s="159"/>
      <c r="BU1" s="159"/>
      <c r="BV1" s="159"/>
      <c r="BW1" s="159"/>
      <c r="BX1" s="159"/>
      <c r="BY1" s="159"/>
      <c r="BZ1" s="159"/>
      <c r="CA1" s="159"/>
      <c r="CB1" s="159"/>
      <c r="CC1" s="159"/>
      <c r="CD1" s="159"/>
      <c r="CE1" s="159"/>
      <c r="CF1" s="159"/>
      <c r="CG1" s="159"/>
      <c r="CH1" s="159"/>
      <c r="CI1" s="159"/>
      <c r="CJ1" s="159"/>
      <c r="CK1" s="159"/>
      <c r="CL1" s="159"/>
      <c r="CM1" s="159"/>
      <c r="CN1" s="159"/>
      <c r="CO1" s="159"/>
      <c r="CP1" s="159"/>
      <c r="CQ1" s="159"/>
      <c r="CR1" s="159"/>
      <c r="CS1" s="159"/>
      <c r="CT1" s="159"/>
      <c r="CU1" s="159"/>
      <c r="CV1" s="159"/>
      <c r="CW1" s="159"/>
      <c r="CX1" s="159"/>
      <c r="CY1" s="159"/>
      <c r="CZ1" s="159"/>
      <c r="DA1" s="159"/>
      <c r="DB1" s="159"/>
      <c r="DC1" s="159"/>
      <c r="DD1" s="159"/>
      <c r="DE1" s="159"/>
      <c r="DF1" s="159"/>
      <c r="DG1" s="159"/>
      <c r="DH1" s="159"/>
      <c r="DI1" s="159"/>
      <c r="DJ1" s="159"/>
      <c r="DK1" s="159"/>
      <c r="DL1" s="159"/>
      <c r="DM1" s="159"/>
      <c r="DN1" s="159"/>
      <c r="DO1" s="159"/>
      <c r="DP1" s="159"/>
      <c r="DQ1" s="159"/>
      <c r="DR1" s="159"/>
      <c r="DS1" s="159"/>
      <c r="DT1" s="159"/>
      <c r="DU1" s="159"/>
      <c r="DV1" s="159"/>
      <c r="DW1" s="159"/>
      <c r="DX1" s="159"/>
      <c r="DY1" s="159"/>
      <c r="DZ1" s="159"/>
      <c r="EA1" s="159"/>
      <c r="EB1" s="159"/>
      <c r="EC1" s="159"/>
      <c r="ED1" s="159"/>
      <c r="EE1" s="159"/>
      <c r="EF1" s="159"/>
      <c r="EG1" s="159"/>
      <c r="EH1" s="159"/>
      <c r="EI1" s="159"/>
      <c r="EJ1" s="159"/>
      <c r="EK1" s="159"/>
      <c r="EL1" s="159"/>
      <c r="EM1" s="159"/>
      <c r="EN1" s="159"/>
      <c r="EO1" s="159"/>
      <c r="EP1" s="159"/>
      <c r="EQ1" s="159"/>
      <c r="ER1" s="159"/>
      <c r="ES1" s="159"/>
      <c r="ET1" s="159"/>
      <c r="EU1" s="159"/>
      <c r="EV1" s="159"/>
      <c r="EW1" s="159"/>
      <c r="EX1" s="159"/>
      <c r="EY1" s="159"/>
      <c r="EZ1" s="159"/>
      <c r="FA1" s="159"/>
      <c r="FB1" s="159"/>
      <c r="FC1" s="159"/>
      <c r="FD1" s="159"/>
      <c r="FE1" s="159"/>
      <c r="FF1" s="159"/>
      <c r="FG1" s="159"/>
      <c r="FH1" s="159"/>
      <c r="FI1" s="159"/>
      <c r="FJ1" s="159"/>
      <c r="FK1" s="159"/>
      <c r="FL1" s="159"/>
      <c r="FM1" s="159"/>
      <c r="FN1" s="159"/>
      <c r="FO1" s="159"/>
      <c r="FP1" s="159"/>
    </row>
    <row r="2" spans="1:214" s="160" customFormat="1" ht="30.75" customHeight="1" x14ac:dyDescent="0.25">
      <c r="A2" s="177" t="s">
        <v>91</v>
      </c>
      <c r="B2" s="161">
        <f>B12</f>
        <v>20000</v>
      </c>
      <c r="C2" s="155"/>
      <c r="D2" s="155"/>
      <c r="E2" s="162"/>
      <c r="F2" s="177" t="s">
        <v>91</v>
      </c>
      <c r="G2" s="161">
        <f>G12</f>
        <v>20000</v>
      </c>
      <c r="H2" s="155"/>
      <c r="I2" s="156"/>
      <c r="J2" s="156"/>
      <c r="K2" s="156"/>
      <c r="L2" s="156"/>
      <c r="M2" s="156"/>
      <c r="N2" s="156"/>
      <c r="O2" s="156"/>
      <c r="P2" s="157"/>
      <c r="Q2" s="158"/>
      <c r="R2" s="158"/>
      <c r="S2" s="158"/>
      <c r="T2" s="158"/>
      <c r="U2" s="158"/>
      <c r="V2" s="158"/>
      <c r="W2" s="159"/>
      <c r="X2" s="159"/>
      <c r="Y2" s="159"/>
      <c r="Z2" s="159"/>
      <c r="AA2" s="159"/>
      <c r="AB2" s="159"/>
      <c r="AC2" s="159"/>
      <c r="AD2" s="159"/>
      <c r="AE2" s="159"/>
      <c r="AF2" s="159"/>
      <c r="AG2" s="159"/>
      <c r="AH2" s="159"/>
      <c r="AI2" s="159"/>
      <c r="AJ2" s="159"/>
      <c r="AK2" s="159"/>
      <c r="AL2" s="159"/>
      <c r="AM2" s="159"/>
      <c r="AN2" s="159"/>
      <c r="AO2" s="159"/>
      <c r="AP2" s="159"/>
      <c r="AQ2" s="159"/>
      <c r="AR2" s="159"/>
      <c r="AS2" s="159"/>
      <c r="AT2" s="159"/>
      <c r="AU2" s="159"/>
      <c r="AV2" s="159"/>
      <c r="AW2" s="159"/>
      <c r="AX2" s="159"/>
      <c r="AY2" s="159"/>
      <c r="AZ2" s="159"/>
      <c r="BA2" s="159"/>
      <c r="BB2" s="159"/>
      <c r="BC2" s="159"/>
      <c r="BD2" s="159"/>
      <c r="BE2" s="159"/>
      <c r="BF2" s="159"/>
      <c r="BG2" s="159"/>
      <c r="BH2" s="159"/>
      <c r="BI2" s="159"/>
      <c r="BJ2" s="159"/>
      <c r="BK2" s="159"/>
      <c r="BL2" s="159"/>
      <c r="BM2" s="159"/>
      <c r="BN2" s="159"/>
      <c r="BO2" s="159"/>
      <c r="BP2" s="159"/>
      <c r="BQ2" s="159"/>
      <c r="BR2" s="159"/>
      <c r="BS2" s="159"/>
      <c r="BT2" s="159"/>
      <c r="BU2" s="159"/>
      <c r="BV2" s="159"/>
      <c r="BW2" s="159"/>
      <c r="BX2" s="159"/>
      <c r="BY2" s="159"/>
      <c r="BZ2" s="159"/>
      <c r="CA2" s="159"/>
      <c r="CB2" s="159"/>
      <c r="CC2" s="159"/>
      <c r="CD2" s="159"/>
      <c r="CE2" s="159"/>
      <c r="CF2" s="159"/>
      <c r="CG2" s="159"/>
      <c r="CH2" s="159"/>
      <c r="CI2" s="159"/>
      <c r="CJ2" s="159"/>
      <c r="CK2" s="159"/>
      <c r="CL2" s="159"/>
      <c r="CM2" s="159"/>
      <c r="CN2" s="159"/>
      <c r="CO2" s="159"/>
      <c r="CP2" s="159"/>
      <c r="CQ2" s="159"/>
      <c r="CR2" s="159"/>
      <c r="CS2" s="159"/>
      <c r="CT2" s="159"/>
      <c r="CU2" s="159"/>
      <c r="CV2" s="159"/>
      <c r="CW2" s="159"/>
      <c r="CX2" s="159"/>
      <c r="CY2" s="159"/>
      <c r="CZ2" s="159"/>
      <c r="DA2" s="159"/>
      <c r="DB2" s="159"/>
      <c r="DC2" s="159"/>
      <c r="DD2" s="159"/>
      <c r="DE2" s="159"/>
      <c r="DF2" s="159"/>
      <c r="DG2" s="159"/>
      <c r="DH2" s="159"/>
      <c r="DI2" s="159"/>
      <c r="DJ2" s="159"/>
      <c r="DK2" s="159"/>
      <c r="DL2" s="159"/>
      <c r="DM2" s="159"/>
      <c r="DN2" s="159"/>
      <c r="DO2" s="159"/>
      <c r="DP2" s="159"/>
      <c r="DQ2" s="159"/>
      <c r="DR2" s="159"/>
      <c r="DS2" s="159"/>
      <c r="DT2" s="159"/>
      <c r="DU2" s="159"/>
      <c r="DV2" s="159"/>
      <c r="DW2" s="159"/>
      <c r="DX2" s="159"/>
      <c r="DY2" s="159"/>
      <c r="DZ2" s="159"/>
      <c r="EA2" s="159"/>
      <c r="EB2" s="159"/>
      <c r="EC2" s="159"/>
      <c r="ED2" s="159"/>
      <c r="EE2" s="159"/>
      <c r="EF2" s="159"/>
      <c r="EG2" s="159"/>
      <c r="EH2" s="159"/>
      <c r="EI2" s="159"/>
      <c r="EJ2" s="159"/>
      <c r="EK2" s="159"/>
      <c r="EL2" s="159"/>
      <c r="EM2" s="159"/>
      <c r="EN2" s="159"/>
      <c r="EO2" s="159"/>
      <c r="EP2" s="159"/>
      <c r="EQ2" s="159"/>
      <c r="ER2" s="159"/>
      <c r="ES2" s="159"/>
      <c r="ET2" s="159"/>
      <c r="EU2" s="159"/>
      <c r="EV2" s="159"/>
      <c r="EW2" s="159"/>
      <c r="EX2" s="159"/>
      <c r="EY2" s="159"/>
      <c r="EZ2" s="159"/>
      <c r="FA2" s="159"/>
      <c r="FB2" s="159"/>
      <c r="FC2" s="159"/>
      <c r="FD2" s="159"/>
      <c r="FE2" s="159"/>
      <c r="FF2" s="159"/>
      <c r="FG2" s="159"/>
      <c r="FH2" s="159"/>
      <c r="FI2" s="159"/>
      <c r="FJ2" s="159"/>
      <c r="FK2" s="159"/>
      <c r="FL2" s="159"/>
      <c r="FM2" s="159"/>
      <c r="FN2" s="159"/>
      <c r="FO2" s="159"/>
      <c r="FP2" s="159"/>
    </row>
    <row r="3" spans="1:214" s="160" customFormat="1" ht="30.75" customHeight="1" x14ac:dyDescent="0.25">
      <c r="A3" s="163" t="s">
        <v>90</v>
      </c>
      <c r="B3" s="164">
        <f>SUM(B12:B62)</f>
        <v>20000</v>
      </c>
      <c r="C3" s="155"/>
      <c r="D3" s="155"/>
      <c r="E3" s="162"/>
      <c r="F3" s="163" t="s">
        <v>90</v>
      </c>
      <c r="G3" s="164">
        <f>SUM(G12:G62)</f>
        <v>22007</v>
      </c>
      <c r="H3" s="155"/>
      <c r="I3" s="156"/>
      <c r="J3" s="156"/>
      <c r="K3" s="156"/>
      <c r="L3" s="156"/>
      <c r="M3" s="156"/>
      <c r="N3" s="156"/>
      <c r="O3" s="156"/>
      <c r="P3" s="157"/>
      <c r="Q3" s="158"/>
      <c r="R3" s="158"/>
      <c r="S3" s="158"/>
      <c r="T3" s="158"/>
      <c r="U3" s="158"/>
      <c r="V3" s="158"/>
      <c r="W3" s="159"/>
      <c r="X3" s="159"/>
      <c r="Y3" s="159"/>
      <c r="Z3" s="159"/>
      <c r="AA3" s="159"/>
      <c r="AB3" s="159"/>
      <c r="AC3" s="159"/>
      <c r="AD3" s="159"/>
      <c r="AE3" s="159"/>
      <c r="AF3" s="159"/>
      <c r="AG3" s="159"/>
      <c r="AH3" s="159"/>
      <c r="AI3" s="159"/>
      <c r="AJ3" s="159"/>
      <c r="AK3" s="159"/>
      <c r="AL3" s="159"/>
      <c r="AM3" s="159"/>
      <c r="AN3" s="159"/>
      <c r="AO3" s="159"/>
      <c r="AP3" s="159"/>
      <c r="AQ3" s="159"/>
      <c r="AR3" s="159"/>
      <c r="AS3" s="159"/>
      <c r="AT3" s="159"/>
      <c r="AU3" s="159"/>
      <c r="AV3" s="159"/>
      <c r="AW3" s="159"/>
      <c r="AX3" s="159"/>
      <c r="AY3" s="159"/>
      <c r="AZ3" s="159"/>
      <c r="BA3" s="159"/>
      <c r="BB3" s="159"/>
      <c r="BC3" s="159"/>
      <c r="BD3" s="159"/>
      <c r="BE3" s="159"/>
      <c r="BF3" s="159"/>
      <c r="BG3" s="159"/>
      <c r="BH3" s="159"/>
      <c r="BI3" s="159"/>
      <c r="BJ3" s="159"/>
      <c r="BK3" s="159"/>
      <c r="BL3" s="159"/>
      <c r="BM3" s="159"/>
      <c r="BN3" s="159"/>
      <c r="BO3" s="159"/>
      <c r="BP3" s="159"/>
      <c r="BQ3" s="159"/>
      <c r="BR3" s="159"/>
      <c r="BS3" s="159"/>
      <c r="BT3" s="159"/>
      <c r="BU3" s="159"/>
      <c r="BV3" s="159"/>
      <c r="BW3" s="159"/>
      <c r="BX3" s="159"/>
      <c r="BY3" s="159"/>
      <c r="BZ3" s="159"/>
      <c r="CA3" s="159"/>
      <c r="CB3" s="159"/>
      <c r="CC3" s="159"/>
      <c r="CD3" s="159"/>
      <c r="CE3" s="159"/>
      <c r="CF3" s="159"/>
      <c r="CG3" s="159"/>
      <c r="CH3" s="159"/>
      <c r="CI3" s="159"/>
      <c r="CJ3" s="159"/>
      <c r="CK3" s="159"/>
      <c r="CL3" s="159"/>
      <c r="CM3" s="159"/>
      <c r="CN3" s="159"/>
      <c r="CO3" s="159"/>
      <c r="CP3" s="159"/>
      <c r="CQ3" s="159"/>
      <c r="CR3" s="159"/>
      <c r="CS3" s="159"/>
      <c r="CT3" s="159"/>
      <c r="CU3" s="159"/>
      <c r="CV3" s="159"/>
      <c r="CW3" s="159"/>
      <c r="CX3" s="159"/>
      <c r="CY3" s="159"/>
      <c r="CZ3" s="159"/>
      <c r="DA3" s="159"/>
      <c r="DB3" s="159"/>
      <c r="DC3" s="159"/>
      <c r="DD3" s="159"/>
      <c r="DE3" s="159"/>
      <c r="DF3" s="159"/>
      <c r="DG3" s="159"/>
      <c r="DH3" s="159"/>
      <c r="DI3" s="159"/>
      <c r="DJ3" s="159"/>
      <c r="DK3" s="159"/>
      <c r="DL3" s="159"/>
      <c r="DM3" s="159"/>
      <c r="DN3" s="159"/>
      <c r="DO3" s="159"/>
      <c r="DP3" s="159"/>
      <c r="DQ3" s="159"/>
      <c r="DR3" s="159"/>
      <c r="DS3" s="159"/>
      <c r="DT3" s="159"/>
      <c r="DU3" s="159"/>
      <c r="DV3" s="159"/>
      <c r="DW3" s="159"/>
      <c r="DX3" s="159"/>
      <c r="DY3" s="159"/>
      <c r="DZ3" s="159"/>
      <c r="EA3" s="159"/>
      <c r="EB3" s="159"/>
      <c r="EC3" s="159"/>
      <c r="ED3" s="159"/>
      <c r="EE3" s="159"/>
      <c r="EF3" s="159"/>
      <c r="EG3" s="159"/>
      <c r="EH3" s="159"/>
      <c r="EI3" s="159"/>
      <c r="EJ3" s="159"/>
      <c r="EK3" s="159"/>
      <c r="EL3" s="159"/>
      <c r="EM3" s="159"/>
      <c r="EN3" s="159"/>
      <c r="EO3" s="159"/>
      <c r="EP3" s="159"/>
      <c r="EQ3" s="159"/>
      <c r="ER3" s="159"/>
      <c r="ES3" s="159"/>
      <c r="ET3" s="159"/>
      <c r="EU3" s="159"/>
      <c r="EV3" s="159"/>
      <c r="EW3" s="159"/>
      <c r="EX3" s="159"/>
      <c r="EY3" s="159"/>
      <c r="EZ3" s="159"/>
      <c r="FA3" s="159"/>
      <c r="FB3" s="159"/>
      <c r="FC3" s="159"/>
      <c r="FD3" s="159"/>
      <c r="FE3" s="159"/>
      <c r="FF3" s="159"/>
      <c r="FG3" s="159"/>
      <c r="FH3" s="159"/>
      <c r="FI3" s="159"/>
      <c r="FJ3" s="159"/>
      <c r="FK3" s="159"/>
      <c r="FL3" s="159"/>
      <c r="FM3" s="159"/>
      <c r="FN3" s="159"/>
      <c r="FO3" s="159"/>
      <c r="FP3" s="159"/>
    </row>
    <row r="4" spans="1:214" s="160" customFormat="1" ht="30.75" customHeight="1" x14ac:dyDescent="0.25">
      <c r="A4" s="165" t="s">
        <v>96</v>
      </c>
      <c r="B4" s="166">
        <f>SUM(C12:C48)</f>
        <v>9500</v>
      </c>
      <c r="C4" s="155"/>
      <c r="D4" s="155"/>
      <c r="E4" s="162"/>
      <c r="F4" s="165" t="s">
        <v>96</v>
      </c>
      <c r="G4" s="166">
        <f>SUM(H12:H48)</f>
        <v>7000</v>
      </c>
      <c r="H4" s="155"/>
      <c r="I4" s="156"/>
      <c r="J4" s="156"/>
      <c r="K4" s="156"/>
      <c r="L4" s="156"/>
      <c r="M4" s="156"/>
      <c r="N4" s="156"/>
      <c r="O4" s="156"/>
      <c r="P4" s="157"/>
      <c r="Q4" s="158"/>
      <c r="R4" s="158"/>
      <c r="S4" s="158"/>
      <c r="T4" s="158"/>
      <c r="U4" s="158"/>
      <c r="V4" s="158"/>
      <c r="W4" s="158"/>
      <c r="X4" s="159"/>
      <c r="Y4" s="159"/>
      <c r="Z4" s="159"/>
      <c r="AA4" s="159"/>
      <c r="AB4" s="159"/>
      <c r="AC4" s="159"/>
      <c r="AD4" s="159"/>
      <c r="AE4" s="159"/>
      <c r="AF4" s="159"/>
      <c r="AG4" s="159"/>
      <c r="AH4" s="159"/>
      <c r="AI4" s="159"/>
      <c r="AJ4" s="159"/>
      <c r="AK4" s="159"/>
      <c r="AL4" s="159"/>
      <c r="AM4" s="159"/>
      <c r="AN4" s="159"/>
      <c r="AO4" s="159"/>
      <c r="AP4" s="159"/>
      <c r="AQ4" s="159"/>
      <c r="AR4" s="159"/>
      <c r="AS4" s="159"/>
      <c r="AT4" s="159"/>
      <c r="AU4" s="159"/>
      <c r="AV4" s="159"/>
      <c r="AW4" s="159"/>
      <c r="AX4" s="159"/>
      <c r="AY4" s="159"/>
      <c r="AZ4" s="159"/>
      <c r="BA4" s="159"/>
      <c r="BB4" s="159"/>
      <c r="BC4" s="159"/>
      <c r="BD4" s="159"/>
      <c r="BE4" s="159"/>
      <c r="BF4" s="159"/>
      <c r="BG4" s="159"/>
      <c r="BH4" s="159"/>
      <c r="BI4" s="159"/>
      <c r="BJ4" s="159"/>
      <c r="BK4" s="159"/>
      <c r="BL4" s="159"/>
      <c r="BM4" s="159"/>
      <c r="BN4" s="159"/>
      <c r="BO4" s="159"/>
      <c r="BP4" s="159"/>
      <c r="BQ4" s="159"/>
      <c r="BR4" s="159"/>
      <c r="BS4" s="159"/>
      <c r="BT4" s="159"/>
      <c r="BU4" s="159"/>
      <c r="BV4" s="159"/>
      <c r="BW4" s="159"/>
      <c r="BX4" s="159"/>
      <c r="BY4" s="159"/>
      <c r="BZ4" s="159"/>
      <c r="CA4" s="159"/>
      <c r="CB4" s="159"/>
      <c r="CC4" s="159"/>
      <c r="CD4" s="159"/>
      <c r="CE4" s="159"/>
      <c r="CF4" s="159"/>
      <c r="CG4" s="159"/>
      <c r="CH4" s="159"/>
      <c r="CI4" s="159"/>
      <c r="CJ4" s="159"/>
      <c r="CK4" s="159"/>
      <c r="CL4" s="159"/>
      <c r="CM4" s="159"/>
      <c r="CN4" s="159"/>
      <c r="CO4" s="159"/>
      <c r="CP4" s="159"/>
      <c r="CQ4" s="159"/>
      <c r="CR4" s="159"/>
      <c r="CS4" s="159"/>
      <c r="CT4" s="159"/>
      <c r="CU4" s="159"/>
      <c r="CV4" s="159"/>
      <c r="CW4" s="159"/>
      <c r="CX4" s="159"/>
      <c r="CY4" s="159"/>
      <c r="CZ4" s="159"/>
      <c r="DA4" s="159"/>
      <c r="DB4" s="159"/>
      <c r="DC4" s="159"/>
      <c r="DD4" s="159"/>
      <c r="DE4" s="159"/>
      <c r="DF4" s="159"/>
      <c r="DG4" s="159"/>
      <c r="DH4" s="159"/>
      <c r="DI4" s="159"/>
      <c r="DJ4" s="159"/>
      <c r="DK4" s="159"/>
      <c r="DL4" s="159"/>
      <c r="DM4" s="159"/>
      <c r="DN4" s="159"/>
      <c r="DO4" s="159"/>
      <c r="DP4" s="159"/>
      <c r="DQ4" s="159"/>
      <c r="DR4" s="159"/>
      <c r="DS4" s="159"/>
      <c r="DT4" s="159"/>
      <c r="DU4" s="159"/>
      <c r="DV4" s="159"/>
      <c r="DW4" s="159"/>
      <c r="DX4" s="159"/>
      <c r="DY4" s="159"/>
      <c r="DZ4" s="159"/>
      <c r="EA4" s="159"/>
      <c r="EB4" s="159"/>
      <c r="EC4" s="159"/>
      <c r="ED4" s="159"/>
      <c r="EE4" s="159"/>
      <c r="EF4" s="159"/>
      <c r="EG4" s="159"/>
      <c r="EH4" s="159"/>
      <c r="EI4" s="159"/>
      <c r="EJ4" s="159"/>
      <c r="EK4" s="159"/>
      <c r="EL4" s="159"/>
      <c r="EM4" s="159"/>
      <c r="EN4" s="159"/>
      <c r="EO4" s="159"/>
      <c r="EP4" s="159"/>
      <c r="EQ4" s="159"/>
      <c r="ER4" s="159"/>
      <c r="ES4" s="159"/>
      <c r="ET4" s="159"/>
      <c r="EU4" s="159"/>
      <c r="EV4" s="159"/>
      <c r="EW4" s="159"/>
      <c r="EX4" s="159"/>
      <c r="EY4" s="159"/>
      <c r="EZ4" s="159"/>
      <c r="FA4" s="159"/>
      <c r="FB4" s="159"/>
      <c r="FC4" s="159"/>
      <c r="FD4" s="159"/>
      <c r="FE4" s="159"/>
      <c r="FF4" s="159"/>
      <c r="FG4" s="159"/>
      <c r="FH4" s="159"/>
      <c r="FI4" s="159"/>
      <c r="FJ4" s="159"/>
      <c r="FK4" s="159"/>
      <c r="FL4" s="159"/>
      <c r="FM4" s="159"/>
      <c r="FN4" s="159"/>
      <c r="FO4" s="159"/>
      <c r="FP4" s="159"/>
    </row>
    <row r="5" spans="1:214" s="160" customFormat="1" ht="30.75" customHeight="1" x14ac:dyDescent="0.25">
      <c r="A5" s="167" t="s">
        <v>93</v>
      </c>
      <c r="B5" s="168">
        <f>SUM(B2:B3) - B4</f>
        <v>30500</v>
      </c>
      <c r="C5" s="155"/>
      <c r="D5" s="155"/>
      <c r="E5" s="162"/>
      <c r="F5" s="167" t="s">
        <v>93</v>
      </c>
      <c r="G5" s="168">
        <f>SUM(G2:G3) - G4</f>
        <v>35007</v>
      </c>
      <c r="H5" s="155"/>
      <c r="I5" s="156"/>
      <c r="J5" s="156"/>
      <c r="K5" s="156"/>
      <c r="L5" s="156"/>
      <c r="M5" s="156"/>
      <c r="N5" s="156"/>
      <c r="O5" s="156"/>
      <c r="P5" s="157"/>
      <c r="Q5" s="158"/>
      <c r="R5" s="158"/>
      <c r="S5" s="158"/>
      <c r="T5" s="158"/>
      <c r="U5" s="158"/>
      <c r="V5" s="158"/>
      <c r="W5" s="158"/>
      <c r="X5" s="159"/>
      <c r="Y5" s="159"/>
      <c r="Z5" s="159"/>
      <c r="AA5" s="159"/>
      <c r="AB5" s="159"/>
      <c r="AC5" s="159"/>
      <c r="AD5" s="159"/>
      <c r="AE5" s="159"/>
      <c r="AF5" s="159"/>
      <c r="AG5" s="159"/>
      <c r="AH5" s="159"/>
      <c r="AI5" s="159"/>
      <c r="AJ5" s="159"/>
      <c r="AK5" s="159"/>
      <c r="AL5" s="159"/>
      <c r="AM5" s="159"/>
      <c r="AN5" s="159"/>
      <c r="AO5" s="159"/>
      <c r="AP5" s="159"/>
      <c r="AQ5" s="159"/>
      <c r="AR5" s="159"/>
      <c r="AS5" s="159"/>
      <c r="AT5" s="159"/>
      <c r="AU5" s="159"/>
      <c r="AV5" s="159"/>
      <c r="AW5" s="159"/>
      <c r="AX5" s="159"/>
      <c r="AY5" s="159"/>
      <c r="AZ5" s="159"/>
      <c r="BA5" s="159"/>
      <c r="BB5" s="159"/>
      <c r="BC5" s="159"/>
      <c r="BD5" s="159"/>
      <c r="BE5" s="159"/>
      <c r="BF5" s="159"/>
      <c r="BG5" s="159"/>
      <c r="BH5" s="159"/>
      <c r="BI5" s="159"/>
      <c r="BJ5" s="159"/>
      <c r="BK5" s="159"/>
      <c r="BL5" s="159"/>
      <c r="BM5" s="159"/>
      <c r="BN5" s="159"/>
      <c r="BO5" s="159"/>
      <c r="BP5" s="159"/>
      <c r="BQ5" s="159"/>
      <c r="BR5" s="159"/>
      <c r="BS5" s="159"/>
      <c r="BT5" s="159"/>
      <c r="BU5" s="159"/>
      <c r="BV5" s="159"/>
      <c r="BW5" s="159"/>
      <c r="BX5" s="159"/>
      <c r="BY5" s="159"/>
      <c r="BZ5" s="159"/>
      <c r="CA5" s="159"/>
      <c r="CB5" s="159"/>
      <c r="CC5" s="159"/>
      <c r="CD5" s="159"/>
      <c r="CE5" s="159"/>
      <c r="CF5" s="159"/>
      <c r="CG5" s="159"/>
      <c r="CH5" s="159"/>
      <c r="CI5" s="159"/>
      <c r="CJ5" s="159"/>
      <c r="CK5" s="159"/>
      <c r="CL5" s="159"/>
      <c r="CM5" s="159"/>
      <c r="CN5" s="159"/>
      <c r="CO5" s="159"/>
      <c r="CP5" s="159"/>
      <c r="CQ5" s="159"/>
      <c r="CR5" s="159"/>
      <c r="CS5" s="159"/>
      <c r="CT5" s="159"/>
      <c r="CU5" s="159"/>
      <c r="CV5" s="159"/>
      <c r="CW5" s="159"/>
      <c r="CX5" s="159"/>
      <c r="CY5" s="159"/>
      <c r="CZ5" s="159"/>
      <c r="DA5" s="159"/>
      <c r="DB5" s="159"/>
      <c r="DC5" s="159"/>
      <c r="DD5" s="159"/>
      <c r="DE5" s="159"/>
      <c r="DF5" s="159"/>
      <c r="DG5" s="159"/>
      <c r="DH5" s="159"/>
      <c r="DI5" s="159"/>
      <c r="DJ5" s="159"/>
      <c r="DK5" s="159"/>
      <c r="DL5" s="159"/>
      <c r="DM5" s="159"/>
      <c r="DN5" s="159"/>
      <c r="DO5" s="159"/>
      <c r="DP5" s="159"/>
      <c r="DQ5" s="159"/>
      <c r="DR5" s="159"/>
      <c r="DS5" s="159"/>
      <c r="DT5" s="159"/>
      <c r="DU5" s="159"/>
      <c r="DV5" s="159"/>
      <c r="DW5" s="159"/>
      <c r="DX5" s="159"/>
      <c r="DY5" s="159"/>
      <c r="DZ5" s="159"/>
      <c r="EA5" s="159"/>
      <c r="EB5" s="159"/>
      <c r="EC5" s="159"/>
      <c r="ED5" s="159"/>
      <c r="EE5" s="159"/>
      <c r="EF5" s="159"/>
      <c r="EG5" s="159"/>
      <c r="EH5" s="159"/>
      <c r="EI5" s="159"/>
      <c r="EJ5" s="159"/>
      <c r="EK5" s="159"/>
      <c r="EL5" s="159"/>
      <c r="EM5" s="159"/>
      <c r="EN5" s="159"/>
      <c r="EO5" s="159"/>
      <c r="EP5" s="159"/>
      <c r="EQ5" s="159"/>
      <c r="ER5" s="159"/>
      <c r="ES5" s="159"/>
      <c r="ET5" s="159"/>
      <c r="EU5" s="159"/>
      <c r="EV5" s="159"/>
      <c r="EW5" s="159"/>
      <c r="EX5" s="159"/>
      <c r="EY5" s="159"/>
      <c r="EZ5" s="159"/>
      <c r="FA5" s="159"/>
      <c r="FB5" s="159"/>
      <c r="FC5" s="159"/>
      <c r="FD5" s="159"/>
      <c r="FE5" s="159"/>
      <c r="FF5" s="159"/>
      <c r="FG5" s="159"/>
      <c r="FH5" s="159"/>
      <c r="FI5" s="159"/>
      <c r="FJ5" s="159"/>
      <c r="FK5" s="159"/>
      <c r="FL5" s="159"/>
      <c r="FM5" s="159"/>
      <c r="FN5" s="159"/>
      <c r="FO5" s="159"/>
      <c r="FP5" s="159"/>
    </row>
    <row r="6" spans="1:214" s="160" customFormat="1" ht="30.75" customHeight="1" x14ac:dyDescent="0.25">
      <c r="A6" s="169" t="s">
        <v>15</v>
      </c>
      <c r="B6" s="170">
        <f>SUM(D12:D46)</f>
        <v>5385</v>
      </c>
      <c r="C6" s="155"/>
      <c r="D6" s="155"/>
      <c r="E6" s="162"/>
      <c r="F6" s="169" t="s">
        <v>15</v>
      </c>
      <c r="G6" s="170">
        <f>SUM(I12:I46)</f>
        <v>7710</v>
      </c>
      <c r="H6" s="155"/>
      <c r="I6" s="156"/>
      <c r="J6" s="156"/>
      <c r="K6" s="156"/>
      <c r="L6" s="156"/>
      <c r="M6" s="156"/>
      <c r="N6" s="156"/>
      <c r="O6" s="156"/>
      <c r="P6" s="157"/>
      <c r="Q6" s="158"/>
      <c r="R6" s="158"/>
      <c r="S6" s="158"/>
      <c r="T6" s="158"/>
      <c r="U6" s="158"/>
      <c r="V6" s="158"/>
      <c r="W6" s="158"/>
      <c r="X6" s="159"/>
      <c r="Y6" s="159"/>
      <c r="Z6" s="159"/>
      <c r="AA6" s="159"/>
      <c r="AB6" s="159"/>
      <c r="AC6" s="159"/>
      <c r="AD6" s="159"/>
      <c r="AE6" s="159"/>
      <c r="AF6" s="159"/>
      <c r="AG6" s="159"/>
      <c r="AH6" s="159"/>
      <c r="AI6" s="159"/>
      <c r="AJ6" s="159"/>
      <c r="AK6" s="159"/>
      <c r="AL6" s="159"/>
      <c r="AM6" s="159"/>
      <c r="AN6" s="159"/>
      <c r="AO6" s="159"/>
      <c r="AP6" s="159"/>
      <c r="AQ6" s="159"/>
      <c r="AR6" s="159"/>
      <c r="AS6" s="159"/>
      <c r="AT6" s="159"/>
      <c r="AU6" s="159"/>
      <c r="AV6" s="159"/>
      <c r="AW6" s="159"/>
      <c r="AX6" s="159"/>
      <c r="AY6" s="159"/>
      <c r="AZ6" s="159"/>
      <c r="BA6" s="159"/>
      <c r="BB6" s="159"/>
      <c r="BC6" s="159"/>
      <c r="BD6" s="159"/>
      <c r="BE6" s="159"/>
      <c r="BF6" s="159"/>
      <c r="BG6" s="159"/>
      <c r="BH6" s="159"/>
      <c r="BI6" s="159"/>
      <c r="BJ6" s="159"/>
      <c r="BK6" s="159"/>
      <c r="BL6" s="159"/>
      <c r="BM6" s="159"/>
      <c r="BN6" s="159"/>
      <c r="BO6" s="159"/>
      <c r="BP6" s="159"/>
      <c r="BQ6" s="159"/>
      <c r="BR6" s="159"/>
      <c r="BS6" s="159"/>
      <c r="BT6" s="159"/>
      <c r="BU6" s="159"/>
      <c r="BV6" s="159"/>
      <c r="BW6" s="159"/>
      <c r="BX6" s="159"/>
      <c r="BY6" s="159"/>
      <c r="BZ6" s="159"/>
      <c r="CA6" s="159"/>
      <c r="CB6" s="159"/>
      <c r="CC6" s="159"/>
      <c r="CD6" s="159"/>
      <c r="CE6" s="159"/>
      <c r="CF6" s="159"/>
      <c r="CG6" s="159"/>
      <c r="CH6" s="159"/>
      <c r="CI6" s="159"/>
      <c r="CJ6" s="159"/>
      <c r="CK6" s="159"/>
      <c r="CL6" s="159"/>
      <c r="CM6" s="159"/>
      <c r="CN6" s="159"/>
      <c r="CO6" s="159"/>
      <c r="CP6" s="159"/>
      <c r="CQ6" s="159"/>
      <c r="CR6" s="159"/>
      <c r="CS6" s="159"/>
      <c r="CT6" s="159"/>
      <c r="CU6" s="159"/>
      <c r="CV6" s="159"/>
      <c r="CW6" s="159"/>
      <c r="CX6" s="159"/>
      <c r="CY6" s="159"/>
      <c r="CZ6" s="159"/>
      <c r="DA6" s="159"/>
      <c r="DB6" s="159"/>
      <c r="DC6" s="159"/>
      <c r="DD6" s="159"/>
      <c r="DE6" s="159"/>
      <c r="DF6" s="159"/>
      <c r="DG6" s="159"/>
      <c r="DH6" s="159"/>
      <c r="DI6" s="159"/>
      <c r="DJ6" s="159"/>
      <c r="DK6" s="159"/>
      <c r="DL6" s="159"/>
      <c r="DM6" s="159"/>
      <c r="DN6" s="159"/>
      <c r="DO6" s="159"/>
      <c r="DP6" s="159"/>
      <c r="DQ6" s="159"/>
      <c r="DR6" s="159"/>
      <c r="DS6" s="159"/>
      <c r="DT6" s="159"/>
      <c r="DU6" s="159"/>
      <c r="DV6" s="159"/>
      <c r="DW6" s="159"/>
      <c r="DX6" s="159"/>
      <c r="DY6" s="159"/>
      <c r="DZ6" s="159"/>
      <c r="EA6" s="159"/>
      <c r="EB6" s="159"/>
      <c r="EC6" s="159"/>
      <c r="ED6" s="159"/>
      <c r="EE6" s="159"/>
      <c r="EF6" s="159"/>
      <c r="EG6" s="159"/>
      <c r="EH6" s="159"/>
      <c r="EI6" s="159"/>
      <c r="EJ6" s="159"/>
      <c r="EK6" s="159"/>
      <c r="EL6" s="159"/>
      <c r="EM6" s="159"/>
      <c r="EN6" s="159"/>
      <c r="EO6" s="159"/>
      <c r="EP6" s="159"/>
      <c r="EQ6" s="159"/>
      <c r="ER6" s="159"/>
      <c r="ES6" s="159"/>
      <c r="ET6" s="159"/>
      <c r="EU6" s="159"/>
      <c r="EV6" s="159"/>
      <c r="EW6" s="159"/>
      <c r="EX6" s="159"/>
      <c r="EY6" s="159"/>
      <c r="EZ6" s="159"/>
      <c r="FA6" s="159"/>
      <c r="FB6" s="159"/>
      <c r="FC6" s="159"/>
      <c r="FD6" s="159"/>
      <c r="FE6" s="159"/>
      <c r="FF6" s="159"/>
      <c r="FG6" s="159"/>
      <c r="FH6" s="159"/>
      <c r="FI6" s="159"/>
      <c r="FJ6" s="159"/>
      <c r="FK6" s="159"/>
      <c r="FL6" s="159"/>
      <c r="FM6" s="159"/>
      <c r="FN6" s="159"/>
      <c r="FO6" s="159"/>
      <c r="FP6" s="159"/>
    </row>
    <row r="7" spans="1:214" s="160" customFormat="1" ht="30.75" customHeight="1" x14ac:dyDescent="0.25">
      <c r="A7" s="171" t="s">
        <v>86</v>
      </c>
      <c r="B7" s="172">
        <f>SUM(E12:E46)</f>
        <v>1170</v>
      </c>
      <c r="C7" s="155"/>
      <c r="D7" s="155"/>
      <c r="E7" s="162"/>
      <c r="F7" s="171" t="s">
        <v>86</v>
      </c>
      <c r="G7" s="172">
        <f>SUM(J12:J46)</f>
        <v>7710</v>
      </c>
      <c r="H7" s="155"/>
      <c r="I7" s="156"/>
      <c r="J7" s="156"/>
      <c r="K7" s="156"/>
      <c r="L7" s="156"/>
      <c r="M7" s="156"/>
      <c r="N7" s="156"/>
      <c r="O7" s="156"/>
      <c r="P7" s="157"/>
      <c r="Q7" s="158"/>
      <c r="R7" s="158"/>
      <c r="S7" s="158"/>
      <c r="T7" s="158"/>
      <c r="U7" s="158"/>
      <c r="V7" s="158"/>
      <c r="W7" s="158"/>
      <c r="X7" s="159"/>
      <c r="Y7" s="159"/>
      <c r="Z7" s="159"/>
      <c r="AA7" s="159"/>
      <c r="AB7" s="159"/>
      <c r="AC7" s="159"/>
      <c r="AD7" s="159"/>
      <c r="AE7" s="159"/>
      <c r="AF7" s="159"/>
      <c r="AG7" s="159"/>
      <c r="AH7" s="159"/>
      <c r="AI7" s="159"/>
      <c r="AJ7" s="159"/>
      <c r="AK7" s="159"/>
      <c r="AL7" s="159"/>
      <c r="AM7" s="159"/>
      <c r="AN7" s="159"/>
      <c r="AO7" s="159"/>
      <c r="AP7" s="159"/>
      <c r="AQ7" s="159"/>
      <c r="AR7" s="159"/>
      <c r="AS7" s="159"/>
      <c r="AT7" s="159"/>
      <c r="AU7" s="159"/>
      <c r="AV7" s="159"/>
      <c r="AW7" s="159"/>
      <c r="AX7" s="159"/>
      <c r="AY7" s="159"/>
      <c r="AZ7" s="159"/>
      <c r="BA7" s="159"/>
      <c r="BB7" s="159"/>
      <c r="BC7" s="159"/>
      <c r="BD7" s="159"/>
      <c r="BE7" s="159"/>
      <c r="BF7" s="159"/>
      <c r="BG7" s="159"/>
      <c r="BH7" s="159"/>
      <c r="BI7" s="159"/>
      <c r="BJ7" s="159"/>
      <c r="BK7" s="159"/>
      <c r="BL7" s="159"/>
      <c r="BM7" s="159"/>
      <c r="BN7" s="159"/>
      <c r="BO7" s="159"/>
      <c r="BP7" s="159"/>
      <c r="BQ7" s="159"/>
      <c r="BR7" s="159"/>
      <c r="BS7" s="159"/>
      <c r="BT7" s="159"/>
      <c r="BU7" s="159"/>
      <c r="BV7" s="159"/>
      <c r="BW7" s="159"/>
      <c r="BX7" s="159"/>
      <c r="BY7" s="159"/>
      <c r="BZ7" s="159"/>
      <c r="CA7" s="159"/>
      <c r="CB7" s="159"/>
      <c r="CC7" s="159"/>
      <c r="CD7" s="159"/>
      <c r="CE7" s="159"/>
      <c r="CF7" s="159"/>
      <c r="CG7" s="159"/>
      <c r="CH7" s="159"/>
      <c r="CI7" s="159"/>
      <c r="CJ7" s="159"/>
      <c r="CK7" s="159"/>
      <c r="CL7" s="159"/>
      <c r="CM7" s="159"/>
      <c r="CN7" s="159"/>
      <c r="CO7" s="159"/>
      <c r="CP7" s="159"/>
      <c r="CQ7" s="159"/>
      <c r="CR7" s="159"/>
      <c r="CS7" s="159"/>
      <c r="CT7" s="159"/>
      <c r="CU7" s="159"/>
      <c r="CV7" s="159"/>
      <c r="CW7" s="159"/>
      <c r="CX7" s="159"/>
      <c r="CY7" s="159"/>
      <c r="CZ7" s="159"/>
      <c r="DA7" s="159"/>
      <c r="DB7" s="159"/>
      <c r="DC7" s="159"/>
      <c r="DD7" s="159"/>
      <c r="DE7" s="159"/>
      <c r="DF7" s="159"/>
      <c r="DG7" s="159"/>
      <c r="DH7" s="159"/>
      <c r="DI7" s="159"/>
      <c r="DJ7" s="159"/>
      <c r="DK7" s="159"/>
      <c r="DL7" s="159"/>
      <c r="DM7" s="159"/>
      <c r="DN7" s="159"/>
      <c r="DO7" s="159"/>
      <c r="DP7" s="159"/>
      <c r="DQ7" s="159"/>
      <c r="DR7" s="159"/>
      <c r="DS7" s="159"/>
      <c r="DT7" s="159"/>
      <c r="DU7" s="159"/>
      <c r="DV7" s="159"/>
      <c r="DW7" s="159"/>
      <c r="DX7" s="159"/>
      <c r="DY7" s="159"/>
      <c r="DZ7" s="159"/>
      <c r="EA7" s="159"/>
      <c r="EB7" s="159"/>
      <c r="EC7" s="159"/>
      <c r="ED7" s="159"/>
      <c r="EE7" s="159"/>
      <c r="EF7" s="159"/>
      <c r="EG7" s="159"/>
      <c r="EH7" s="159"/>
      <c r="EI7" s="159"/>
      <c r="EJ7" s="159"/>
      <c r="EK7" s="159"/>
      <c r="EL7" s="159"/>
      <c r="EM7" s="159"/>
      <c r="EN7" s="159"/>
      <c r="EO7" s="159"/>
      <c r="EP7" s="159"/>
      <c r="EQ7" s="159"/>
      <c r="ER7" s="159"/>
      <c r="ES7" s="159"/>
      <c r="ET7" s="159"/>
      <c r="EU7" s="159"/>
      <c r="EV7" s="159"/>
      <c r="EW7" s="159"/>
      <c r="EX7" s="159"/>
      <c r="EY7" s="159"/>
      <c r="EZ7" s="159"/>
      <c r="FA7" s="159"/>
      <c r="FB7" s="159"/>
      <c r="FC7" s="159"/>
      <c r="FD7" s="159"/>
      <c r="FE7" s="159"/>
      <c r="FF7" s="159"/>
      <c r="FG7" s="159"/>
      <c r="FH7" s="159"/>
      <c r="FI7" s="159"/>
      <c r="FJ7" s="159"/>
      <c r="FK7" s="159"/>
      <c r="FL7" s="159"/>
      <c r="FM7" s="159"/>
      <c r="FN7" s="159"/>
      <c r="FO7" s="159"/>
      <c r="FP7" s="159"/>
    </row>
    <row r="8" spans="1:214" s="160" customFormat="1" ht="30.75" customHeight="1" x14ac:dyDescent="0.25">
      <c r="A8" s="167" t="s">
        <v>16</v>
      </c>
      <c r="B8" s="168">
        <f>B6-B7</f>
        <v>4215</v>
      </c>
      <c r="C8" s="155"/>
      <c r="D8" s="155"/>
      <c r="E8" s="162"/>
      <c r="F8" s="167" t="s">
        <v>16</v>
      </c>
      <c r="G8" s="168">
        <f>G6-G7</f>
        <v>0</v>
      </c>
      <c r="H8" s="155"/>
      <c r="I8" s="156"/>
      <c r="J8" s="156"/>
      <c r="K8" s="156"/>
      <c r="L8" s="156"/>
      <c r="M8" s="156"/>
      <c r="N8" s="156"/>
      <c r="O8" s="156"/>
      <c r="P8" s="157"/>
      <c r="Q8" s="158"/>
      <c r="R8" s="158"/>
      <c r="S8" s="158"/>
      <c r="T8" s="158"/>
      <c r="U8" s="158"/>
      <c r="V8" s="158"/>
      <c r="W8" s="158"/>
      <c r="X8" s="159"/>
      <c r="Y8" s="159"/>
      <c r="Z8" s="159"/>
      <c r="AA8" s="159"/>
      <c r="AB8" s="159"/>
      <c r="AC8" s="159"/>
      <c r="AD8" s="159"/>
      <c r="AE8" s="159"/>
      <c r="AF8" s="159"/>
      <c r="AG8" s="159"/>
      <c r="AH8" s="159"/>
      <c r="AI8" s="159"/>
      <c r="AJ8" s="159"/>
      <c r="AK8" s="159"/>
      <c r="AL8" s="159"/>
      <c r="AM8" s="159"/>
      <c r="AN8" s="159"/>
      <c r="AO8" s="159"/>
      <c r="AP8" s="159"/>
      <c r="AQ8" s="159"/>
      <c r="AR8" s="159"/>
      <c r="AS8" s="159"/>
      <c r="AT8" s="159"/>
      <c r="AU8" s="159"/>
      <c r="AV8" s="159"/>
      <c r="AW8" s="159"/>
      <c r="AX8" s="159"/>
      <c r="AY8" s="159"/>
      <c r="AZ8" s="159"/>
      <c r="BA8" s="159"/>
      <c r="BB8" s="159"/>
      <c r="BC8" s="159"/>
      <c r="BD8" s="159"/>
      <c r="BE8" s="159"/>
      <c r="BF8" s="159"/>
      <c r="BG8" s="159"/>
      <c r="BH8" s="159"/>
      <c r="BI8" s="159"/>
      <c r="BJ8" s="159"/>
      <c r="BK8" s="159"/>
      <c r="BL8" s="159"/>
      <c r="BM8" s="159"/>
      <c r="BN8" s="159"/>
      <c r="BO8" s="159"/>
      <c r="BP8" s="159"/>
      <c r="BQ8" s="159"/>
      <c r="BR8" s="159"/>
      <c r="BS8" s="159"/>
      <c r="BT8" s="159"/>
      <c r="BU8" s="159"/>
      <c r="BV8" s="159"/>
      <c r="BW8" s="159"/>
      <c r="BX8" s="159"/>
      <c r="BY8" s="159"/>
      <c r="BZ8" s="159"/>
      <c r="CA8" s="159"/>
      <c r="CB8" s="159"/>
      <c r="CC8" s="159"/>
      <c r="CD8" s="159"/>
      <c r="CE8" s="159"/>
      <c r="CF8" s="159"/>
      <c r="CG8" s="159"/>
      <c r="CH8" s="159"/>
      <c r="CI8" s="159"/>
      <c r="CJ8" s="159"/>
      <c r="CK8" s="159"/>
      <c r="CL8" s="159"/>
      <c r="CM8" s="159"/>
      <c r="CN8" s="159"/>
      <c r="CO8" s="159"/>
      <c r="CP8" s="159"/>
      <c r="CQ8" s="159"/>
      <c r="CR8" s="159"/>
      <c r="CS8" s="159"/>
      <c r="CT8" s="159"/>
      <c r="CU8" s="159"/>
      <c r="CV8" s="159"/>
      <c r="CW8" s="159"/>
      <c r="CX8" s="159"/>
      <c r="CY8" s="159"/>
      <c r="CZ8" s="159"/>
      <c r="DA8" s="159"/>
      <c r="DB8" s="159"/>
      <c r="DC8" s="159"/>
      <c r="DD8" s="159"/>
      <c r="DE8" s="159"/>
      <c r="DF8" s="159"/>
      <c r="DG8" s="159"/>
      <c r="DH8" s="159"/>
      <c r="DI8" s="159"/>
      <c r="DJ8" s="159"/>
      <c r="DK8" s="159"/>
      <c r="DL8" s="159"/>
      <c r="DM8" s="159"/>
      <c r="DN8" s="159"/>
      <c r="DO8" s="159"/>
      <c r="DP8" s="159"/>
      <c r="DQ8" s="159"/>
      <c r="DR8" s="159"/>
      <c r="DS8" s="159"/>
      <c r="DT8" s="159"/>
      <c r="DU8" s="159"/>
      <c r="DV8" s="159"/>
      <c r="DW8" s="159"/>
      <c r="DX8" s="159"/>
      <c r="DY8" s="159"/>
      <c r="DZ8" s="159"/>
      <c r="EA8" s="159"/>
      <c r="EB8" s="159"/>
      <c r="EC8" s="159"/>
      <c r="ED8" s="159"/>
      <c r="EE8" s="159"/>
      <c r="EF8" s="159"/>
      <c r="EG8" s="159"/>
      <c r="EH8" s="159"/>
      <c r="EI8" s="159"/>
      <c r="EJ8" s="159"/>
      <c r="EK8" s="159"/>
      <c r="EL8" s="159"/>
      <c r="EM8" s="159"/>
      <c r="EN8" s="159"/>
      <c r="EO8" s="159"/>
      <c r="EP8" s="159"/>
      <c r="EQ8" s="159"/>
      <c r="ER8" s="159"/>
      <c r="ES8" s="159"/>
      <c r="ET8" s="159"/>
      <c r="EU8" s="159"/>
      <c r="EV8" s="159"/>
      <c r="EW8" s="159"/>
      <c r="EX8" s="159"/>
      <c r="EY8" s="159"/>
      <c r="EZ8" s="159"/>
      <c r="FA8" s="159"/>
      <c r="FB8" s="159"/>
      <c r="FC8" s="159"/>
      <c r="FD8" s="159"/>
      <c r="FE8" s="159"/>
      <c r="FF8" s="159"/>
      <c r="FG8" s="159"/>
      <c r="FH8" s="159"/>
      <c r="FI8" s="159"/>
      <c r="FJ8" s="159"/>
      <c r="FK8" s="159"/>
      <c r="FL8" s="159"/>
      <c r="FM8" s="159"/>
      <c r="FN8" s="159"/>
      <c r="FO8" s="159"/>
      <c r="FP8" s="159"/>
    </row>
    <row r="9" spans="1:214" s="160" customFormat="1" ht="30.75" customHeight="1" x14ac:dyDescent="0.25">
      <c r="A9" s="173" t="s">
        <v>85</v>
      </c>
      <c r="B9" s="174">
        <f>B5 + B8</f>
        <v>34715</v>
      </c>
      <c r="C9" s="156"/>
      <c r="D9" s="156"/>
      <c r="E9" s="162"/>
      <c r="F9" s="173" t="s">
        <v>85</v>
      </c>
      <c r="G9" s="174">
        <f>G5 + G8</f>
        <v>35007</v>
      </c>
      <c r="H9" s="156"/>
      <c r="I9" s="156"/>
      <c r="J9" s="156"/>
      <c r="K9" s="156"/>
      <c r="L9" s="156"/>
      <c r="M9" s="156"/>
      <c r="N9" s="156"/>
      <c r="O9" s="156"/>
      <c r="P9" s="157"/>
      <c r="Q9" s="158"/>
      <c r="R9" s="158"/>
      <c r="S9" s="158"/>
      <c r="T9" s="158"/>
      <c r="U9" s="158"/>
      <c r="V9" s="158"/>
      <c r="W9" s="158"/>
      <c r="X9" s="159"/>
      <c r="Y9" s="159"/>
      <c r="Z9" s="159"/>
      <c r="AA9" s="159"/>
      <c r="AB9" s="159"/>
      <c r="AC9" s="159"/>
      <c r="AD9" s="159"/>
      <c r="AE9" s="159"/>
      <c r="AF9" s="159"/>
      <c r="AG9" s="159"/>
      <c r="AH9" s="159"/>
      <c r="AI9" s="159"/>
      <c r="AJ9" s="159"/>
      <c r="AK9" s="159"/>
      <c r="AL9" s="159"/>
      <c r="AM9" s="159"/>
      <c r="AN9" s="159"/>
      <c r="AO9" s="159"/>
      <c r="AP9" s="159"/>
      <c r="AQ9" s="159"/>
      <c r="AR9" s="159"/>
      <c r="AS9" s="159"/>
      <c r="AT9" s="159"/>
      <c r="AU9" s="159"/>
      <c r="AV9" s="159"/>
      <c r="AW9" s="159"/>
      <c r="AX9" s="159"/>
      <c r="AY9" s="159"/>
      <c r="AZ9" s="159"/>
      <c r="BA9" s="159"/>
      <c r="BB9" s="159"/>
      <c r="BC9" s="159"/>
      <c r="BD9" s="159"/>
      <c r="BE9" s="159"/>
      <c r="BF9" s="159"/>
      <c r="BG9" s="159"/>
      <c r="BH9" s="159"/>
      <c r="BI9" s="159"/>
      <c r="BJ9" s="159"/>
      <c r="BK9" s="159"/>
      <c r="BL9" s="159"/>
      <c r="BM9" s="159"/>
      <c r="BN9" s="159"/>
      <c r="BO9" s="159"/>
      <c r="BP9" s="159"/>
      <c r="BQ9" s="159"/>
      <c r="BR9" s="159"/>
      <c r="BS9" s="159"/>
      <c r="BT9" s="159"/>
      <c r="BU9" s="159"/>
      <c r="BV9" s="159"/>
      <c r="BW9" s="159"/>
      <c r="BX9" s="159"/>
      <c r="BY9" s="159"/>
      <c r="BZ9" s="159"/>
      <c r="CA9" s="159"/>
      <c r="CB9" s="159"/>
      <c r="CC9" s="159"/>
      <c r="CD9" s="159"/>
      <c r="CE9" s="159"/>
      <c r="CF9" s="159"/>
      <c r="CG9" s="159"/>
      <c r="CH9" s="159"/>
      <c r="CI9" s="159"/>
      <c r="CJ9" s="159"/>
      <c r="CK9" s="159"/>
      <c r="CL9" s="159"/>
      <c r="CM9" s="159"/>
      <c r="CN9" s="159"/>
      <c r="CO9" s="159"/>
      <c r="CP9" s="159"/>
      <c r="CQ9" s="159"/>
      <c r="CR9" s="159"/>
      <c r="CS9" s="159"/>
      <c r="CT9" s="159"/>
      <c r="CU9" s="159"/>
      <c r="CV9" s="159"/>
      <c r="CW9" s="159"/>
      <c r="CX9" s="159"/>
      <c r="CY9" s="159"/>
      <c r="CZ9" s="159"/>
      <c r="DA9" s="159"/>
      <c r="DB9" s="159"/>
      <c r="DC9" s="159"/>
      <c r="DD9" s="159"/>
      <c r="DE9" s="159"/>
      <c r="DF9" s="159"/>
      <c r="DG9" s="159"/>
      <c r="DH9" s="159"/>
      <c r="DI9" s="159"/>
      <c r="DJ9" s="159"/>
      <c r="DK9" s="159"/>
      <c r="DL9" s="159"/>
      <c r="DM9" s="159"/>
      <c r="DN9" s="159"/>
      <c r="DO9" s="159"/>
      <c r="DP9" s="159"/>
      <c r="DQ9" s="159"/>
      <c r="DR9" s="159"/>
      <c r="DS9" s="159"/>
      <c r="DT9" s="159"/>
      <c r="DU9" s="159"/>
      <c r="DV9" s="159"/>
      <c r="DW9" s="159"/>
      <c r="DX9" s="159"/>
      <c r="DY9" s="159"/>
      <c r="DZ9" s="159"/>
      <c r="EA9" s="159"/>
      <c r="EB9" s="159"/>
      <c r="EC9" s="159"/>
      <c r="ED9" s="159"/>
      <c r="EE9" s="159"/>
      <c r="EF9" s="159"/>
      <c r="EG9" s="159"/>
      <c r="EH9" s="159"/>
      <c r="EI9" s="159"/>
      <c r="EJ9" s="159"/>
      <c r="EK9" s="159"/>
      <c r="EL9" s="159"/>
      <c r="EM9" s="159"/>
      <c r="EN9" s="159"/>
      <c r="EO9" s="159"/>
      <c r="EP9" s="159"/>
      <c r="EQ9" s="159"/>
      <c r="ER9" s="159"/>
      <c r="ES9" s="159"/>
      <c r="ET9" s="159"/>
      <c r="EU9" s="159"/>
      <c r="EV9" s="159"/>
      <c r="EW9" s="159"/>
      <c r="EX9" s="159"/>
      <c r="EY9" s="159"/>
      <c r="EZ9" s="159"/>
      <c r="FA9" s="159"/>
      <c r="FB9" s="159"/>
      <c r="FC9" s="159"/>
      <c r="FD9" s="159"/>
      <c r="FE9" s="159"/>
      <c r="FF9" s="159"/>
      <c r="FG9" s="159"/>
      <c r="FH9" s="159"/>
      <c r="FI9" s="159"/>
      <c r="FJ9" s="159"/>
      <c r="FK9" s="159"/>
      <c r="FL9" s="159"/>
      <c r="FM9" s="159"/>
      <c r="FN9" s="159"/>
      <c r="FO9" s="159"/>
      <c r="FP9" s="159"/>
    </row>
    <row r="10" spans="1:214" s="103" customFormat="1" x14ac:dyDescent="0.25">
      <c r="A10" s="120"/>
      <c r="B10" s="114"/>
      <c r="C10" s="114"/>
      <c r="D10" s="114"/>
      <c r="E10" s="121"/>
      <c r="K10" s="114"/>
      <c r="L10" s="114"/>
      <c r="M10" s="114"/>
      <c r="N10" s="114"/>
      <c r="O10" s="114"/>
      <c r="P10" s="115"/>
      <c r="Q10" s="116"/>
      <c r="R10" s="116"/>
      <c r="S10" s="116"/>
      <c r="T10" s="116"/>
      <c r="U10" s="116"/>
      <c r="V10" s="116"/>
      <c r="W10" s="116"/>
      <c r="X10" s="116"/>
      <c r="Y10" s="116"/>
      <c r="Z10" s="116"/>
      <c r="AA10" s="116"/>
      <c r="AB10" s="116"/>
      <c r="AC10" s="116"/>
      <c r="AD10" s="116"/>
      <c r="AE10" s="116"/>
      <c r="AF10" s="116"/>
      <c r="AG10" s="116"/>
      <c r="AH10" s="116"/>
      <c r="AI10" s="116"/>
      <c r="AJ10" s="116"/>
      <c r="AK10" s="116"/>
      <c r="AL10" s="116"/>
      <c r="AM10" s="116"/>
      <c r="AN10" s="116"/>
      <c r="AO10" s="116"/>
      <c r="AP10" s="116"/>
      <c r="AQ10" s="116"/>
      <c r="AR10" s="116"/>
      <c r="AS10" s="116"/>
      <c r="AT10" s="116"/>
      <c r="AU10" s="116"/>
      <c r="AV10" s="116"/>
      <c r="AW10" s="116"/>
      <c r="AX10" s="116"/>
      <c r="AY10" s="116"/>
      <c r="AZ10" s="116"/>
      <c r="BA10" s="116"/>
      <c r="BB10" s="116"/>
      <c r="BC10" s="116"/>
      <c r="BD10" s="116"/>
      <c r="BE10" s="116"/>
      <c r="BF10" s="116"/>
      <c r="BG10" s="116"/>
      <c r="BH10" s="116"/>
      <c r="BI10" s="116"/>
      <c r="BJ10" s="116"/>
      <c r="BK10" s="116"/>
      <c r="BL10" s="116"/>
      <c r="BM10" s="116"/>
      <c r="BN10" s="116"/>
      <c r="BO10" s="116"/>
      <c r="BP10" s="116"/>
      <c r="BQ10" s="116"/>
      <c r="BR10" s="116"/>
      <c r="BS10" s="116"/>
      <c r="BT10" s="116"/>
      <c r="BU10" s="116"/>
      <c r="BV10" s="116"/>
      <c r="BW10" s="116"/>
      <c r="BX10" s="116"/>
      <c r="BY10" s="116"/>
      <c r="BZ10" s="116"/>
      <c r="CA10" s="116"/>
      <c r="CB10" s="116"/>
      <c r="CC10" s="116"/>
      <c r="CD10" s="116"/>
      <c r="CE10" s="116"/>
      <c r="CF10" s="116"/>
      <c r="CG10" s="116"/>
      <c r="CH10" s="116"/>
      <c r="CI10" s="116"/>
      <c r="CJ10" s="116"/>
      <c r="CK10" s="116"/>
      <c r="CL10" s="116"/>
      <c r="CM10" s="116"/>
      <c r="CN10" s="116"/>
      <c r="CO10" s="116"/>
      <c r="CP10" s="116"/>
      <c r="CQ10" s="116"/>
      <c r="CR10" s="116"/>
      <c r="CS10" s="116"/>
      <c r="CT10" s="116"/>
      <c r="CU10" s="116"/>
      <c r="CV10" s="116"/>
      <c r="CW10" s="116"/>
      <c r="CX10" s="116"/>
      <c r="CY10" s="116"/>
      <c r="CZ10" s="116"/>
      <c r="DA10" s="116"/>
      <c r="DB10" s="116"/>
      <c r="DC10" s="116"/>
      <c r="DD10" s="116"/>
      <c r="DE10" s="116"/>
      <c r="DF10" s="116"/>
      <c r="DG10" s="116"/>
      <c r="DH10" s="116"/>
      <c r="DI10" s="116"/>
      <c r="DJ10" s="116"/>
      <c r="DK10" s="116"/>
      <c r="DL10" s="116"/>
      <c r="DM10" s="116"/>
      <c r="DN10" s="116"/>
      <c r="DO10" s="116"/>
      <c r="DP10" s="116"/>
      <c r="DQ10" s="116"/>
      <c r="DR10" s="116"/>
      <c r="DS10" s="116"/>
      <c r="DT10" s="116"/>
      <c r="DU10" s="116"/>
      <c r="DV10" s="116"/>
      <c r="DW10" s="116"/>
      <c r="DX10" s="116"/>
      <c r="DY10" s="116"/>
      <c r="DZ10" s="116"/>
      <c r="EA10" s="116"/>
      <c r="EB10" s="116"/>
      <c r="EC10" s="116"/>
      <c r="ED10" s="116"/>
      <c r="EE10" s="116"/>
      <c r="EF10" s="116"/>
      <c r="EG10" s="116"/>
      <c r="EH10" s="116"/>
      <c r="EI10" s="116"/>
      <c r="EJ10" s="116"/>
      <c r="EK10" s="116"/>
      <c r="EL10" s="116"/>
      <c r="EM10" s="116"/>
      <c r="EN10" s="116"/>
      <c r="EO10" s="116"/>
      <c r="EP10" s="116"/>
      <c r="EQ10" s="116"/>
      <c r="ER10" s="116"/>
      <c r="ES10" s="116"/>
      <c r="ET10" s="116"/>
      <c r="EU10" s="116"/>
      <c r="EV10" s="116"/>
      <c r="EW10" s="116"/>
      <c r="EX10" s="116"/>
      <c r="EY10" s="116"/>
      <c r="EZ10" s="116"/>
      <c r="FA10" s="116"/>
      <c r="FB10" s="116"/>
      <c r="FC10" s="116"/>
      <c r="FD10" s="116"/>
      <c r="FE10" s="116"/>
      <c r="FF10" s="116"/>
      <c r="FG10" s="116"/>
      <c r="FH10" s="116"/>
      <c r="FI10" s="116"/>
      <c r="FJ10" s="116"/>
      <c r="FK10" s="116"/>
      <c r="FL10" s="116"/>
      <c r="FM10" s="116"/>
      <c r="FN10" s="116"/>
      <c r="FO10" s="116"/>
      <c r="FP10" s="116"/>
    </row>
    <row r="11" spans="1:214" x14ac:dyDescent="0.25">
      <c r="A11" s="129" t="s">
        <v>104</v>
      </c>
      <c r="B11" s="125" t="s">
        <v>90</v>
      </c>
      <c r="C11" s="126" t="s">
        <v>89</v>
      </c>
      <c r="D11" s="127" t="s">
        <v>15</v>
      </c>
      <c r="E11" s="128" t="s">
        <v>92</v>
      </c>
      <c r="F11" s="129" t="s">
        <v>104</v>
      </c>
      <c r="G11" s="125" t="s">
        <v>90</v>
      </c>
      <c r="H11" s="126" t="s">
        <v>89</v>
      </c>
      <c r="I11" s="127" t="s">
        <v>15</v>
      </c>
      <c r="J11" s="128" t="s">
        <v>92</v>
      </c>
      <c r="K11" s="97"/>
      <c r="L11" s="97"/>
      <c r="M11" s="97"/>
      <c r="N11" s="97"/>
      <c r="O11" s="97"/>
      <c r="P11" s="108"/>
      <c r="Q11" s="111"/>
      <c r="R11" s="111"/>
      <c r="S11" s="111"/>
      <c r="T11" s="111"/>
      <c r="U11" s="111"/>
      <c r="V11" s="111"/>
      <c r="W11" s="111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</row>
    <row r="12" spans="1:214" s="14" customFormat="1" x14ac:dyDescent="0.25">
      <c r="A12" s="151">
        <v>43585.259375000001</v>
      </c>
      <c r="B12" s="4">
        <v>20000</v>
      </c>
      <c r="C12" s="5"/>
      <c r="D12" s="122"/>
      <c r="E12" s="123"/>
      <c r="F12" s="151">
        <v>43585.259375000001</v>
      </c>
      <c r="G12" s="4">
        <v>20000</v>
      </c>
      <c r="H12" s="5"/>
      <c r="I12" s="97"/>
      <c r="J12" s="97"/>
      <c r="K12" s="97"/>
      <c r="L12" s="97"/>
      <c r="M12" s="97"/>
      <c r="N12" s="97"/>
      <c r="O12" s="97"/>
      <c r="P12" s="108"/>
      <c r="Q12" s="111"/>
      <c r="R12" s="111"/>
      <c r="S12" s="111"/>
      <c r="T12" s="111"/>
      <c r="U12" s="111"/>
      <c r="V12" s="111"/>
      <c r="W12" s="111"/>
      <c r="X12" s="112"/>
      <c r="Y12" s="112"/>
      <c r="Z12" s="112"/>
      <c r="AA12" s="112"/>
      <c r="AB12" s="112"/>
      <c r="AC12" s="112"/>
      <c r="AD12" s="112"/>
      <c r="AE12" s="112"/>
      <c r="AF12" s="112"/>
      <c r="AG12" s="112"/>
      <c r="AH12" s="112"/>
      <c r="AI12" s="112"/>
      <c r="AJ12" s="112"/>
      <c r="AK12" s="112"/>
      <c r="AL12" s="112"/>
      <c r="AM12" s="112"/>
      <c r="AN12" s="112"/>
      <c r="AO12" s="112"/>
      <c r="AP12" s="112"/>
      <c r="AQ12" s="112"/>
      <c r="AR12" s="112"/>
      <c r="AS12" s="112"/>
      <c r="AT12" s="112"/>
      <c r="AU12" s="112"/>
      <c r="AV12" s="112"/>
      <c r="AW12" s="112"/>
      <c r="AX12" s="112"/>
      <c r="AY12" s="112"/>
      <c r="AZ12" s="112"/>
      <c r="BA12" s="112"/>
      <c r="BB12" s="112"/>
      <c r="BC12" s="112"/>
      <c r="BD12" s="112"/>
      <c r="BE12" s="112"/>
      <c r="BF12" s="112"/>
      <c r="BG12" s="112"/>
      <c r="BH12" s="112"/>
      <c r="BI12" s="112"/>
      <c r="BJ12" s="112"/>
      <c r="BK12" s="112"/>
      <c r="BL12" s="112"/>
      <c r="BM12" s="112"/>
      <c r="BN12" s="112"/>
      <c r="BO12" s="112"/>
      <c r="BP12" s="112"/>
      <c r="BQ12" s="112"/>
      <c r="BR12" s="112"/>
      <c r="BS12" s="112"/>
      <c r="BT12" s="112"/>
      <c r="BU12" s="112"/>
      <c r="BV12" s="112"/>
      <c r="BW12" s="112"/>
      <c r="BX12" s="112"/>
      <c r="BY12" s="112"/>
      <c r="BZ12" s="112"/>
      <c r="CA12" s="112"/>
      <c r="CB12" s="112"/>
      <c r="CC12" s="112"/>
      <c r="CD12" s="112"/>
      <c r="CE12" s="112"/>
      <c r="CF12" s="112"/>
      <c r="CG12" s="112"/>
      <c r="CH12" s="112"/>
      <c r="CI12" s="112"/>
      <c r="CJ12" s="112"/>
      <c r="CK12" s="112"/>
      <c r="CL12" s="112"/>
      <c r="CM12" s="112"/>
      <c r="CN12" s="112"/>
      <c r="CO12" s="112"/>
      <c r="CP12" s="112"/>
      <c r="CQ12" s="112"/>
      <c r="CR12" s="112"/>
      <c r="CS12" s="112"/>
      <c r="CT12" s="112"/>
      <c r="CU12" s="112"/>
      <c r="CV12" s="112"/>
      <c r="CW12" s="112"/>
      <c r="CX12" s="112"/>
      <c r="CY12" s="112"/>
      <c r="CZ12" s="112"/>
      <c r="DA12" s="112"/>
      <c r="DB12" s="112"/>
      <c r="DC12" s="112"/>
      <c r="DD12" s="112"/>
      <c r="DE12" s="112"/>
      <c r="DF12" s="112"/>
      <c r="DG12" s="112"/>
      <c r="DH12" s="112"/>
      <c r="DI12" s="112"/>
      <c r="DJ12" s="112"/>
      <c r="DK12" s="112"/>
      <c r="DL12" s="112"/>
      <c r="DM12" s="112"/>
      <c r="DN12" s="112"/>
      <c r="DO12" s="112"/>
      <c r="DP12" s="112"/>
      <c r="DQ12" s="112"/>
      <c r="DR12" s="112"/>
      <c r="DS12" s="112"/>
      <c r="DT12" s="112"/>
      <c r="DU12" s="112"/>
      <c r="DV12" s="112"/>
      <c r="DW12" s="112"/>
      <c r="DX12" s="112"/>
      <c r="DY12" s="112"/>
      <c r="DZ12" s="112"/>
      <c r="EA12" s="112"/>
      <c r="EB12" s="112"/>
      <c r="EC12" s="112"/>
      <c r="ED12" s="112"/>
      <c r="EE12" s="112"/>
      <c r="EF12" s="112"/>
      <c r="EG12" s="112"/>
      <c r="EH12" s="112"/>
      <c r="EI12" s="112"/>
      <c r="EJ12" s="112"/>
      <c r="EK12" s="112"/>
      <c r="EL12" s="112"/>
      <c r="EM12" s="112"/>
      <c r="EN12" s="112"/>
      <c r="EO12" s="112"/>
      <c r="EP12" s="112"/>
      <c r="EQ12" s="112"/>
      <c r="ER12" s="112"/>
      <c r="ES12" s="112"/>
      <c r="ET12" s="112"/>
      <c r="EU12" s="112"/>
      <c r="EV12" s="112"/>
      <c r="EW12" s="112"/>
      <c r="EX12" s="112"/>
      <c r="EY12" s="112"/>
      <c r="EZ12" s="112"/>
      <c r="FA12" s="112"/>
      <c r="FB12" s="112"/>
      <c r="FC12" s="112"/>
      <c r="FD12" s="112"/>
      <c r="FE12" s="112"/>
      <c r="FF12" s="112"/>
      <c r="FG12" s="112"/>
      <c r="FH12" s="112"/>
      <c r="FI12" s="112"/>
      <c r="FJ12" s="112"/>
      <c r="FK12" s="112"/>
      <c r="FL12" s="112"/>
      <c r="FM12" s="112"/>
      <c r="FN12" s="112"/>
      <c r="FO12" s="112"/>
      <c r="FP12" s="112"/>
    </row>
    <row r="13" spans="1:214" x14ac:dyDescent="0.25">
      <c r="A13" s="151">
        <v>43600.259398148148</v>
      </c>
      <c r="B13" s="4">
        <v>0</v>
      </c>
      <c r="C13" s="4">
        <v>1000</v>
      </c>
      <c r="D13" s="122">
        <f>(B12-C12)*0.03</f>
        <v>600</v>
      </c>
      <c r="E13" s="123">
        <v>600</v>
      </c>
      <c r="F13" s="151">
        <v>43600.259398148148</v>
      </c>
      <c r="G13" s="4"/>
      <c r="H13" s="4"/>
      <c r="I13" s="97">
        <v>600</v>
      </c>
      <c r="J13" s="97">
        <v>600</v>
      </c>
      <c r="K13" s="97"/>
      <c r="L13" s="97"/>
      <c r="M13" s="97"/>
      <c r="N13" s="97"/>
      <c r="O13" s="97"/>
      <c r="P13" s="108"/>
      <c r="Q13" s="111"/>
      <c r="R13" s="111"/>
      <c r="S13" s="111"/>
      <c r="T13" s="111"/>
      <c r="U13" s="111"/>
      <c r="V13" s="111"/>
      <c r="W13" s="111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</row>
    <row r="14" spans="1:214" x14ac:dyDescent="0.25">
      <c r="A14" s="151">
        <v>43615.259699074071</v>
      </c>
      <c r="B14" s="4">
        <v>0</v>
      </c>
      <c r="C14" s="4">
        <v>1000</v>
      </c>
      <c r="D14" s="122">
        <f>(B12-C13)*0.03</f>
        <v>570</v>
      </c>
      <c r="E14" s="123">
        <v>570</v>
      </c>
      <c r="F14" s="151">
        <v>43615.259699074071</v>
      </c>
      <c r="G14" s="4"/>
      <c r="H14" s="4"/>
      <c r="I14" s="97"/>
      <c r="J14" s="97"/>
      <c r="K14" s="97"/>
      <c r="L14" s="97"/>
      <c r="M14" s="97"/>
      <c r="N14" s="97"/>
      <c r="O14" s="97"/>
      <c r="P14" s="108"/>
      <c r="Q14" s="111"/>
      <c r="R14" s="111"/>
      <c r="S14" s="111"/>
      <c r="T14" s="111"/>
      <c r="U14" s="111"/>
      <c r="V14" s="111"/>
      <c r="W14" s="111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</row>
    <row r="15" spans="1:214" x14ac:dyDescent="0.25">
      <c r="A15" s="151">
        <v>43600.259398148148</v>
      </c>
      <c r="B15" s="4">
        <v>0</v>
      </c>
      <c r="C15" s="4">
        <v>1000</v>
      </c>
      <c r="D15" s="122">
        <f>D14-(C14*0.03)</f>
        <v>540</v>
      </c>
      <c r="E15" s="123"/>
      <c r="F15" s="151">
        <v>43600.259398148148</v>
      </c>
      <c r="G15" s="4"/>
      <c r="H15" s="4"/>
      <c r="I15" s="97">
        <v>600</v>
      </c>
      <c r="J15" s="97">
        <v>600</v>
      </c>
      <c r="K15" s="97"/>
      <c r="L15" s="97"/>
      <c r="M15" s="97"/>
      <c r="N15" s="97"/>
      <c r="O15" s="97"/>
      <c r="P15" s="108"/>
      <c r="Q15" s="111"/>
      <c r="R15" s="111"/>
      <c r="S15" s="111"/>
      <c r="T15" s="111"/>
      <c r="U15" s="111"/>
      <c r="V15" s="111"/>
      <c r="W15" s="111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/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/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</row>
    <row r="16" spans="1:214" x14ac:dyDescent="0.25">
      <c r="A16" s="151">
        <v>43615.259699074071</v>
      </c>
      <c r="B16" s="4">
        <v>0</v>
      </c>
      <c r="C16" s="4">
        <v>1000</v>
      </c>
      <c r="D16" s="122">
        <f>D15-(C15*0.03)</f>
        <v>510</v>
      </c>
      <c r="E16" s="123"/>
      <c r="F16" s="151">
        <v>43615.259699074071</v>
      </c>
      <c r="G16" s="4"/>
      <c r="H16" s="4"/>
      <c r="I16" s="97">
        <v>600</v>
      </c>
      <c r="J16" s="97">
        <v>600</v>
      </c>
      <c r="K16" s="97"/>
      <c r="L16" s="97"/>
      <c r="M16" s="97"/>
      <c r="N16" s="97"/>
      <c r="O16" s="97"/>
      <c r="P16" s="108"/>
      <c r="Q16" s="111"/>
      <c r="R16" s="111"/>
      <c r="S16" s="111"/>
      <c r="T16" s="111"/>
      <c r="U16" s="111"/>
      <c r="V16" s="111"/>
      <c r="W16" s="111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/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</row>
    <row r="17" spans="1:214" x14ac:dyDescent="0.25">
      <c r="A17" s="151">
        <v>43600.259398148148</v>
      </c>
      <c r="B17" s="4">
        <v>0</v>
      </c>
      <c r="C17" s="4">
        <v>1000</v>
      </c>
      <c r="D17" s="122">
        <v>540</v>
      </c>
      <c r="E17" s="123"/>
      <c r="F17" s="151">
        <v>43600.259398148148</v>
      </c>
      <c r="G17" s="4"/>
      <c r="H17" s="4"/>
      <c r="I17" s="97">
        <v>600</v>
      </c>
      <c r="J17" s="97">
        <v>600</v>
      </c>
      <c r="K17" s="97"/>
      <c r="L17" s="97"/>
      <c r="M17" s="97"/>
      <c r="N17" s="97"/>
      <c r="O17" s="97"/>
      <c r="P17" s="108"/>
      <c r="Q17" s="111"/>
      <c r="R17" s="111"/>
      <c r="S17" s="111"/>
      <c r="T17" s="111"/>
      <c r="U17" s="111"/>
      <c r="V17" s="111"/>
      <c r="W17" s="111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/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/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</row>
    <row r="18" spans="1:214" x14ac:dyDescent="0.25">
      <c r="A18" s="151">
        <v>43615.259699074071</v>
      </c>
      <c r="B18" s="5">
        <v>0</v>
      </c>
      <c r="C18" s="4">
        <v>1000</v>
      </c>
      <c r="D18" s="122">
        <f>D17-(C17*0.03)</f>
        <v>510</v>
      </c>
      <c r="E18" s="123"/>
      <c r="F18" s="151">
        <v>43615.259699074071</v>
      </c>
      <c r="G18" s="4"/>
      <c r="H18" s="4"/>
      <c r="I18" s="97"/>
      <c r="J18" s="97"/>
      <c r="K18" s="97"/>
      <c r="L18" s="97"/>
      <c r="M18" s="97"/>
      <c r="N18" s="97"/>
      <c r="O18" s="97"/>
      <c r="P18" s="108"/>
      <c r="Q18" s="111"/>
      <c r="R18" s="111"/>
      <c r="S18" s="111"/>
      <c r="T18" s="111"/>
      <c r="U18" s="111"/>
      <c r="V18" s="111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  <c r="DX18" s="3"/>
      <c r="DY18" s="3"/>
      <c r="DZ18" s="3"/>
      <c r="EA18" s="3"/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/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/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</row>
    <row r="19" spans="1:214" x14ac:dyDescent="0.25">
      <c r="A19" s="151">
        <v>43600.259398148148</v>
      </c>
      <c r="B19" s="5">
        <v>0</v>
      </c>
      <c r="C19" s="4">
        <v>1000</v>
      </c>
      <c r="D19" s="122">
        <f>D18-(C18*0.03)</f>
        <v>480</v>
      </c>
      <c r="E19" s="123"/>
      <c r="F19" s="151">
        <v>43600.259398148148</v>
      </c>
      <c r="G19" s="4"/>
      <c r="H19" s="4"/>
      <c r="I19" s="97"/>
      <c r="J19" s="97"/>
      <c r="K19" s="97"/>
      <c r="L19" s="97"/>
      <c r="M19" s="97"/>
      <c r="N19" s="97"/>
      <c r="O19" s="97"/>
      <c r="P19" s="108"/>
      <c r="Q19" s="111"/>
      <c r="R19" s="111"/>
      <c r="S19" s="111"/>
      <c r="T19" s="111"/>
      <c r="U19" s="111"/>
      <c r="V19" s="111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</row>
    <row r="20" spans="1:214" x14ac:dyDescent="0.25">
      <c r="A20" s="151">
        <v>43615.259699074071</v>
      </c>
      <c r="B20" s="5">
        <v>0</v>
      </c>
      <c r="C20" s="4">
        <v>500</v>
      </c>
      <c r="D20" s="122">
        <f>D19-(C19*0.03)</f>
        <v>450</v>
      </c>
      <c r="E20" s="123"/>
      <c r="F20" s="151">
        <v>43615.259699074071</v>
      </c>
      <c r="G20" s="5">
        <v>0</v>
      </c>
      <c r="H20" s="4">
        <v>5000</v>
      </c>
      <c r="I20" s="97"/>
      <c r="J20" s="97"/>
      <c r="K20" s="97"/>
      <c r="L20" s="97"/>
      <c r="M20" s="97"/>
      <c r="N20" s="97"/>
      <c r="O20" s="97"/>
      <c r="P20" s="108"/>
      <c r="Q20" s="111"/>
      <c r="R20" s="111"/>
      <c r="S20" s="111"/>
      <c r="T20" s="111"/>
      <c r="U20" s="111"/>
      <c r="V20" s="111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</row>
    <row r="21" spans="1:214" x14ac:dyDescent="0.25">
      <c r="A21" s="151">
        <v>43600.259398148148</v>
      </c>
      <c r="B21" s="5">
        <v>0</v>
      </c>
      <c r="C21" s="4">
        <v>2000</v>
      </c>
      <c r="D21" s="122">
        <f>D20-(C20*0.03)</f>
        <v>435</v>
      </c>
      <c r="E21" s="123"/>
      <c r="F21" s="151">
        <v>43600.259398148148</v>
      </c>
      <c r="G21" s="5">
        <v>0</v>
      </c>
      <c r="H21" s="4"/>
      <c r="I21" s="97">
        <v>450</v>
      </c>
      <c r="J21" s="97">
        <v>450</v>
      </c>
      <c r="K21" s="97"/>
      <c r="L21" s="97"/>
      <c r="M21" s="97"/>
      <c r="N21" s="97"/>
      <c r="O21" s="97"/>
      <c r="P21" s="108"/>
      <c r="Q21" s="111"/>
      <c r="R21" s="111"/>
      <c r="S21" s="111"/>
      <c r="T21" s="111"/>
      <c r="U21" s="111"/>
      <c r="V21" s="111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</row>
    <row r="22" spans="1:214" x14ac:dyDescent="0.25">
      <c r="A22" s="151">
        <v>43600.259398148148</v>
      </c>
      <c r="B22" s="4">
        <v>0</v>
      </c>
      <c r="C22" s="4"/>
      <c r="D22" s="122">
        <f t="shared" ref="D22:D45" si="0">IF(A22&gt;1,D21-(C21*0.03),"")</f>
        <v>375</v>
      </c>
      <c r="E22" s="123"/>
      <c r="F22" s="151">
        <v>43615.259699074071</v>
      </c>
      <c r="G22" s="4">
        <v>0</v>
      </c>
      <c r="H22" s="4"/>
      <c r="I22" s="97">
        <v>450</v>
      </c>
      <c r="J22" s="97">
        <v>450</v>
      </c>
      <c r="K22" s="97"/>
      <c r="L22" s="97"/>
      <c r="M22" s="97"/>
      <c r="N22" s="97"/>
      <c r="O22" s="97"/>
      <c r="P22" s="108"/>
      <c r="Q22" s="111"/>
      <c r="R22" s="111"/>
      <c r="S22" s="111"/>
      <c r="T22" s="111"/>
      <c r="U22" s="111"/>
      <c r="V22" s="111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/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</row>
    <row r="23" spans="1:214" x14ac:dyDescent="0.25">
      <c r="A23" s="151">
        <v>43600.259398148148</v>
      </c>
      <c r="B23" s="4">
        <v>0</v>
      </c>
      <c r="C23" s="4"/>
      <c r="D23" s="122">
        <f t="shared" si="0"/>
        <v>375</v>
      </c>
      <c r="E23" s="123"/>
      <c r="F23" s="151">
        <v>43600.259398148148</v>
      </c>
      <c r="G23" s="4">
        <v>0</v>
      </c>
      <c r="H23" s="4"/>
      <c r="I23" s="97"/>
      <c r="J23" s="97"/>
      <c r="K23" s="97"/>
      <c r="L23" s="97"/>
      <c r="M23" s="97"/>
      <c r="N23" s="97"/>
      <c r="O23" s="97"/>
      <c r="P23" s="108"/>
      <c r="Q23" s="111"/>
      <c r="R23" s="111"/>
      <c r="S23" s="111"/>
      <c r="T23" s="111"/>
      <c r="U23" s="111"/>
      <c r="V23" s="111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</row>
    <row r="24" spans="1:214" x14ac:dyDescent="0.25">
      <c r="A24" s="151"/>
      <c r="B24" s="4">
        <v>0</v>
      </c>
      <c r="C24" s="4"/>
      <c r="D24" s="122" t="str">
        <f t="shared" si="0"/>
        <v/>
      </c>
      <c r="E24" s="123"/>
      <c r="F24" s="151">
        <v>43615.259699074071</v>
      </c>
      <c r="G24" s="4">
        <v>0</v>
      </c>
      <c r="H24" s="4"/>
      <c r="I24" s="97"/>
      <c r="J24" s="97"/>
      <c r="K24" s="97"/>
      <c r="L24" s="97"/>
      <c r="M24" s="97"/>
      <c r="N24" s="97"/>
      <c r="O24" s="97"/>
      <c r="P24" s="108"/>
      <c r="Q24" s="111"/>
      <c r="R24" s="111"/>
      <c r="S24" s="111"/>
      <c r="T24" s="111"/>
      <c r="U24" s="111"/>
      <c r="V24" s="111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</row>
    <row r="25" spans="1:214" x14ac:dyDescent="0.25">
      <c r="A25" s="151"/>
      <c r="B25" s="4">
        <v>0</v>
      </c>
      <c r="C25" s="4"/>
      <c r="D25" s="122" t="str">
        <f t="shared" si="0"/>
        <v/>
      </c>
      <c r="E25" s="123"/>
      <c r="F25" s="151">
        <v>43600.259398148148</v>
      </c>
      <c r="G25" s="4">
        <v>2000</v>
      </c>
      <c r="H25" s="4"/>
      <c r="I25" s="97"/>
      <c r="J25" s="97"/>
      <c r="K25" s="97"/>
      <c r="L25" s="97"/>
      <c r="M25" s="97"/>
      <c r="N25" s="97"/>
      <c r="O25" s="97"/>
      <c r="P25" s="108"/>
      <c r="Q25" s="111"/>
      <c r="R25" s="111"/>
      <c r="S25" s="111"/>
      <c r="T25" s="111"/>
      <c r="U25" s="111"/>
      <c r="V25" s="111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</row>
    <row r="26" spans="1:214" x14ac:dyDescent="0.25">
      <c r="A26" s="151"/>
      <c r="B26" s="4">
        <v>0</v>
      </c>
      <c r="C26" s="4"/>
      <c r="D26" s="122" t="str">
        <f t="shared" si="0"/>
        <v/>
      </c>
      <c r="E26" s="123"/>
      <c r="F26" s="151">
        <v>43615.259699074071</v>
      </c>
      <c r="G26" s="4">
        <v>0</v>
      </c>
      <c r="H26" s="4"/>
      <c r="I26" s="97">
        <v>510</v>
      </c>
      <c r="J26" s="97">
        <v>510</v>
      </c>
      <c r="K26" s="97"/>
      <c r="L26" s="97"/>
      <c r="M26" s="97"/>
      <c r="N26" s="97"/>
      <c r="O26" s="97"/>
      <c r="P26" s="108"/>
      <c r="Q26" s="111"/>
      <c r="R26" s="111"/>
      <c r="S26" s="111"/>
      <c r="T26" s="111"/>
      <c r="U26" s="111"/>
      <c r="V26" s="111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</row>
    <row r="27" spans="1:214" x14ac:dyDescent="0.25">
      <c r="A27" s="151"/>
      <c r="B27" s="4">
        <v>0</v>
      </c>
      <c r="C27" s="4"/>
      <c r="D27" s="122" t="str">
        <f t="shared" si="0"/>
        <v/>
      </c>
      <c r="E27" s="123"/>
      <c r="F27" s="151">
        <v>43600.259398148148</v>
      </c>
      <c r="G27" s="4">
        <v>0</v>
      </c>
      <c r="H27" s="4"/>
      <c r="I27" s="97"/>
      <c r="J27" s="97"/>
      <c r="K27" s="97"/>
      <c r="L27" s="97"/>
      <c r="M27" s="97"/>
      <c r="N27" s="97"/>
      <c r="O27" s="97"/>
      <c r="P27" s="108"/>
      <c r="Q27" s="111"/>
      <c r="R27" s="111"/>
      <c r="S27" s="111"/>
      <c r="T27" s="111"/>
      <c r="U27" s="111"/>
      <c r="V27" s="111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</row>
    <row r="28" spans="1:214" x14ac:dyDescent="0.25">
      <c r="A28" s="151"/>
      <c r="B28" s="5">
        <v>0</v>
      </c>
      <c r="C28" s="4"/>
      <c r="D28" s="122" t="str">
        <f t="shared" si="0"/>
        <v/>
      </c>
      <c r="E28" s="123"/>
      <c r="F28" s="151">
        <v>43615.259699074071</v>
      </c>
      <c r="G28" s="4">
        <v>0</v>
      </c>
      <c r="H28" s="4"/>
      <c r="I28" s="97"/>
      <c r="J28" s="97"/>
      <c r="K28" s="97"/>
      <c r="L28" s="97"/>
      <c r="M28" s="97"/>
      <c r="N28" s="97"/>
      <c r="O28" s="97"/>
      <c r="P28" s="108"/>
      <c r="Q28" s="111"/>
      <c r="R28" s="111"/>
      <c r="S28" s="111"/>
      <c r="T28" s="111"/>
      <c r="U28" s="111"/>
      <c r="V28" s="111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</row>
    <row r="29" spans="1:214" x14ac:dyDescent="0.25">
      <c r="A29" s="151"/>
      <c r="B29" s="5">
        <v>0</v>
      </c>
      <c r="C29" s="4"/>
      <c r="D29" s="122" t="str">
        <f t="shared" si="0"/>
        <v/>
      </c>
      <c r="E29" s="123"/>
      <c r="F29" s="151">
        <v>43600.259398148148</v>
      </c>
      <c r="G29" s="5">
        <v>0</v>
      </c>
      <c r="H29" s="4"/>
      <c r="I29" s="97">
        <v>1500</v>
      </c>
      <c r="J29" s="97">
        <v>1500</v>
      </c>
      <c r="K29" s="4"/>
      <c r="L29" s="4"/>
      <c r="M29" s="4"/>
      <c r="N29" s="4"/>
      <c r="O29" s="4"/>
      <c r="P29" s="109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</row>
    <row r="30" spans="1:214" x14ac:dyDescent="0.25">
      <c r="A30" s="151"/>
      <c r="B30" s="5">
        <v>0</v>
      </c>
      <c r="C30" s="4"/>
      <c r="D30" s="122" t="str">
        <f t="shared" si="0"/>
        <v/>
      </c>
      <c r="E30" s="123"/>
      <c r="F30" s="151">
        <v>43615.259699074071</v>
      </c>
      <c r="G30" s="5">
        <v>0</v>
      </c>
      <c r="H30" s="4"/>
      <c r="I30" s="97"/>
      <c r="J30" s="97"/>
      <c r="K30" s="4"/>
      <c r="L30" s="4"/>
      <c r="M30" s="4"/>
      <c r="N30" s="4"/>
      <c r="O30" s="4"/>
      <c r="P30" s="109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</row>
    <row r="31" spans="1:214" x14ac:dyDescent="0.25">
      <c r="A31" s="151"/>
      <c r="B31" s="5">
        <v>0</v>
      </c>
      <c r="C31" s="4"/>
      <c r="D31" s="122" t="str">
        <f t="shared" si="0"/>
        <v/>
      </c>
      <c r="E31" s="123"/>
      <c r="F31" s="151">
        <v>43600.259398148148</v>
      </c>
      <c r="G31" s="5">
        <v>0</v>
      </c>
      <c r="H31" s="4">
        <v>2000</v>
      </c>
      <c r="I31" s="97"/>
      <c r="J31" s="97"/>
      <c r="K31" s="4"/>
      <c r="L31" s="4"/>
      <c r="M31" s="4"/>
      <c r="N31" s="4"/>
      <c r="O31" s="4"/>
      <c r="P31" s="109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/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</row>
    <row r="32" spans="1:214" x14ac:dyDescent="0.25">
      <c r="A32" s="151"/>
      <c r="B32" s="5">
        <v>0</v>
      </c>
      <c r="C32" s="4"/>
      <c r="D32" s="122" t="str">
        <f t="shared" si="0"/>
        <v/>
      </c>
      <c r="E32" s="123"/>
      <c r="F32" s="151">
        <v>43615.259699074071</v>
      </c>
      <c r="G32" s="4">
        <v>0</v>
      </c>
      <c r="H32" s="4"/>
      <c r="I32" s="97">
        <v>900</v>
      </c>
      <c r="J32" s="97">
        <v>900</v>
      </c>
      <c r="K32" s="4"/>
      <c r="L32" s="4"/>
      <c r="M32" s="4"/>
      <c r="N32" s="4"/>
      <c r="O32" s="4"/>
      <c r="P32" s="109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/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</row>
    <row r="33" spans="1:214" x14ac:dyDescent="0.25">
      <c r="A33" s="151"/>
      <c r="B33" s="5">
        <v>0</v>
      </c>
      <c r="C33" s="4"/>
      <c r="D33" s="122" t="str">
        <f t="shared" si="0"/>
        <v/>
      </c>
      <c r="E33" s="123"/>
      <c r="F33" s="151">
        <v>43600.259398148148</v>
      </c>
      <c r="G33" s="4">
        <v>0</v>
      </c>
      <c r="H33" s="4"/>
      <c r="I33" s="97">
        <v>1500</v>
      </c>
      <c r="J33" s="97">
        <v>1500</v>
      </c>
      <c r="K33" s="4"/>
      <c r="L33" s="4"/>
      <c r="M33" s="4"/>
      <c r="N33" s="4"/>
      <c r="O33" s="4"/>
      <c r="P33" s="109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/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</row>
    <row r="34" spans="1:214" x14ac:dyDescent="0.25">
      <c r="A34" s="151"/>
      <c r="B34" s="5">
        <v>0</v>
      </c>
      <c r="C34" s="4"/>
      <c r="D34" s="122" t="str">
        <f t="shared" si="0"/>
        <v/>
      </c>
      <c r="E34" s="123"/>
      <c r="F34" s="151">
        <v>43615.259699074071</v>
      </c>
      <c r="G34" s="4"/>
      <c r="H34" s="4"/>
      <c r="I34" s="4"/>
      <c r="J34" s="4"/>
      <c r="K34" s="4"/>
      <c r="L34" s="4"/>
      <c r="M34" s="4"/>
      <c r="N34" s="4"/>
      <c r="O34" s="4"/>
      <c r="P34" s="109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/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/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</row>
    <row r="35" spans="1:214" x14ac:dyDescent="0.25">
      <c r="A35" s="151"/>
      <c r="B35" s="5">
        <v>0</v>
      </c>
      <c r="C35" s="4"/>
      <c r="D35" s="122" t="str">
        <f t="shared" si="0"/>
        <v/>
      </c>
      <c r="E35" s="123"/>
      <c r="F35" s="151">
        <v>43600.259398148148</v>
      </c>
      <c r="G35" s="4"/>
      <c r="H35" s="4"/>
      <c r="I35" s="4"/>
      <c r="J35" s="4"/>
      <c r="K35" s="4"/>
      <c r="L35" s="4"/>
      <c r="M35" s="4"/>
      <c r="N35" s="4"/>
      <c r="O35" s="4"/>
      <c r="P35" s="109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/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/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</row>
    <row r="36" spans="1:214" x14ac:dyDescent="0.25">
      <c r="A36" s="151"/>
      <c r="B36" s="5">
        <v>0</v>
      </c>
      <c r="C36" s="4"/>
      <c r="D36" s="122" t="str">
        <f t="shared" si="0"/>
        <v/>
      </c>
      <c r="E36" s="123"/>
      <c r="F36" s="151">
        <v>43615.259699074071</v>
      </c>
      <c r="G36" s="4"/>
      <c r="H36" s="4"/>
      <c r="I36" s="4"/>
      <c r="J36" s="4"/>
      <c r="K36" s="4"/>
      <c r="L36" s="4"/>
      <c r="M36" s="4"/>
      <c r="N36" s="4"/>
      <c r="O36" s="4"/>
      <c r="P36" s="109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/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</row>
    <row r="37" spans="1:214" x14ac:dyDescent="0.25">
      <c r="A37" s="151"/>
      <c r="B37" s="5">
        <v>0</v>
      </c>
      <c r="C37" s="4"/>
      <c r="D37" s="122" t="str">
        <f t="shared" si="0"/>
        <v/>
      </c>
      <c r="E37" s="123"/>
      <c r="F37" s="151">
        <v>43600.259398148148</v>
      </c>
      <c r="G37" s="4"/>
      <c r="H37" s="4"/>
      <c r="I37" s="4"/>
      <c r="J37" s="4"/>
      <c r="K37" s="4"/>
      <c r="L37" s="4"/>
      <c r="M37" s="4"/>
      <c r="N37" s="4"/>
      <c r="O37" s="4"/>
      <c r="P37" s="109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</row>
    <row r="38" spans="1:214" x14ac:dyDescent="0.25">
      <c r="A38" s="151"/>
      <c r="B38" s="5">
        <v>0</v>
      </c>
      <c r="C38" s="4"/>
      <c r="D38" s="122" t="str">
        <f t="shared" si="0"/>
        <v/>
      </c>
      <c r="E38" s="123"/>
      <c r="F38" s="151">
        <v>43615.259699074071</v>
      </c>
      <c r="G38" s="4"/>
      <c r="H38" s="4"/>
      <c r="I38" s="4"/>
      <c r="J38" s="4"/>
      <c r="K38" s="4"/>
      <c r="L38" s="4"/>
      <c r="M38" s="4"/>
      <c r="N38" s="4"/>
      <c r="O38" s="4"/>
      <c r="P38" s="109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</row>
    <row r="39" spans="1:214" x14ac:dyDescent="0.25">
      <c r="A39" s="151"/>
      <c r="B39" s="5">
        <v>0</v>
      </c>
      <c r="C39" s="4"/>
      <c r="D39" s="122" t="str">
        <f t="shared" si="0"/>
        <v/>
      </c>
      <c r="E39" s="123"/>
      <c r="F39" s="151">
        <v>43600.259398148148</v>
      </c>
      <c r="G39" s="4"/>
      <c r="H39" s="4"/>
      <c r="I39" s="4"/>
      <c r="J39" s="4"/>
      <c r="K39" s="4"/>
      <c r="L39" s="4"/>
      <c r="M39" s="4"/>
      <c r="N39" s="4"/>
      <c r="O39" s="4"/>
      <c r="P39" s="109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</row>
    <row r="40" spans="1:214" x14ac:dyDescent="0.25">
      <c r="A40" s="151"/>
      <c r="B40" s="5">
        <v>0</v>
      </c>
      <c r="C40" s="4"/>
      <c r="D40" s="122" t="str">
        <f t="shared" si="0"/>
        <v/>
      </c>
      <c r="E40" s="123"/>
      <c r="F40" s="151">
        <v>43615.259699074071</v>
      </c>
      <c r="G40" s="4"/>
      <c r="H40" s="4"/>
      <c r="I40" s="4"/>
      <c r="J40" s="4"/>
      <c r="K40" s="4"/>
      <c r="L40" s="4"/>
      <c r="M40" s="4"/>
      <c r="N40" s="4"/>
      <c r="O40" s="4"/>
      <c r="P40" s="109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  <c r="FF40" s="3"/>
      <c r="FG40" s="3"/>
      <c r="FH40" s="3"/>
      <c r="FI40" s="3"/>
      <c r="FJ40" s="3"/>
      <c r="FK40" s="3"/>
      <c r="FL40" s="3"/>
      <c r="FM40" s="3"/>
      <c r="FN40" s="3"/>
      <c r="FO40" s="3"/>
      <c r="FP40" s="3"/>
      <c r="FQ40" s="3"/>
      <c r="FR40" s="3"/>
      <c r="FS40" s="3"/>
      <c r="FT40" s="3"/>
      <c r="FU40" s="3"/>
      <c r="FV40" s="3"/>
      <c r="FW40" s="3"/>
      <c r="FX40" s="3"/>
      <c r="FY40" s="3"/>
      <c r="FZ40" s="3"/>
      <c r="GA40" s="3"/>
      <c r="GB40" s="3"/>
      <c r="GC40" s="3"/>
      <c r="GD40" s="3"/>
      <c r="GE40" s="3"/>
      <c r="GF40" s="3"/>
      <c r="GG40" s="3"/>
      <c r="GH40" s="3"/>
      <c r="GI40" s="3"/>
      <c r="GJ40" s="3"/>
      <c r="GK40" s="3"/>
      <c r="GL40" s="3"/>
      <c r="GM40" s="3"/>
      <c r="GN40" s="3"/>
      <c r="GO40" s="3"/>
      <c r="GP40" s="3"/>
      <c r="GQ40" s="3"/>
      <c r="GR40" s="3"/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  <c r="HD40" s="3"/>
      <c r="HE40" s="3"/>
      <c r="HF40" s="3"/>
    </row>
    <row r="41" spans="1:214" x14ac:dyDescent="0.25">
      <c r="A41" s="151"/>
      <c r="B41" s="5">
        <v>0</v>
      </c>
      <c r="C41" s="4"/>
      <c r="D41" s="122" t="str">
        <f t="shared" si="0"/>
        <v/>
      </c>
      <c r="E41" s="123"/>
      <c r="F41" s="151">
        <v>43600.259398148148</v>
      </c>
      <c r="G41" s="106"/>
      <c r="H41" s="106"/>
      <c r="I41" s="106"/>
      <c r="J41" s="106"/>
      <c r="K41" s="4"/>
      <c r="L41" s="4"/>
      <c r="M41" s="4"/>
      <c r="N41" s="4"/>
      <c r="O41" s="4"/>
      <c r="P41" s="109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  <c r="FS41" s="3"/>
      <c r="FT41" s="3"/>
      <c r="FU41" s="3"/>
      <c r="FV41" s="3"/>
      <c r="FW41" s="3"/>
      <c r="FX41" s="3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</row>
    <row r="42" spans="1:214" x14ac:dyDescent="0.25">
      <c r="A42" s="151"/>
      <c r="B42" s="5">
        <v>0</v>
      </c>
      <c r="C42" s="4"/>
      <c r="D42" s="122" t="str">
        <f t="shared" si="0"/>
        <v/>
      </c>
      <c r="E42" s="123"/>
      <c r="F42" s="151">
        <v>43615.259699074071</v>
      </c>
      <c r="G42" s="4"/>
      <c r="H42" s="4"/>
      <c r="I42" s="4"/>
      <c r="J42" s="4"/>
      <c r="K42" s="4"/>
      <c r="L42" s="4"/>
      <c r="M42" s="4"/>
      <c r="N42" s="4"/>
      <c r="O42" s="4"/>
      <c r="P42" s="109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</row>
    <row r="43" spans="1:214" x14ac:dyDescent="0.25">
      <c r="A43" s="151"/>
      <c r="B43" s="5">
        <v>0</v>
      </c>
      <c r="C43" s="4"/>
      <c r="D43" s="122" t="str">
        <f t="shared" si="0"/>
        <v/>
      </c>
      <c r="E43" s="123"/>
      <c r="F43" s="151">
        <v>43600.259398148148</v>
      </c>
      <c r="G43" s="4"/>
      <c r="H43" s="4"/>
      <c r="I43" s="4"/>
      <c r="J43" s="4"/>
      <c r="K43" s="4"/>
      <c r="L43" s="4"/>
      <c r="M43" s="4"/>
      <c r="N43" s="4"/>
      <c r="O43" s="4"/>
      <c r="P43" s="109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  <c r="EG43" s="3"/>
      <c r="EH43" s="3"/>
      <c r="EI43" s="3"/>
      <c r="EJ43" s="3"/>
      <c r="EK43" s="3"/>
      <c r="EL43" s="3"/>
      <c r="EM43" s="3"/>
      <c r="EN43" s="3"/>
      <c r="EO43" s="3"/>
      <c r="EP43" s="3"/>
      <c r="EQ43" s="3"/>
      <c r="ER43" s="3"/>
      <c r="ES43" s="3"/>
      <c r="ET43" s="3"/>
      <c r="EU43" s="3"/>
      <c r="EV43" s="3"/>
      <c r="EW43" s="3"/>
      <c r="EX43" s="3"/>
      <c r="EY43" s="3"/>
      <c r="EZ43" s="3"/>
      <c r="FA43" s="3"/>
      <c r="FB43" s="3"/>
      <c r="FC43" s="3"/>
      <c r="FD43" s="3"/>
      <c r="FE43" s="3"/>
      <c r="FF43" s="3"/>
      <c r="FG43" s="3"/>
      <c r="FH43" s="3"/>
      <c r="FI43" s="3"/>
      <c r="FJ43" s="3"/>
      <c r="FK43" s="3"/>
      <c r="FL43" s="3"/>
      <c r="FM43" s="3"/>
      <c r="FN43" s="3"/>
      <c r="FO43" s="3"/>
      <c r="FP43" s="3"/>
      <c r="FQ43" s="3"/>
      <c r="FR43" s="3"/>
      <c r="FS43" s="3"/>
      <c r="FT43" s="3"/>
      <c r="FU43" s="3"/>
      <c r="FV43" s="3"/>
      <c r="FW43" s="3"/>
      <c r="FX43" s="3"/>
      <c r="FY43" s="3"/>
      <c r="FZ43" s="3"/>
      <c r="GA43" s="3"/>
      <c r="GB43" s="3"/>
      <c r="GC43" s="3"/>
      <c r="GD43" s="3"/>
      <c r="GE43" s="3"/>
      <c r="GF43" s="3"/>
      <c r="GG43" s="3"/>
      <c r="GH43" s="3"/>
      <c r="GI43" s="3"/>
      <c r="GJ43" s="3"/>
      <c r="GK43" s="3"/>
      <c r="GL43" s="3"/>
      <c r="GM43" s="3"/>
      <c r="GN43" s="3"/>
      <c r="GO43" s="3"/>
      <c r="GP43" s="3"/>
      <c r="GQ43" s="3"/>
      <c r="GR43" s="3"/>
      <c r="GS43" s="3"/>
      <c r="GT43" s="3"/>
      <c r="GU43" s="3"/>
      <c r="GV43" s="3"/>
      <c r="GW43" s="3"/>
      <c r="GX43" s="3"/>
      <c r="GY43" s="3"/>
      <c r="GZ43" s="3"/>
      <c r="HA43" s="3"/>
      <c r="HB43" s="3"/>
      <c r="HC43" s="3"/>
      <c r="HD43" s="3"/>
      <c r="HE43" s="3"/>
      <c r="HF43" s="3"/>
    </row>
    <row r="44" spans="1:214" x14ac:dyDescent="0.25">
      <c r="A44" s="151"/>
      <c r="B44" s="5">
        <v>0</v>
      </c>
      <c r="C44" s="4"/>
      <c r="D44" s="122" t="str">
        <f t="shared" si="0"/>
        <v/>
      </c>
      <c r="E44" s="123"/>
      <c r="F44" s="151">
        <v>43615.259699074071</v>
      </c>
      <c r="G44" s="4"/>
      <c r="H44" s="4"/>
      <c r="I44" s="4"/>
      <c r="J44" s="4"/>
      <c r="K44" s="4"/>
      <c r="L44" s="4"/>
      <c r="M44" s="4"/>
      <c r="N44" s="4"/>
      <c r="O44" s="4"/>
      <c r="P44" s="109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  <c r="DN44" s="3"/>
      <c r="DO44" s="3"/>
      <c r="DP44" s="3"/>
      <c r="DQ44" s="3"/>
      <c r="DR44" s="3"/>
      <c r="DS44" s="3"/>
      <c r="DT44" s="3"/>
      <c r="DU44" s="3"/>
      <c r="DV44" s="3"/>
      <c r="DW44" s="3"/>
      <c r="DX44" s="3"/>
      <c r="DY44" s="3"/>
      <c r="DZ44" s="3"/>
      <c r="EA44" s="3"/>
      <c r="EB44" s="3"/>
      <c r="EC44" s="3"/>
      <c r="ED44" s="3"/>
      <c r="EE44" s="3"/>
      <c r="EF44" s="3"/>
      <c r="EG44" s="3"/>
      <c r="EH44" s="3"/>
      <c r="EI44" s="3"/>
      <c r="EJ44" s="3"/>
      <c r="EK44" s="3"/>
      <c r="EL44" s="3"/>
      <c r="EM44" s="3"/>
      <c r="EN44" s="3"/>
      <c r="EO44" s="3"/>
      <c r="EP44" s="3"/>
      <c r="EQ44" s="3"/>
      <c r="ER44" s="3"/>
      <c r="ES44" s="3"/>
      <c r="ET44" s="3"/>
      <c r="EU44" s="3"/>
      <c r="EV44" s="3"/>
      <c r="EW44" s="3"/>
      <c r="EX44" s="3"/>
      <c r="EY44" s="3"/>
      <c r="EZ44" s="3"/>
      <c r="FA44" s="3"/>
      <c r="FB44" s="3"/>
      <c r="FC44" s="3"/>
      <c r="FD44" s="3"/>
      <c r="FE44" s="3"/>
      <c r="FF44" s="3"/>
      <c r="FG44" s="3"/>
      <c r="FH44" s="3"/>
      <c r="FI44" s="3"/>
      <c r="FJ44" s="3"/>
      <c r="FK44" s="3"/>
      <c r="FL44" s="3"/>
      <c r="FM44" s="3"/>
      <c r="FN44" s="3"/>
      <c r="FO44" s="3"/>
      <c r="FP44" s="3"/>
      <c r="FQ44" s="3"/>
      <c r="FR44" s="3"/>
      <c r="FS44" s="3"/>
      <c r="FT44" s="3"/>
      <c r="FU44" s="3"/>
      <c r="FV44" s="3"/>
      <c r="FW44" s="3"/>
      <c r="FX44" s="3"/>
      <c r="FY44" s="3"/>
      <c r="FZ44" s="3"/>
      <c r="GA44" s="3"/>
      <c r="GB44" s="3"/>
      <c r="GC44" s="3"/>
      <c r="GD44" s="3"/>
      <c r="GE44" s="3"/>
      <c r="GF44" s="3"/>
      <c r="GG44" s="3"/>
      <c r="GH44" s="3"/>
      <c r="GI44" s="3"/>
      <c r="GJ44" s="3"/>
      <c r="GK44" s="3"/>
      <c r="GL44" s="3"/>
      <c r="GM44" s="3"/>
      <c r="GN44" s="3"/>
      <c r="GO44" s="3"/>
      <c r="GP44" s="3"/>
      <c r="GQ44" s="3"/>
      <c r="GR44" s="3"/>
      <c r="GS44" s="3"/>
      <c r="GT44" s="3"/>
      <c r="GU44" s="3"/>
      <c r="GV44" s="3"/>
      <c r="GW44" s="3"/>
      <c r="GX44" s="3"/>
      <c r="GY44" s="3"/>
      <c r="GZ44" s="3"/>
      <c r="HA44" s="3"/>
      <c r="HB44" s="3"/>
      <c r="HC44" s="3"/>
      <c r="HD44" s="3"/>
      <c r="HE44" s="3"/>
      <c r="HF44" s="3"/>
    </row>
    <row r="45" spans="1:214" ht="15.75" thickBot="1" x14ac:dyDescent="0.3">
      <c r="A45" s="152"/>
      <c r="B45" s="118">
        <v>0</v>
      </c>
      <c r="C45" s="94"/>
      <c r="D45" s="122" t="str">
        <f t="shared" si="0"/>
        <v/>
      </c>
      <c r="E45" s="124"/>
      <c r="F45" s="152"/>
      <c r="G45" s="4"/>
      <c r="H45" s="4"/>
      <c r="I45" s="4"/>
      <c r="J45" s="4"/>
      <c r="K45" s="4"/>
      <c r="L45" s="4"/>
      <c r="M45" s="4"/>
      <c r="N45" s="4"/>
      <c r="O45" s="4"/>
      <c r="P45" s="109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  <c r="FG45" s="3"/>
      <c r="FH45" s="3"/>
      <c r="FI45" s="3"/>
      <c r="FJ45" s="3"/>
      <c r="FK45" s="3"/>
      <c r="FL45" s="3"/>
      <c r="FM45" s="3"/>
      <c r="FN45" s="3"/>
      <c r="FO45" s="3"/>
      <c r="FP45" s="3"/>
      <c r="FQ45" s="3"/>
      <c r="FR45" s="3"/>
      <c r="FS45" s="3"/>
      <c r="FT45" s="3"/>
      <c r="FU45" s="3"/>
      <c r="FV45" s="3"/>
      <c r="FW45" s="3"/>
      <c r="FX45" s="3"/>
      <c r="FY45" s="3"/>
      <c r="FZ45" s="3"/>
      <c r="GA45" s="3"/>
      <c r="GB45" s="3"/>
      <c r="GC45" s="3"/>
      <c r="GD45" s="3"/>
      <c r="GE45" s="3"/>
      <c r="GF45" s="3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</row>
    <row r="46" spans="1:214" x14ac:dyDescent="0.25">
      <c r="A46" s="119"/>
      <c r="B46" s="104"/>
      <c r="C46" s="106"/>
      <c r="D46" s="107"/>
      <c r="E46" s="104"/>
      <c r="F46" s="117"/>
      <c r="G46" s="4"/>
      <c r="H46" s="4"/>
      <c r="I46" s="4"/>
      <c r="J46" s="4"/>
      <c r="K46" s="4"/>
      <c r="L46" s="4"/>
      <c r="M46" s="4"/>
      <c r="N46" s="4"/>
      <c r="O46" s="4"/>
      <c r="P46" s="109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  <c r="EG46" s="3"/>
      <c r="EH46" s="3"/>
      <c r="EI46" s="3"/>
      <c r="EJ46" s="3"/>
      <c r="EK46" s="3"/>
      <c r="EL46" s="3"/>
      <c r="EM46" s="3"/>
      <c r="EN46" s="3"/>
      <c r="EO46" s="3"/>
      <c r="EP46" s="3"/>
      <c r="EQ46" s="3"/>
      <c r="ER46" s="3"/>
      <c r="ES46" s="3"/>
      <c r="ET46" s="3"/>
      <c r="EU46" s="3"/>
      <c r="EV46" s="3"/>
      <c r="EW46" s="3"/>
      <c r="EX46" s="3"/>
      <c r="EY46" s="3"/>
      <c r="EZ46" s="3"/>
      <c r="FA46" s="3"/>
      <c r="FB46" s="3"/>
      <c r="FC46" s="3"/>
      <c r="FD46" s="3"/>
      <c r="FE46" s="3"/>
      <c r="FF46" s="3"/>
      <c r="FG46" s="3"/>
      <c r="FH46" s="3"/>
      <c r="FI46" s="3"/>
      <c r="FJ46" s="3"/>
      <c r="FK46" s="3"/>
      <c r="FL46" s="3"/>
      <c r="FM46" s="3"/>
      <c r="FN46" s="3"/>
      <c r="FO46" s="3"/>
      <c r="FP46" s="3"/>
      <c r="FQ46" s="3"/>
      <c r="FR46" s="3"/>
      <c r="FS46" s="3"/>
      <c r="FT46" s="3"/>
      <c r="FU46" s="3"/>
      <c r="FV46" s="3"/>
      <c r="FW46" s="3"/>
      <c r="FX46" s="3"/>
      <c r="FY46" s="3"/>
      <c r="FZ46" s="3"/>
      <c r="GA46" s="3"/>
      <c r="GB46" s="3"/>
      <c r="GC46" s="3"/>
      <c r="GD46" s="3"/>
      <c r="GE46" s="3"/>
      <c r="GF46" s="3"/>
      <c r="GG46" s="3"/>
      <c r="GH46" s="3"/>
      <c r="GI46" s="3"/>
      <c r="GJ46" s="3"/>
      <c r="GK46" s="3"/>
      <c r="GL46" s="3"/>
      <c r="GM46" s="3"/>
      <c r="GN46" s="3"/>
      <c r="GO46" s="3"/>
      <c r="GP46" s="3"/>
      <c r="GQ46" s="3"/>
      <c r="GR46" s="3"/>
      <c r="GS46" s="3"/>
      <c r="GT46" s="3"/>
      <c r="GU46" s="3"/>
      <c r="GV46" s="3"/>
      <c r="GW46" s="3"/>
      <c r="GX46" s="3"/>
      <c r="GY46" s="3"/>
      <c r="GZ46" s="3"/>
      <c r="HA46" s="3"/>
      <c r="HB46" s="3"/>
      <c r="HC46" s="3"/>
      <c r="HD46" s="3"/>
      <c r="HE46" s="3"/>
      <c r="HF46" s="3"/>
    </row>
    <row r="47" spans="1:214" x14ac:dyDescent="0.25">
      <c r="A47" s="4"/>
      <c r="B47" s="4"/>
      <c r="C47" s="4"/>
      <c r="D47" s="4"/>
      <c r="E47" s="4"/>
      <c r="J47" s="4"/>
      <c r="K47" s="4"/>
      <c r="L47" s="4"/>
      <c r="M47" s="4"/>
      <c r="N47" s="4"/>
      <c r="O47" s="4"/>
      <c r="P47" s="109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  <c r="EG47" s="3"/>
      <c r="EH47" s="3"/>
      <c r="EI47" s="3"/>
      <c r="EJ47" s="3"/>
      <c r="EK47" s="3"/>
      <c r="EL47" s="3"/>
      <c r="EM47" s="3"/>
      <c r="EN47" s="3"/>
      <c r="EO47" s="3"/>
      <c r="EP47" s="3"/>
      <c r="EQ47" s="3"/>
      <c r="ER47" s="3"/>
      <c r="ES47" s="3"/>
      <c r="ET47" s="3"/>
      <c r="EU47" s="3"/>
      <c r="EV47" s="3"/>
      <c r="EW47" s="3"/>
      <c r="EX47" s="3"/>
      <c r="EY47" s="3"/>
      <c r="EZ47" s="3"/>
      <c r="FA47" s="3"/>
      <c r="FB47" s="3"/>
      <c r="FC47" s="3"/>
      <c r="FD47" s="3"/>
      <c r="FE47" s="3"/>
      <c r="FF47" s="3"/>
      <c r="FG47" s="3"/>
      <c r="FH47" s="3"/>
      <c r="FI47" s="3"/>
      <c r="FJ47" s="3"/>
      <c r="FK47" s="3"/>
      <c r="FL47" s="3"/>
      <c r="FM47" s="3"/>
      <c r="FN47" s="3"/>
      <c r="FO47" s="3"/>
      <c r="FP47" s="3"/>
      <c r="FQ47" s="3"/>
      <c r="FR47" s="3"/>
      <c r="FS47" s="3"/>
      <c r="FT47" s="3"/>
      <c r="FU47" s="3"/>
      <c r="FV47" s="3"/>
      <c r="FW47" s="3"/>
      <c r="FX47" s="3"/>
      <c r="FY47" s="3"/>
      <c r="FZ47" s="3"/>
      <c r="GA47" s="3"/>
      <c r="GB47" s="3"/>
      <c r="GC47" s="3"/>
      <c r="GD47" s="3"/>
      <c r="GE47" s="3"/>
      <c r="GF47" s="3"/>
      <c r="GG47" s="3"/>
      <c r="GH47" s="3"/>
      <c r="GI47" s="3"/>
      <c r="GJ47" s="3"/>
      <c r="GK47" s="3"/>
      <c r="GL47" s="3"/>
      <c r="GM47" s="3"/>
      <c r="GN47" s="3"/>
      <c r="GO47" s="3"/>
      <c r="GP47" s="3"/>
      <c r="GQ47" s="3"/>
      <c r="GR47" s="3"/>
      <c r="GS47" s="3"/>
      <c r="GT47" s="3"/>
      <c r="GU47" s="3"/>
      <c r="GV47" s="3"/>
      <c r="GW47" s="3"/>
      <c r="GX47" s="3"/>
      <c r="GY47" s="3"/>
      <c r="GZ47" s="3"/>
      <c r="HA47" s="3"/>
      <c r="HB47" s="3"/>
      <c r="HC47" s="3"/>
      <c r="HD47" s="3"/>
      <c r="HE47" s="3"/>
      <c r="HF47" s="3"/>
    </row>
    <row r="48" spans="1:214" x14ac:dyDescent="0.25">
      <c r="A48" s="4"/>
      <c r="B48" s="4"/>
      <c r="C48" s="4"/>
      <c r="D48" s="4"/>
      <c r="E48" s="4"/>
      <c r="I48" s="4"/>
      <c r="J48" s="4"/>
      <c r="K48" s="4"/>
      <c r="L48" s="4"/>
      <c r="M48" s="4"/>
      <c r="N48" s="4"/>
      <c r="O48" s="4"/>
      <c r="P48" s="109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3"/>
      <c r="DR48" s="3"/>
      <c r="DS48" s="3"/>
      <c r="DT48" s="3"/>
      <c r="DU48" s="3"/>
      <c r="DV48" s="3"/>
      <c r="DW48" s="3"/>
      <c r="DX48" s="3"/>
      <c r="DY48" s="3"/>
      <c r="DZ48" s="3"/>
      <c r="EA48" s="3"/>
      <c r="EB48" s="3"/>
      <c r="EC48" s="3"/>
      <c r="ED48" s="3"/>
      <c r="EE48" s="3"/>
      <c r="EF48" s="3"/>
      <c r="EG48" s="3"/>
      <c r="EH48" s="3"/>
      <c r="EI48" s="3"/>
      <c r="EJ48" s="3"/>
      <c r="EK48" s="3"/>
      <c r="EL48" s="3"/>
      <c r="EM48" s="3"/>
      <c r="EN48" s="3"/>
      <c r="EO48" s="3"/>
      <c r="EP48" s="3"/>
      <c r="EQ48" s="3"/>
      <c r="ER48" s="3"/>
      <c r="ES48" s="3"/>
      <c r="ET48" s="3"/>
      <c r="EU48" s="3"/>
      <c r="EV48" s="3"/>
      <c r="EW48" s="3"/>
      <c r="EX48" s="3"/>
      <c r="EY48" s="3"/>
      <c r="EZ48" s="3"/>
      <c r="FA48" s="3"/>
      <c r="FB48" s="3"/>
      <c r="FC48" s="3"/>
      <c r="FD48" s="3"/>
      <c r="FE48" s="3"/>
      <c r="FF48" s="3"/>
      <c r="FG48" s="3"/>
      <c r="FH48" s="3"/>
      <c r="FI48" s="3"/>
      <c r="FJ48" s="3"/>
      <c r="FK48" s="3"/>
      <c r="FL48" s="3"/>
      <c r="FM48" s="3"/>
      <c r="FN48" s="3"/>
      <c r="FO48" s="3"/>
      <c r="FP48" s="3"/>
      <c r="FQ48" s="3"/>
      <c r="FR48" s="3"/>
      <c r="FS48" s="3"/>
      <c r="FT48" s="3"/>
      <c r="FU48" s="3"/>
      <c r="FV48" s="3"/>
      <c r="FW48" s="3"/>
      <c r="FX48" s="3"/>
      <c r="FY48" s="3"/>
      <c r="FZ48" s="3"/>
      <c r="GA48" s="3"/>
      <c r="GB48" s="3"/>
      <c r="GC48" s="3"/>
      <c r="GD48" s="3"/>
      <c r="GE48" s="3"/>
      <c r="GF48" s="3"/>
      <c r="GG48" s="3"/>
      <c r="GH48" s="3"/>
      <c r="GI48" s="3"/>
      <c r="GJ48" s="3"/>
      <c r="GK48" s="3"/>
      <c r="GL48" s="3"/>
      <c r="GM48" s="3"/>
      <c r="GN48" s="3"/>
      <c r="GO48" s="3"/>
      <c r="GP48" s="3"/>
      <c r="GQ48" s="3"/>
      <c r="GR48" s="3"/>
      <c r="GS48" s="3"/>
      <c r="GT48" s="3"/>
      <c r="GU48" s="3"/>
      <c r="GV48" s="3"/>
      <c r="GW48" s="3"/>
      <c r="GX48" s="3"/>
      <c r="GY48" s="3"/>
      <c r="GZ48" s="3"/>
      <c r="HA48" s="3"/>
      <c r="HB48" s="3"/>
      <c r="HC48" s="3"/>
      <c r="HD48" s="3"/>
      <c r="HE48" s="3"/>
      <c r="HF48" s="3"/>
    </row>
    <row r="49" spans="1:214" x14ac:dyDescent="0.25">
      <c r="A49" s="4"/>
      <c r="B49" s="4"/>
      <c r="C49" s="4"/>
      <c r="D49" s="4"/>
      <c r="E49" s="4"/>
      <c r="I49" s="4"/>
      <c r="J49" s="4"/>
      <c r="K49" s="4"/>
      <c r="L49" s="4"/>
      <c r="M49" s="4"/>
      <c r="N49" s="4"/>
      <c r="O49" s="4"/>
      <c r="P49" s="109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  <c r="DL49" s="3"/>
      <c r="DM49" s="3"/>
      <c r="DN49" s="3"/>
      <c r="DO49" s="3"/>
      <c r="DP49" s="3"/>
      <c r="DQ49" s="3"/>
      <c r="DR49" s="3"/>
      <c r="DS49" s="3"/>
      <c r="DT49" s="3"/>
      <c r="DU49" s="3"/>
      <c r="DV49" s="3"/>
      <c r="DW49" s="3"/>
      <c r="DX49" s="3"/>
      <c r="DY49" s="3"/>
      <c r="DZ49" s="3"/>
      <c r="EA49" s="3"/>
      <c r="EB49" s="3"/>
      <c r="EC49" s="3"/>
      <c r="ED49" s="3"/>
      <c r="EE49" s="3"/>
      <c r="EF49" s="3"/>
      <c r="EG49" s="3"/>
      <c r="EH49" s="3"/>
      <c r="EI49" s="3"/>
      <c r="EJ49" s="3"/>
      <c r="EK49" s="3"/>
      <c r="EL49" s="3"/>
      <c r="EM49" s="3"/>
      <c r="EN49" s="3"/>
      <c r="EO49" s="3"/>
      <c r="EP49" s="3"/>
      <c r="EQ49" s="3"/>
      <c r="ER49" s="3"/>
      <c r="ES49" s="3"/>
      <c r="ET49" s="3"/>
      <c r="EU49" s="3"/>
      <c r="EV49" s="3"/>
      <c r="EW49" s="3"/>
      <c r="EX49" s="3"/>
      <c r="EY49" s="3"/>
      <c r="EZ49" s="3"/>
      <c r="FA49" s="3"/>
      <c r="FB49" s="3"/>
      <c r="FC49" s="3"/>
      <c r="FD49" s="3"/>
      <c r="FE49" s="3"/>
      <c r="FF49" s="3"/>
      <c r="FG49" s="3"/>
      <c r="FH49" s="3"/>
      <c r="FI49" s="3"/>
      <c r="FJ49" s="3"/>
      <c r="FK49" s="3"/>
      <c r="FL49" s="3"/>
      <c r="FM49" s="3"/>
      <c r="FN49" s="3"/>
      <c r="FO49" s="3"/>
      <c r="FP49" s="3"/>
      <c r="FQ49" s="3"/>
      <c r="FR49" s="3"/>
      <c r="FS49" s="3"/>
      <c r="FT49" s="3"/>
      <c r="FU49" s="3"/>
      <c r="FV49" s="3"/>
      <c r="FW49" s="3"/>
      <c r="FX49" s="3"/>
      <c r="FY49" s="3"/>
      <c r="FZ49" s="3"/>
      <c r="GA49" s="3"/>
      <c r="GB49" s="3"/>
      <c r="GC49" s="3"/>
      <c r="GD49" s="3"/>
      <c r="GE49" s="3"/>
      <c r="GF49" s="3"/>
      <c r="GG49" s="3"/>
      <c r="GH49" s="3"/>
      <c r="GI49" s="3"/>
      <c r="GJ49" s="3"/>
      <c r="GK49" s="3"/>
      <c r="GL49" s="3"/>
      <c r="GM49" s="3"/>
      <c r="GN49" s="3"/>
      <c r="GO49" s="3"/>
      <c r="GP49" s="3"/>
      <c r="GQ49" s="3"/>
      <c r="GR49" s="3"/>
      <c r="GS49" s="3"/>
      <c r="GT49" s="3"/>
      <c r="GU49" s="3"/>
      <c r="GV49" s="3"/>
      <c r="GW49" s="3"/>
      <c r="GX49" s="3"/>
      <c r="GY49" s="3"/>
      <c r="GZ49" s="3"/>
      <c r="HA49" s="3"/>
      <c r="HB49" s="3"/>
      <c r="HC49" s="3"/>
      <c r="HD49" s="3"/>
      <c r="HE49" s="3"/>
      <c r="HF49" s="3"/>
    </row>
    <row r="50" spans="1:214" x14ac:dyDescent="0.25">
      <c r="A50" s="4"/>
      <c r="B50" s="4"/>
      <c r="C50" s="4"/>
      <c r="D50" s="4"/>
      <c r="E50" s="4"/>
      <c r="I50" s="4"/>
      <c r="J50" s="4"/>
      <c r="K50" s="4"/>
      <c r="L50" s="4"/>
      <c r="M50" s="4"/>
      <c r="N50" s="4"/>
      <c r="O50" s="4"/>
      <c r="P50" s="109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  <c r="EG50" s="3"/>
      <c r="EH50" s="3"/>
      <c r="EI50" s="3"/>
      <c r="EJ50" s="3"/>
      <c r="EK50" s="3"/>
      <c r="EL50" s="3"/>
      <c r="EM50" s="3"/>
      <c r="EN50" s="3"/>
      <c r="EO50" s="3"/>
      <c r="EP50" s="3"/>
      <c r="EQ50" s="3"/>
      <c r="ER50" s="3"/>
      <c r="ES50" s="3"/>
      <c r="ET50" s="3"/>
      <c r="EU50" s="3"/>
      <c r="EV50" s="3"/>
      <c r="EW50" s="3"/>
      <c r="EX50" s="3"/>
      <c r="EY50" s="3"/>
      <c r="EZ50" s="3"/>
      <c r="FA50" s="3"/>
      <c r="FB50" s="3"/>
      <c r="FC50" s="3"/>
      <c r="FD50" s="3"/>
      <c r="FE50" s="3"/>
      <c r="FF50" s="3"/>
      <c r="FG50" s="3"/>
      <c r="FH50" s="3"/>
      <c r="FI50" s="3"/>
      <c r="FJ50" s="3"/>
      <c r="FK50" s="3"/>
      <c r="FL50" s="3"/>
      <c r="FM50" s="3"/>
      <c r="FN50" s="3"/>
      <c r="FO50" s="3"/>
      <c r="FP50" s="3"/>
      <c r="FQ50" s="3"/>
      <c r="FR50" s="3"/>
      <c r="FS50" s="3"/>
      <c r="FT50" s="3"/>
      <c r="FU50" s="3"/>
      <c r="FV50" s="3"/>
      <c r="FW50" s="3"/>
      <c r="FX50" s="3"/>
      <c r="FY50" s="3"/>
      <c r="FZ50" s="3"/>
      <c r="GA50" s="3"/>
      <c r="GB50" s="3"/>
      <c r="GC50" s="3"/>
      <c r="GD50" s="3"/>
      <c r="GE50" s="3"/>
      <c r="GF50" s="3"/>
      <c r="GG50" s="3"/>
      <c r="GH50" s="3"/>
      <c r="GI50" s="3"/>
      <c r="GJ50" s="3"/>
      <c r="GK50" s="3"/>
      <c r="GL50" s="3"/>
      <c r="GM50" s="3"/>
      <c r="GN50" s="3"/>
      <c r="GO50" s="3"/>
      <c r="GP50" s="3"/>
      <c r="GQ50" s="3"/>
      <c r="GR50" s="3"/>
      <c r="GS50" s="3"/>
      <c r="GT50" s="3"/>
      <c r="GU50" s="3"/>
      <c r="GV50" s="3"/>
      <c r="GW50" s="3"/>
      <c r="GX50" s="3"/>
      <c r="GY50" s="3"/>
      <c r="GZ50" s="3"/>
      <c r="HA50" s="3"/>
      <c r="HB50" s="3"/>
      <c r="HC50" s="3"/>
      <c r="HD50" s="3"/>
      <c r="HE50" s="3"/>
      <c r="HF50" s="3"/>
    </row>
    <row r="51" spans="1:214" x14ac:dyDescent="0.25">
      <c r="A51" s="4"/>
      <c r="B51" s="4"/>
      <c r="C51" s="4"/>
      <c r="D51" s="4"/>
      <c r="E51" s="4"/>
      <c r="I51" s="4"/>
      <c r="J51" s="4"/>
      <c r="K51" s="4"/>
      <c r="L51" s="4"/>
      <c r="M51" s="4"/>
      <c r="N51" s="4"/>
      <c r="O51" s="4"/>
      <c r="P51" s="109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  <c r="DN51" s="3"/>
      <c r="DO51" s="3"/>
      <c r="DP51" s="3"/>
      <c r="DQ51" s="3"/>
      <c r="DR51" s="3"/>
      <c r="DS51" s="3"/>
      <c r="DT51" s="3"/>
      <c r="DU51" s="3"/>
      <c r="DV51" s="3"/>
      <c r="DW51" s="3"/>
      <c r="DX51" s="3"/>
      <c r="DY51" s="3"/>
      <c r="DZ51" s="3"/>
      <c r="EA51" s="3"/>
      <c r="EB51" s="3"/>
      <c r="EC51" s="3"/>
      <c r="ED51" s="3"/>
      <c r="EE51" s="3"/>
      <c r="EF51" s="3"/>
      <c r="EG51" s="3"/>
      <c r="EH51" s="3"/>
      <c r="EI51" s="3"/>
      <c r="EJ51" s="3"/>
      <c r="EK51" s="3"/>
      <c r="EL51" s="3"/>
      <c r="EM51" s="3"/>
      <c r="EN51" s="3"/>
      <c r="EO51" s="3"/>
      <c r="EP51" s="3"/>
      <c r="EQ51" s="3"/>
      <c r="ER51" s="3"/>
      <c r="ES51" s="3"/>
      <c r="ET51" s="3"/>
      <c r="EU51" s="3"/>
      <c r="EV51" s="3"/>
      <c r="EW51" s="3"/>
      <c r="EX51" s="3"/>
      <c r="EY51" s="3"/>
      <c r="EZ51" s="3"/>
      <c r="FA51" s="3"/>
      <c r="FB51" s="3"/>
      <c r="FC51" s="3"/>
      <c r="FD51" s="3"/>
      <c r="FE51" s="3"/>
      <c r="FF51" s="3"/>
      <c r="FG51" s="3"/>
      <c r="FH51" s="3"/>
      <c r="FI51" s="3"/>
      <c r="FJ51" s="3"/>
      <c r="FK51" s="3"/>
      <c r="FL51" s="3"/>
      <c r="FM51" s="3"/>
      <c r="FN51" s="3"/>
      <c r="FO51" s="3"/>
      <c r="FP51" s="3"/>
      <c r="FQ51" s="3"/>
      <c r="FR51" s="3"/>
      <c r="FS51" s="3"/>
      <c r="FT51" s="3"/>
      <c r="FU51" s="3"/>
      <c r="FV51" s="3"/>
      <c r="FW51" s="3"/>
      <c r="FX51" s="3"/>
      <c r="FY51" s="3"/>
      <c r="FZ51" s="3"/>
      <c r="GA51" s="3"/>
      <c r="GB51" s="3"/>
      <c r="GC51" s="3"/>
      <c r="GD51" s="3"/>
      <c r="GE51" s="3"/>
      <c r="GF51" s="3"/>
      <c r="GG51" s="3"/>
      <c r="GH51" s="3"/>
      <c r="GI51" s="3"/>
      <c r="GJ51" s="3"/>
      <c r="GK51" s="3"/>
      <c r="GL51" s="3"/>
      <c r="GM51" s="3"/>
      <c r="GN51" s="3"/>
      <c r="GO51" s="3"/>
      <c r="GP51" s="3"/>
      <c r="GQ51" s="3"/>
      <c r="GR51" s="3"/>
      <c r="GS51" s="3"/>
      <c r="GT51" s="3"/>
      <c r="GU51" s="3"/>
      <c r="GV51" s="3"/>
      <c r="GW51" s="3"/>
      <c r="GX51" s="3"/>
      <c r="GY51" s="3"/>
      <c r="GZ51" s="3"/>
      <c r="HA51" s="3"/>
      <c r="HB51" s="3"/>
      <c r="HC51" s="3"/>
      <c r="HD51" s="3"/>
      <c r="HE51" s="3"/>
      <c r="HF51" s="3"/>
    </row>
    <row r="52" spans="1:214" x14ac:dyDescent="0.25">
      <c r="A52" s="98">
        <v>1</v>
      </c>
      <c r="B52" s="5"/>
      <c r="C52" s="5">
        <v>3</v>
      </c>
      <c r="D52" s="5">
        <v>4</v>
      </c>
      <c r="E52" s="98">
        <v>5</v>
      </c>
      <c r="F52" s="110">
        <v>6</v>
      </c>
      <c r="G52" s="5">
        <v>7</v>
      </c>
      <c r="H52" s="5">
        <v>8</v>
      </c>
      <c r="I52" s="98">
        <v>9</v>
      </c>
      <c r="J52" s="5">
        <v>10</v>
      </c>
      <c r="K52" s="5">
        <v>11</v>
      </c>
      <c r="L52" s="5">
        <v>12</v>
      </c>
      <c r="M52" s="98">
        <v>13</v>
      </c>
      <c r="N52" s="5">
        <v>14</v>
      </c>
      <c r="O52" s="5">
        <v>15</v>
      </c>
      <c r="P52" s="10">
        <v>16</v>
      </c>
      <c r="Q52" s="113">
        <v>17</v>
      </c>
      <c r="R52" s="112">
        <v>18</v>
      </c>
      <c r="S52" s="112">
        <v>19</v>
      </c>
      <c r="T52" s="112">
        <v>20</v>
      </c>
      <c r="U52" s="113">
        <v>21</v>
      </c>
      <c r="V52" s="112">
        <v>22</v>
      </c>
      <c r="W52" s="112">
        <v>23</v>
      </c>
      <c r="X52" s="112">
        <v>24</v>
      </c>
      <c r="Y52" s="113">
        <v>25</v>
      </c>
      <c r="Z52" s="112">
        <v>26</v>
      </c>
      <c r="AA52" s="112">
        <v>27</v>
      </c>
      <c r="AB52" s="112">
        <v>28</v>
      </c>
      <c r="AC52" s="113">
        <v>29</v>
      </c>
      <c r="AD52" s="3">
        <v>30</v>
      </c>
      <c r="AE52" s="112">
        <v>31</v>
      </c>
      <c r="AF52" s="112">
        <v>32</v>
      </c>
      <c r="AG52" s="113">
        <v>33</v>
      </c>
      <c r="AH52" s="111">
        <v>34</v>
      </c>
      <c r="AI52" s="3">
        <v>35</v>
      </c>
      <c r="AJ52" s="112">
        <v>36</v>
      </c>
      <c r="AK52" s="113">
        <v>37</v>
      </c>
      <c r="AL52" s="112">
        <v>38</v>
      </c>
      <c r="AM52" s="111">
        <v>39</v>
      </c>
      <c r="AN52" s="3">
        <v>40</v>
      </c>
      <c r="AO52" s="113">
        <v>41</v>
      </c>
      <c r="AP52" s="112">
        <v>42</v>
      </c>
      <c r="AQ52" s="112">
        <v>43</v>
      </c>
      <c r="AR52" s="111">
        <v>44</v>
      </c>
      <c r="AS52" s="113">
        <v>45</v>
      </c>
      <c r="AT52" s="112">
        <v>46</v>
      </c>
      <c r="AU52" s="112">
        <v>47</v>
      </c>
      <c r="AV52" s="112">
        <v>48</v>
      </c>
      <c r="AW52" s="113">
        <v>49</v>
      </c>
      <c r="AX52" s="3">
        <v>50</v>
      </c>
      <c r="AY52" s="112">
        <v>51</v>
      </c>
      <c r="AZ52" s="112">
        <v>52</v>
      </c>
      <c r="BA52" s="113">
        <v>53</v>
      </c>
      <c r="BB52" s="111">
        <v>54</v>
      </c>
      <c r="BC52" s="3">
        <v>55</v>
      </c>
      <c r="BD52" s="112">
        <v>56</v>
      </c>
      <c r="BE52" s="113">
        <v>57</v>
      </c>
      <c r="BF52" s="112">
        <v>58</v>
      </c>
      <c r="BG52" s="111">
        <v>59</v>
      </c>
      <c r="BH52" s="3">
        <v>60</v>
      </c>
      <c r="BI52" s="113">
        <v>61</v>
      </c>
      <c r="BJ52" s="112">
        <v>62</v>
      </c>
      <c r="BK52" s="112">
        <v>63</v>
      </c>
      <c r="BL52" s="111">
        <v>64</v>
      </c>
      <c r="BM52" s="113">
        <v>65</v>
      </c>
      <c r="BN52" s="112">
        <v>66</v>
      </c>
      <c r="BO52" s="112">
        <v>67</v>
      </c>
      <c r="BP52" s="112">
        <v>68</v>
      </c>
      <c r="BQ52" s="113">
        <v>69</v>
      </c>
      <c r="BR52" s="3">
        <v>70</v>
      </c>
      <c r="BS52" s="112">
        <v>71</v>
      </c>
      <c r="BT52" s="112">
        <v>72</v>
      </c>
      <c r="BU52" s="113">
        <v>73</v>
      </c>
      <c r="BV52" s="111">
        <v>74</v>
      </c>
      <c r="BW52" s="3">
        <v>75</v>
      </c>
      <c r="BX52" s="112">
        <v>76</v>
      </c>
      <c r="BY52" s="113">
        <v>77</v>
      </c>
      <c r="BZ52" s="112">
        <v>78</v>
      </c>
      <c r="CA52" s="111">
        <v>79</v>
      </c>
      <c r="CB52" s="3">
        <v>80</v>
      </c>
      <c r="CC52" s="113">
        <v>81</v>
      </c>
      <c r="CD52" s="112">
        <v>82</v>
      </c>
      <c r="CE52" s="112">
        <v>83</v>
      </c>
      <c r="CF52" s="111">
        <v>84</v>
      </c>
      <c r="CG52" s="113">
        <v>85</v>
      </c>
      <c r="CH52" s="112">
        <v>86</v>
      </c>
      <c r="CI52" s="112">
        <v>87</v>
      </c>
      <c r="CJ52" s="112">
        <v>88</v>
      </c>
      <c r="CK52" s="113">
        <v>89</v>
      </c>
      <c r="CL52" s="3">
        <v>90</v>
      </c>
      <c r="CM52" s="112">
        <v>91</v>
      </c>
      <c r="CN52" s="112">
        <v>92</v>
      </c>
      <c r="CO52" s="113">
        <v>93</v>
      </c>
      <c r="CP52" s="111">
        <v>94</v>
      </c>
      <c r="CQ52" s="3">
        <v>95</v>
      </c>
      <c r="CR52" s="112">
        <v>96</v>
      </c>
      <c r="CS52" s="113">
        <v>97</v>
      </c>
      <c r="CT52" s="112">
        <v>98</v>
      </c>
      <c r="CU52" s="111">
        <v>99</v>
      </c>
      <c r="CV52" s="3">
        <v>100</v>
      </c>
      <c r="CW52" s="113">
        <v>101</v>
      </c>
      <c r="CX52" s="112">
        <v>102</v>
      </c>
      <c r="CY52" s="112">
        <v>103</v>
      </c>
      <c r="CZ52" s="111">
        <v>104</v>
      </c>
      <c r="DA52" s="113">
        <v>105</v>
      </c>
      <c r="DB52" s="112">
        <v>106</v>
      </c>
      <c r="DC52" s="112">
        <v>107</v>
      </c>
      <c r="DD52" s="112">
        <v>108</v>
      </c>
      <c r="DE52" s="113">
        <v>109</v>
      </c>
      <c r="DF52" s="3">
        <v>110</v>
      </c>
      <c r="DG52" s="112">
        <v>111</v>
      </c>
      <c r="DH52" s="112">
        <v>112</v>
      </c>
      <c r="DI52" s="113">
        <v>113</v>
      </c>
      <c r="DJ52" s="111">
        <v>114</v>
      </c>
      <c r="DK52" s="3">
        <v>115</v>
      </c>
      <c r="DL52" s="112">
        <v>116</v>
      </c>
      <c r="DM52" s="113">
        <v>117</v>
      </c>
      <c r="DN52" s="112">
        <v>118</v>
      </c>
      <c r="DO52" s="111">
        <v>119</v>
      </c>
      <c r="DP52" s="3">
        <v>120</v>
      </c>
      <c r="DQ52" s="113">
        <v>121</v>
      </c>
      <c r="DR52" s="112">
        <v>122</v>
      </c>
      <c r="DS52" s="112">
        <v>123</v>
      </c>
      <c r="DT52" s="111">
        <v>124</v>
      </c>
      <c r="DU52" s="113">
        <v>125</v>
      </c>
      <c r="DV52" s="112">
        <v>126</v>
      </c>
      <c r="DW52" s="112">
        <v>127</v>
      </c>
      <c r="DX52" s="112">
        <v>128</v>
      </c>
      <c r="DY52" s="113">
        <v>129</v>
      </c>
      <c r="DZ52" s="3">
        <v>130</v>
      </c>
      <c r="EA52" s="112">
        <v>131</v>
      </c>
      <c r="EB52" s="112">
        <v>132</v>
      </c>
      <c r="EC52" s="113">
        <v>133</v>
      </c>
      <c r="ED52" s="111">
        <v>134</v>
      </c>
      <c r="EE52" s="3">
        <v>135</v>
      </c>
      <c r="EF52" s="112">
        <v>136</v>
      </c>
      <c r="EG52" s="113">
        <v>137</v>
      </c>
      <c r="EH52" s="112">
        <v>138</v>
      </c>
      <c r="EI52" s="111">
        <v>139</v>
      </c>
      <c r="EJ52" s="3">
        <v>140</v>
      </c>
      <c r="EK52" s="113">
        <v>141</v>
      </c>
      <c r="EL52" s="112">
        <v>142</v>
      </c>
      <c r="EM52" s="112">
        <v>143</v>
      </c>
      <c r="EN52" s="111">
        <v>144</v>
      </c>
      <c r="EO52" s="113">
        <v>145</v>
      </c>
      <c r="EP52" s="112">
        <v>146</v>
      </c>
      <c r="EQ52" s="112">
        <v>147</v>
      </c>
      <c r="ER52" s="112">
        <v>148</v>
      </c>
      <c r="ES52" s="113">
        <v>149</v>
      </c>
      <c r="ET52" s="3">
        <v>150</v>
      </c>
      <c r="EU52" s="112">
        <v>151</v>
      </c>
      <c r="EV52" s="112">
        <v>152</v>
      </c>
      <c r="EW52" s="113">
        <v>153</v>
      </c>
      <c r="EX52" s="111">
        <v>154</v>
      </c>
      <c r="EY52" s="3">
        <v>155</v>
      </c>
      <c r="EZ52" s="112">
        <v>156</v>
      </c>
      <c r="FA52" s="113">
        <v>157</v>
      </c>
      <c r="FB52" s="112">
        <v>158</v>
      </c>
      <c r="FC52" s="111">
        <v>159</v>
      </c>
      <c r="FD52" s="3">
        <v>160</v>
      </c>
      <c r="FE52" s="113">
        <v>161</v>
      </c>
      <c r="FF52" s="112">
        <v>162</v>
      </c>
      <c r="FG52" s="112">
        <v>163</v>
      </c>
      <c r="FH52" s="111">
        <v>164</v>
      </c>
      <c r="FI52" s="113">
        <v>165</v>
      </c>
      <c r="FJ52" s="112">
        <v>166</v>
      </c>
      <c r="FK52" s="112">
        <v>167</v>
      </c>
      <c r="FL52" s="112">
        <v>168</v>
      </c>
      <c r="FM52" s="113">
        <v>169</v>
      </c>
      <c r="FN52" s="3">
        <v>170</v>
      </c>
      <c r="FO52" s="112">
        <v>171</v>
      </c>
      <c r="FP52" s="112">
        <v>172</v>
      </c>
      <c r="FQ52" s="113">
        <v>173</v>
      </c>
      <c r="FR52" s="111">
        <v>174</v>
      </c>
      <c r="FS52" s="3">
        <v>175</v>
      </c>
      <c r="FT52" s="112">
        <v>176</v>
      </c>
      <c r="FU52" s="113">
        <v>177</v>
      </c>
      <c r="FV52" s="112">
        <v>178</v>
      </c>
      <c r="FW52" s="111">
        <v>179</v>
      </c>
      <c r="FX52" s="3">
        <v>180</v>
      </c>
      <c r="FY52" s="113">
        <v>181</v>
      </c>
      <c r="FZ52" s="112">
        <v>182</v>
      </c>
      <c r="GA52" s="112">
        <v>183</v>
      </c>
      <c r="GB52" s="111">
        <v>184</v>
      </c>
      <c r="GC52" s="113">
        <v>185</v>
      </c>
      <c r="GD52" s="112">
        <v>186</v>
      </c>
      <c r="GE52" s="112">
        <v>187</v>
      </c>
      <c r="GF52" s="112">
        <v>188</v>
      </c>
      <c r="GG52" s="113">
        <v>189</v>
      </c>
      <c r="GH52" s="3">
        <v>190</v>
      </c>
      <c r="GI52" s="112">
        <v>191</v>
      </c>
      <c r="GJ52" s="112">
        <v>192</v>
      </c>
      <c r="GK52" s="113">
        <v>193</v>
      </c>
      <c r="GL52" s="111">
        <v>194</v>
      </c>
      <c r="GM52" s="3">
        <v>195</v>
      </c>
      <c r="GN52" s="112">
        <v>196</v>
      </c>
      <c r="GO52" s="113">
        <v>197</v>
      </c>
      <c r="GP52" s="112">
        <v>198</v>
      </c>
      <c r="GQ52" s="111">
        <v>199</v>
      </c>
      <c r="GR52" s="3">
        <v>200</v>
      </c>
      <c r="GS52" s="113">
        <v>201</v>
      </c>
      <c r="GT52" s="112">
        <v>202</v>
      </c>
      <c r="GU52" s="112">
        <v>203</v>
      </c>
      <c r="GV52" s="111">
        <v>204</v>
      </c>
      <c r="GW52" s="113">
        <v>205</v>
      </c>
      <c r="GX52" s="112">
        <v>206</v>
      </c>
      <c r="GY52" s="112">
        <v>207</v>
      </c>
      <c r="GZ52" s="112">
        <v>208</v>
      </c>
      <c r="HA52" s="113">
        <v>209</v>
      </c>
      <c r="HB52" s="3">
        <v>210</v>
      </c>
      <c r="HC52" s="112">
        <v>211</v>
      </c>
      <c r="HD52" s="112">
        <v>212</v>
      </c>
      <c r="HE52" s="113">
        <v>213</v>
      </c>
      <c r="HF52" s="3"/>
    </row>
    <row r="53" spans="1:214" x14ac:dyDescent="0.25">
      <c r="A53" s="7"/>
      <c r="B53" s="5"/>
      <c r="C53" s="5"/>
      <c r="D53" s="5"/>
      <c r="E53" s="11"/>
      <c r="F53" s="100"/>
      <c r="G53" s="4"/>
      <c r="H53" s="4"/>
      <c r="I53" s="4"/>
      <c r="J53" s="4"/>
      <c r="K53" s="4"/>
      <c r="L53" s="4"/>
      <c r="M53" s="4"/>
      <c r="N53" s="4"/>
      <c r="O53" s="4"/>
      <c r="P53" s="109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  <c r="DL53" s="3"/>
      <c r="DM53" s="3"/>
      <c r="DN53" s="3"/>
      <c r="DO53" s="3"/>
      <c r="DP53" s="3"/>
      <c r="DQ53" s="3"/>
      <c r="DR53" s="3"/>
      <c r="DS53" s="3"/>
      <c r="DT53" s="3"/>
      <c r="DU53" s="3"/>
      <c r="DV53" s="3"/>
      <c r="DW53" s="3"/>
      <c r="DX53" s="3"/>
      <c r="DY53" s="3"/>
      <c r="DZ53" s="3"/>
      <c r="EA53" s="3"/>
      <c r="EB53" s="3"/>
      <c r="EC53" s="3"/>
      <c r="ED53" s="3"/>
      <c r="EE53" s="3"/>
      <c r="EF53" s="3"/>
      <c r="EG53" s="3"/>
      <c r="EH53" s="3"/>
      <c r="EI53" s="3"/>
      <c r="EJ53" s="3"/>
      <c r="EK53" s="3"/>
      <c r="EL53" s="3"/>
      <c r="EM53" s="3"/>
      <c r="EN53" s="3"/>
      <c r="EO53" s="3"/>
      <c r="EP53" s="3"/>
      <c r="EQ53" s="3"/>
      <c r="ER53" s="3"/>
      <c r="ES53" s="3"/>
      <c r="ET53" s="3"/>
      <c r="EU53" s="3"/>
      <c r="EV53" s="3"/>
      <c r="EW53" s="3"/>
      <c r="EX53" s="3"/>
      <c r="EY53" s="3"/>
      <c r="EZ53" s="3"/>
      <c r="FA53" s="3"/>
      <c r="FB53" s="3"/>
      <c r="FC53" s="3"/>
      <c r="FD53" s="3"/>
      <c r="FE53" s="3"/>
      <c r="FF53" s="3"/>
      <c r="FG53" s="3"/>
      <c r="FH53" s="3"/>
      <c r="FI53" s="3"/>
      <c r="FJ53" s="3"/>
      <c r="FK53" s="3"/>
      <c r="FL53" s="3"/>
      <c r="FM53" s="3"/>
      <c r="FN53" s="3"/>
      <c r="FO53" s="3"/>
      <c r="FP53" s="3"/>
      <c r="FQ53" s="3"/>
      <c r="FR53" s="3"/>
      <c r="FS53" s="3"/>
      <c r="FT53" s="3"/>
      <c r="FU53" s="3"/>
      <c r="FV53" s="3"/>
      <c r="FW53" s="3"/>
      <c r="FX53" s="3"/>
      <c r="FY53" s="3"/>
      <c r="FZ53" s="3"/>
      <c r="GA53" s="3"/>
      <c r="GB53" s="3"/>
      <c r="GC53" s="3"/>
      <c r="GD53" s="3"/>
      <c r="GE53" s="3"/>
      <c r="GF53" s="3"/>
      <c r="GG53" s="3"/>
      <c r="GH53" s="3"/>
      <c r="GI53" s="3"/>
      <c r="GJ53" s="3"/>
      <c r="GK53" s="3"/>
      <c r="GL53" s="3"/>
      <c r="GM53" s="3"/>
      <c r="GN53" s="3"/>
      <c r="GO53" s="3"/>
      <c r="GP53" s="3"/>
      <c r="GQ53" s="3"/>
      <c r="GR53" s="3"/>
      <c r="GS53" s="3"/>
      <c r="GT53" s="3"/>
      <c r="GU53" s="3"/>
      <c r="GV53" s="3"/>
      <c r="GW53" s="3"/>
      <c r="GX53" s="3"/>
      <c r="GY53" s="3"/>
      <c r="GZ53" s="3"/>
      <c r="HA53" s="3"/>
      <c r="HB53" s="3"/>
      <c r="HC53" s="3"/>
      <c r="HD53" s="3"/>
      <c r="HE53" s="3"/>
      <c r="HF53" s="3"/>
    </row>
    <row r="54" spans="1:214" x14ac:dyDescent="0.25">
      <c r="A54" s="7"/>
      <c r="B54" s="5"/>
      <c r="C54" s="5"/>
      <c r="D54" s="5"/>
      <c r="E54" s="11"/>
      <c r="F54" s="100"/>
      <c r="G54" s="4"/>
      <c r="H54" s="4"/>
      <c r="I54" s="4"/>
      <c r="J54" s="4"/>
      <c r="K54" s="4"/>
      <c r="L54" s="4"/>
      <c r="M54" s="4"/>
      <c r="N54" s="4"/>
      <c r="O54" s="4"/>
      <c r="P54" s="109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  <c r="DL54" s="3"/>
      <c r="DM54" s="3"/>
      <c r="DN54" s="3"/>
      <c r="DO54" s="3"/>
      <c r="DP54" s="3"/>
      <c r="DQ54" s="3"/>
      <c r="DR54" s="3"/>
      <c r="DS54" s="3"/>
      <c r="DT54" s="3"/>
      <c r="DU54" s="3"/>
      <c r="DV54" s="3"/>
      <c r="DW54" s="3"/>
      <c r="DX54" s="3"/>
      <c r="DY54" s="3"/>
      <c r="DZ54" s="3"/>
      <c r="EA54" s="3"/>
      <c r="EB54" s="3"/>
      <c r="EC54" s="3"/>
      <c r="ED54" s="3"/>
      <c r="EE54" s="3"/>
      <c r="EF54" s="3"/>
      <c r="EG54" s="3"/>
      <c r="EH54" s="3"/>
      <c r="EI54" s="3"/>
      <c r="EJ54" s="3"/>
      <c r="EK54" s="3"/>
      <c r="EL54" s="3"/>
      <c r="EM54" s="3"/>
      <c r="EN54" s="3"/>
      <c r="EO54" s="3"/>
      <c r="EP54" s="3"/>
      <c r="EQ54" s="3"/>
      <c r="ER54" s="3"/>
      <c r="ES54" s="3"/>
      <c r="ET54" s="3"/>
      <c r="EU54" s="3"/>
      <c r="EV54" s="3"/>
      <c r="EW54" s="3"/>
      <c r="EX54" s="3"/>
      <c r="EY54" s="3"/>
      <c r="EZ54" s="3"/>
      <c r="FA54" s="3"/>
      <c r="FB54" s="3"/>
      <c r="FC54" s="3"/>
      <c r="FD54" s="3"/>
      <c r="FE54" s="3"/>
      <c r="FF54" s="3"/>
      <c r="FG54" s="3"/>
      <c r="FH54" s="3"/>
      <c r="FI54" s="3"/>
      <c r="FJ54" s="3"/>
      <c r="FK54" s="3"/>
      <c r="FL54" s="3"/>
      <c r="FM54" s="3"/>
      <c r="FN54" s="3"/>
      <c r="FO54" s="3"/>
      <c r="FP54" s="3"/>
      <c r="FQ54" s="3"/>
      <c r="FR54" s="3"/>
      <c r="FS54" s="3"/>
      <c r="FT54" s="3"/>
      <c r="FU54" s="3"/>
      <c r="FV54" s="3"/>
      <c r="FW54" s="3"/>
      <c r="FX54" s="3"/>
      <c r="FY54" s="3"/>
      <c r="FZ54" s="3"/>
      <c r="GA54" s="3"/>
      <c r="GB54" s="3"/>
      <c r="GC54" s="3"/>
      <c r="GD54" s="3"/>
      <c r="GE54" s="3"/>
      <c r="GF54" s="3"/>
      <c r="GG54" s="3"/>
      <c r="GH54" s="3"/>
      <c r="GI54" s="3"/>
      <c r="GJ54" s="3"/>
      <c r="GK54" s="3"/>
      <c r="GL54" s="3"/>
      <c r="GM54" s="3"/>
      <c r="GN54" s="3"/>
      <c r="GO54" s="3"/>
      <c r="GP54" s="3"/>
      <c r="GQ54" s="3"/>
      <c r="GR54" s="3"/>
      <c r="GS54" s="3"/>
      <c r="GT54" s="3"/>
      <c r="GU54" s="3"/>
      <c r="GV54" s="3"/>
      <c r="GW54" s="3"/>
      <c r="GX54" s="3"/>
      <c r="GY54" s="3"/>
      <c r="GZ54" s="3"/>
      <c r="HA54" s="3"/>
      <c r="HB54" s="3"/>
      <c r="HC54" s="3"/>
      <c r="HD54" s="3"/>
      <c r="HE54" s="3"/>
      <c r="HF54" s="3"/>
    </row>
    <row r="55" spans="1:214" x14ac:dyDescent="0.25">
      <c r="A55" s="7"/>
      <c r="B55" s="5"/>
      <c r="C55" s="5"/>
      <c r="D55" s="5"/>
      <c r="E55" s="11"/>
      <c r="F55" s="100"/>
      <c r="G55" s="4"/>
      <c r="H55" s="4"/>
      <c r="I55" s="4"/>
      <c r="J55" s="4"/>
      <c r="K55" s="4"/>
      <c r="L55" s="4"/>
      <c r="M55" s="4"/>
      <c r="N55" s="4"/>
      <c r="O55" s="4"/>
      <c r="P55" s="109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  <c r="CU55" s="3"/>
      <c r="CV55" s="3"/>
      <c r="CW55" s="3"/>
      <c r="CX55" s="3"/>
      <c r="CY55" s="3"/>
      <c r="CZ55" s="3"/>
      <c r="DA55" s="3"/>
      <c r="DB55" s="3"/>
      <c r="DC55" s="3"/>
      <c r="DD55" s="3"/>
      <c r="DE55" s="3"/>
      <c r="DF55" s="3"/>
      <c r="DG55" s="3"/>
      <c r="DH55" s="3"/>
      <c r="DI55" s="3"/>
      <c r="DJ55" s="3"/>
      <c r="DK55" s="3"/>
      <c r="DL55" s="3"/>
      <c r="DM55" s="3"/>
      <c r="DN55" s="3"/>
      <c r="DO55" s="3"/>
      <c r="DP55" s="3"/>
      <c r="DQ55" s="3"/>
      <c r="DR55" s="3"/>
      <c r="DS55" s="3"/>
      <c r="DT55" s="3"/>
      <c r="DU55" s="3"/>
      <c r="DV55" s="3"/>
      <c r="DW55" s="3"/>
      <c r="DX55" s="3"/>
      <c r="DY55" s="3"/>
      <c r="DZ55" s="3"/>
      <c r="EA55" s="3"/>
      <c r="EB55" s="3"/>
      <c r="EC55" s="3"/>
      <c r="ED55" s="3"/>
      <c r="EE55" s="3"/>
      <c r="EF55" s="3"/>
      <c r="EG55" s="3"/>
      <c r="EH55" s="3"/>
      <c r="EI55" s="3"/>
      <c r="EJ55" s="3"/>
      <c r="EK55" s="3"/>
      <c r="EL55" s="3"/>
      <c r="EM55" s="3"/>
      <c r="EN55" s="3"/>
      <c r="EO55" s="3"/>
      <c r="EP55" s="3"/>
      <c r="EQ55" s="3"/>
      <c r="ER55" s="3"/>
      <c r="ES55" s="3"/>
      <c r="ET55" s="3"/>
      <c r="EU55" s="3"/>
      <c r="EV55" s="3"/>
      <c r="EW55" s="3"/>
      <c r="EX55" s="3"/>
      <c r="EY55" s="3"/>
      <c r="EZ55" s="3"/>
      <c r="FA55" s="3"/>
      <c r="FB55" s="3"/>
      <c r="FC55" s="3"/>
      <c r="FD55" s="3"/>
      <c r="FE55" s="3"/>
      <c r="FF55" s="3"/>
      <c r="FG55" s="3"/>
      <c r="FH55" s="3"/>
      <c r="FI55" s="3"/>
      <c r="FJ55" s="3"/>
      <c r="FK55" s="3"/>
      <c r="FL55" s="3"/>
      <c r="FM55" s="3"/>
      <c r="FN55" s="3"/>
      <c r="FO55" s="3"/>
      <c r="FP55" s="3"/>
      <c r="FQ55" s="3"/>
      <c r="FR55" s="3"/>
      <c r="FS55" s="3"/>
      <c r="FT55" s="3"/>
      <c r="FU55" s="3"/>
      <c r="FV55" s="3"/>
      <c r="FW55" s="3"/>
      <c r="FX55" s="3"/>
      <c r="FY55" s="3"/>
      <c r="FZ55" s="3"/>
      <c r="GA55" s="3"/>
      <c r="GB55" s="3"/>
      <c r="GC55" s="3"/>
      <c r="GD55" s="3"/>
      <c r="GE55" s="3"/>
      <c r="GF55" s="3"/>
      <c r="GG55" s="3"/>
      <c r="GH55" s="3"/>
      <c r="GI55" s="3"/>
      <c r="GJ55" s="3"/>
      <c r="GK55" s="3"/>
      <c r="GL55" s="3"/>
      <c r="GM55" s="3"/>
      <c r="GN55" s="3"/>
      <c r="GO55" s="3"/>
      <c r="GP55" s="3"/>
      <c r="GQ55" s="3"/>
      <c r="GR55" s="3"/>
      <c r="GS55" s="3"/>
      <c r="GT55" s="3"/>
      <c r="GU55" s="3"/>
      <c r="GV55" s="3"/>
      <c r="GW55" s="3"/>
      <c r="GX55" s="3"/>
      <c r="GY55" s="3"/>
      <c r="GZ55" s="3"/>
      <c r="HA55" s="3"/>
      <c r="HB55" s="3"/>
      <c r="HC55" s="3"/>
      <c r="HD55" s="3"/>
      <c r="HE55" s="3"/>
      <c r="HF55" s="3"/>
    </row>
    <row r="56" spans="1:214" x14ac:dyDescent="0.25">
      <c r="A56" s="7"/>
      <c r="B56" s="5"/>
      <c r="C56" s="5"/>
      <c r="D56" s="5"/>
      <c r="E56" s="11"/>
      <c r="F56" s="100"/>
      <c r="G56" s="4"/>
      <c r="H56" s="4"/>
      <c r="I56" s="4"/>
      <c r="J56" s="4"/>
      <c r="K56" s="4"/>
      <c r="L56" s="4"/>
      <c r="M56" s="4"/>
      <c r="N56" s="4"/>
      <c r="O56" s="4"/>
      <c r="P56" s="109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  <c r="CP56" s="3"/>
      <c r="CQ56" s="3"/>
      <c r="CR56" s="3"/>
      <c r="CS56" s="3"/>
      <c r="CT56" s="3"/>
      <c r="CU56" s="3"/>
      <c r="CV56" s="3"/>
      <c r="CW56" s="3"/>
      <c r="CX56" s="3"/>
      <c r="CY56" s="3"/>
      <c r="CZ56" s="3"/>
      <c r="DA56" s="3"/>
      <c r="DB56" s="3"/>
      <c r="DC56" s="3"/>
      <c r="DD56" s="3"/>
      <c r="DE56" s="3"/>
      <c r="DF56" s="3"/>
      <c r="DG56" s="3"/>
      <c r="DH56" s="3"/>
      <c r="DI56" s="3"/>
      <c r="DJ56" s="3"/>
      <c r="DK56" s="3"/>
      <c r="DL56" s="3"/>
      <c r="DM56" s="3"/>
      <c r="DN56" s="3"/>
      <c r="DO56" s="3"/>
      <c r="DP56" s="3"/>
      <c r="DQ56" s="3"/>
      <c r="DR56" s="3"/>
      <c r="DS56" s="3"/>
      <c r="DT56" s="3"/>
      <c r="DU56" s="3"/>
      <c r="DV56" s="3"/>
      <c r="DW56" s="3"/>
      <c r="DX56" s="3"/>
      <c r="DY56" s="3"/>
      <c r="DZ56" s="3"/>
      <c r="EA56" s="3"/>
      <c r="EB56" s="3"/>
      <c r="EC56" s="3"/>
      <c r="ED56" s="3"/>
      <c r="EE56" s="3"/>
      <c r="EF56" s="3"/>
      <c r="EG56" s="3"/>
      <c r="EH56" s="3"/>
      <c r="EI56" s="3"/>
      <c r="EJ56" s="3"/>
      <c r="EK56" s="3"/>
      <c r="EL56" s="3"/>
      <c r="EM56" s="3"/>
      <c r="EN56" s="3"/>
      <c r="EO56" s="3"/>
      <c r="EP56" s="3"/>
      <c r="EQ56" s="3"/>
      <c r="ER56" s="3"/>
      <c r="ES56" s="3"/>
      <c r="ET56" s="3"/>
      <c r="EU56" s="3"/>
      <c r="EV56" s="3"/>
      <c r="EW56" s="3"/>
      <c r="EX56" s="3"/>
      <c r="EY56" s="3"/>
      <c r="EZ56" s="3"/>
      <c r="FA56" s="3"/>
      <c r="FB56" s="3"/>
      <c r="FC56" s="3"/>
      <c r="FD56" s="3"/>
      <c r="FE56" s="3"/>
      <c r="FF56" s="3"/>
      <c r="FG56" s="3"/>
      <c r="FH56" s="3"/>
      <c r="FI56" s="3"/>
      <c r="FJ56" s="3"/>
      <c r="FK56" s="3"/>
      <c r="FL56" s="3"/>
      <c r="FM56" s="3"/>
      <c r="FN56" s="3"/>
      <c r="FO56" s="3"/>
      <c r="FP56" s="3"/>
      <c r="FQ56" s="3"/>
      <c r="FR56" s="3"/>
      <c r="FS56" s="3"/>
      <c r="FT56" s="3"/>
      <c r="FU56" s="3"/>
      <c r="FV56" s="3"/>
      <c r="FW56" s="3"/>
      <c r="FX56" s="3"/>
      <c r="FY56" s="3"/>
      <c r="FZ56" s="3"/>
      <c r="GA56" s="3"/>
      <c r="GB56" s="3"/>
      <c r="GC56" s="3"/>
      <c r="GD56" s="3"/>
      <c r="GE56" s="3"/>
      <c r="GF56" s="3"/>
      <c r="GG56" s="3"/>
      <c r="GH56" s="3"/>
      <c r="GI56" s="3"/>
      <c r="GJ56" s="3"/>
      <c r="GK56" s="3"/>
      <c r="GL56" s="3"/>
      <c r="GM56" s="3"/>
      <c r="GN56" s="3"/>
      <c r="GO56" s="3"/>
      <c r="GP56" s="3"/>
      <c r="GQ56" s="3"/>
      <c r="GR56" s="3"/>
      <c r="GS56" s="3"/>
      <c r="GT56" s="3"/>
      <c r="GU56" s="3"/>
      <c r="GV56" s="3"/>
      <c r="GW56" s="3"/>
      <c r="GX56" s="3"/>
      <c r="GY56" s="3"/>
      <c r="GZ56" s="3"/>
      <c r="HA56" s="3"/>
      <c r="HB56" s="3"/>
      <c r="HC56" s="3"/>
      <c r="HD56" s="3"/>
      <c r="HE56" s="3"/>
      <c r="HF56" s="3"/>
    </row>
    <row r="57" spans="1:214" x14ac:dyDescent="0.25">
      <c r="A57" s="7"/>
      <c r="B57" s="5"/>
      <c r="C57" s="5"/>
      <c r="D57" s="5"/>
      <c r="E57" s="11"/>
      <c r="F57" s="100"/>
      <c r="G57" s="4"/>
      <c r="H57" s="4"/>
      <c r="I57" s="4"/>
      <c r="J57" s="4"/>
      <c r="K57" s="4"/>
      <c r="L57" s="4"/>
      <c r="M57" s="4"/>
      <c r="N57" s="4"/>
      <c r="O57" s="4"/>
      <c r="P57" s="109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  <c r="CP57" s="3"/>
      <c r="CQ57" s="3"/>
      <c r="CR57" s="3"/>
      <c r="CS57" s="3"/>
      <c r="CT57" s="3"/>
      <c r="CU57" s="3"/>
      <c r="CV57" s="3"/>
      <c r="CW57" s="3"/>
      <c r="CX57" s="3"/>
      <c r="CY57" s="3"/>
      <c r="CZ57" s="3"/>
      <c r="DA57" s="3"/>
      <c r="DB57" s="3"/>
      <c r="DC57" s="3"/>
      <c r="DD57" s="3"/>
      <c r="DE57" s="3"/>
      <c r="DF57" s="3"/>
      <c r="DG57" s="3"/>
      <c r="DH57" s="3"/>
      <c r="DI57" s="3"/>
      <c r="DJ57" s="3"/>
      <c r="DK57" s="3"/>
      <c r="DL57" s="3"/>
      <c r="DM57" s="3"/>
      <c r="DN57" s="3"/>
      <c r="DO57" s="3"/>
      <c r="DP57" s="3"/>
      <c r="DQ57" s="3"/>
      <c r="DR57" s="3"/>
      <c r="DS57" s="3"/>
      <c r="DT57" s="3"/>
      <c r="DU57" s="3"/>
      <c r="DV57" s="3"/>
      <c r="DW57" s="3"/>
      <c r="DX57" s="3"/>
      <c r="DY57" s="3"/>
      <c r="DZ57" s="3"/>
      <c r="EA57" s="3"/>
      <c r="EB57" s="3"/>
      <c r="EC57" s="3"/>
      <c r="ED57" s="3"/>
      <c r="EE57" s="3"/>
      <c r="EF57" s="3"/>
      <c r="EG57" s="3"/>
      <c r="EH57" s="3"/>
      <c r="EI57" s="3"/>
      <c r="EJ57" s="3"/>
      <c r="EK57" s="3"/>
      <c r="EL57" s="3"/>
      <c r="EM57" s="3"/>
      <c r="EN57" s="3"/>
      <c r="EO57" s="3"/>
      <c r="EP57" s="3"/>
      <c r="EQ57" s="3"/>
      <c r="ER57" s="3"/>
      <c r="ES57" s="3"/>
      <c r="ET57" s="3"/>
      <c r="EU57" s="3"/>
      <c r="EV57" s="3"/>
      <c r="EW57" s="3"/>
      <c r="EX57" s="3"/>
      <c r="EY57" s="3"/>
      <c r="EZ57" s="3"/>
      <c r="FA57" s="3"/>
      <c r="FB57" s="3"/>
      <c r="FC57" s="3"/>
      <c r="FD57" s="3"/>
      <c r="FE57" s="3"/>
      <c r="FF57" s="3"/>
      <c r="FG57" s="3"/>
      <c r="FH57" s="3"/>
      <c r="FI57" s="3"/>
      <c r="FJ57" s="3"/>
      <c r="FK57" s="3"/>
      <c r="FL57" s="3"/>
      <c r="FM57" s="3"/>
      <c r="FN57" s="3"/>
      <c r="FO57" s="3"/>
      <c r="FP57" s="3"/>
      <c r="FQ57" s="3"/>
      <c r="FR57" s="3"/>
      <c r="FS57" s="3"/>
      <c r="FT57" s="3"/>
      <c r="FU57" s="3"/>
      <c r="FV57" s="3"/>
      <c r="FW57" s="3"/>
      <c r="FX57" s="3"/>
      <c r="FY57" s="3"/>
      <c r="FZ57" s="3"/>
      <c r="GA57" s="3"/>
      <c r="GB57" s="3"/>
      <c r="GC57" s="3"/>
      <c r="GD57" s="3"/>
      <c r="GE57" s="3"/>
      <c r="GF57" s="3"/>
      <c r="GG57" s="3"/>
      <c r="GH57" s="3"/>
      <c r="GI57" s="3"/>
      <c r="GJ57" s="3"/>
      <c r="GK57" s="3"/>
      <c r="GL57" s="3"/>
      <c r="GM57" s="3"/>
      <c r="GN57" s="3"/>
      <c r="GO57" s="3"/>
      <c r="GP57" s="3"/>
      <c r="GQ57" s="3"/>
      <c r="GR57" s="3"/>
      <c r="GS57" s="3"/>
      <c r="GT57" s="3"/>
      <c r="GU57" s="3"/>
      <c r="GV57" s="3"/>
      <c r="GW57" s="3"/>
      <c r="GX57" s="3"/>
      <c r="GY57" s="3"/>
      <c r="GZ57" s="3"/>
      <c r="HA57" s="3"/>
      <c r="HB57" s="3"/>
      <c r="HC57" s="3"/>
      <c r="HD57" s="3"/>
      <c r="HE57" s="3"/>
      <c r="HF57" s="3"/>
    </row>
    <row r="58" spans="1:214" x14ac:dyDescent="0.25">
      <c r="A58" s="7"/>
      <c r="B58" s="5"/>
      <c r="C58" s="5"/>
      <c r="D58" s="5"/>
      <c r="E58" s="11"/>
      <c r="F58" s="100"/>
      <c r="G58" s="4"/>
      <c r="H58" s="4"/>
      <c r="I58" s="4"/>
      <c r="J58" s="4"/>
      <c r="K58" s="4"/>
      <c r="L58" s="4"/>
      <c r="M58" s="4"/>
      <c r="N58" s="4"/>
      <c r="O58" s="4"/>
      <c r="P58" s="109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  <c r="CU58" s="3"/>
      <c r="CV58" s="3"/>
      <c r="CW58" s="3"/>
      <c r="CX58" s="3"/>
      <c r="CY58" s="3"/>
      <c r="CZ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  <c r="DL58" s="3"/>
      <c r="DM58" s="3"/>
      <c r="DN58" s="3"/>
      <c r="DO58" s="3"/>
      <c r="DP58" s="3"/>
      <c r="DQ58" s="3"/>
      <c r="DR58" s="3"/>
      <c r="DS58" s="3"/>
      <c r="DT58" s="3"/>
      <c r="DU58" s="3"/>
      <c r="DV58" s="3"/>
      <c r="DW58" s="3"/>
      <c r="DX58" s="3"/>
      <c r="DY58" s="3"/>
      <c r="DZ58" s="3"/>
      <c r="EA58" s="3"/>
      <c r="EB58" s="3"/>
      <c r="EC58" s="3"/>
      <c r="ED58" s="3"/>
      <c r="EE58" s="3"/>
      <c r="EF58" s="3"/>
      <c r="EG58" s="3"/>
      <c r="EH58" s="3"/>
      <c r="EI58" s="3"/>
      <c r="EJ58" s="3"/>
      <c r="EK58" s="3"/>
      <c r="EL58" s="3"/>
      <c r="EM58" s="3"/>
      <c r="EN58" s="3"/>
      <c r="EO58" s="3"/>
      <c r="EP58" s="3"/>
      <c r="EQ58" s="3"/>
      <c r="ER58" s="3"/>
      <c r="ES58" s="3"/>
      <c r="ET58" s="3"/>
      <c r="EU58" s="3"/>
      <c r="EV58" s="3"/>
      <c r="EW58" s="3"/>
      <c r="EX58" s="3"/>
      <c r="EY58" s="3"/>
      <c r="EZ58" s="3"/>
      <c r="FA58" s="3"/>
      <c r="FB58" s="3"/>
      <c r="FC58" s="3"/>
      <c r="FD58" s="3"/>
      <c r="FE58" s="3"/>
      <c r="FF58" s="3"/>
      <c r="FG58" s="3"/>
      <c r="FH58" s="3"/>
      <c r="FI58" s="3"/>
      <c r="FJ58" s="3"/>
      <c r="FK58" s="3"/>
      <c r="FL58" s="3"/>
      <c r="FM58" s="3"/>
      <c r="FN58" s="3"/>
      <c r="FO58" s="3"/>
      <c r="FP58" s="3"/>
      <c r="FQ58" s="3"/>
      <c r="FR58" s="3"/>
      <c r="FS58" s="3"/>
      <c r="FT58" s="3"/>
      <c r="FU58" s="3"/>
      <c r="FV58" s="3"/>
      <c r="FW58" s="3"/>
      <c r="FX58" s="3"/>
      <c r="FY58" s="3"/>
      <c r="FZ58" s="3"/>
      <c r="GA58" s="3"/>
      <c r="GB58" s="3"/>
      <c r="GC58" s="3"/>
      <c r="GD58" s="3"/>
      <c r="GE58" s="3"/>
      <c r="GF58" s="3"/>
      <c r="GG58" s="3"/>
      <c r="GH58" s="3"/>
      <c r="GI58" s="3"/>
      <c r="GJ58" s="3"/>
      <c r="GK58" s="3"/>
      <c r="GL58" s="3"/>
      <c r="GM58" s="3"/>
      <c r="GN58" s="3"/>
      <c r="GO58" s="3"/>
      <c r="GP58" s="3"/>
      <c r="GQ58" s="3"/>
      <c r="GR58" s="3"/>
      <c r="GS58" s="3"/>
      <c r="GT58" s="3"/>
      <c r="GU58" s="3"/>
      <c r="GV58" s="3"/>
      <c r="GW58" s="3"/>
      <c r="GX58" s="3"/>
      <c r="GY58" s="3"/>
      <c r="GZ58" s="3"/>
      <c r="HA58" s="3"/>
      <c r="HB58" s="3"/>
      <c r="HC58" s="3"/>
      <c r="HD58" s="3"/>
      <c r="HE58" s="3"/>
      <c r="HF58" s="3"/>
    </row>
    <row r="59" spans="1:214" x14ac:dyDescent="0.25">
      <c r="A59" s="7"/>
      <c r="B59" s="5"/>
      <c r="C59" s="5"/>
      <c r="D59" s="5"/>
      <c r="E59" s="11"/>
      <c r="F59" s="100"/>
      <c r="G59" s="4"/>
      <c r="H59" s="4"/>
      <c r="I59" s="4"/>
      <c r="J59" s="4"/>
      <c r="K59" s="4"/>
      <c r="L59" s="4"/>
      <c r="M59" s="4"/>
      <c r="N59" s="4"/>
      <c r="O59" s="4"/>
      <c r="P59" s="109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  <c r="CP59" s="3"/>
      <c r="CQ59" s="3"/>
      <c r="CR59" s="3"/>
      <c r="CS59" s="3"/>
      <c r="CT59" s="3"/>
      <c r="CU59" s="3"/>
      <c r="CV59" s="3"/>
      <c r="CW59" s="3"/>
      <c r="CX59" s="3"/>
      <c r="CY59" s="3"/>
      <c r="CZ59" s="3"/>
      <c r="DA59" s="3"/>
      <c r="DB59" s="3"/>
      <c r="DC59" s="3"/>
      <c r="DD59" s="3"/>
      <c r="DE59" s="3"/>
      <c r="DF59" s="3"/>
      <c r="DG59" s="3"/>
      <c r="DH59" s="3"/>
      <c r="DI59" s="3"/>
      <c r="DJ59" s="3"/>
      <c r="DK59" s="3"/>
      <c r="DL59" s="3"/>
      <c r="DM59" s="3"/>
      <c r="DN59" s="3"/>
      <c r="DO59" s="3"/>
      <c r="DP59" s="3"/>
      <c r="DQ59" s="3"/>
      <c r="DR59" s="3"/>
      <c r="DS59" s="3"/>
      <c r="DT59" s="3"/>
      <c r="DU59" s="3"/>
      <c r="DV59" s="3"/>
      <c r="DW59" s="3"/>
      <c r="DX59" s="3"/>
      <c r="DY59" s="3"/>
      <c r="DZ59" s="3"/>
      <c r="EA59" s="3"/>
      <c r="EB59" s="3"/>
      <c r="EC59" s="3"/>
      <c r="ED59" s="3"/>
      <c r="EE59" s="3"/>
      <c r="EF59" s="3"/>
      <c r="EG59" s="3"/>
      <c r="EH59" s="3"/>
      <c r="EI59" s="3"/>
      <c r="EJ59" s="3"/>
      <c r="EK59" s="3"/>
      <c r="EL59" s="3"/>
      <c r="EM59" s="3"/>
      <c r="EN59" s="3"/>
      <c r="EO59" s="3"/>
      <c r="EP59" s="3"/>
      <c r="EQ59" s="3"/>
      <c r="ER59" s="3"/>
      <c r="ES59" s="3"/>
      <c r="ET59" s="3"/>
      <c r="EU59" s="3"/>
      <c r="EV59" s="3"/>
      <c r="EW59" s="3"/>
      <c r="EX59" s="3"/>
      <c r="EY59" s="3"/>
      <c r="EZ59" s="3"/>
      <c r="FA59" s="3"/>
      <c r="FB59" s="3"/>
      <c r="FC59" s="3"/>
      <c r="FD59" s="3"/>
      <c r="FE59" s="3"/>
      <c r="FF59" s="3"/>
      <c r="FG59" s="3"/>
      <c r="FH59" s="3"/>
      <c r="FI59" s="3"/>
      <c r="FJ59" s="3"/>
      <c r="FK59" s="3"/>
      <c r="FL59" s="3"/>
      <c r="FM59" s="3"/>
      <c r="FN59" s="3"/>
      <c r="FO59" s="3"/>
      <c r="FP59" s="3"/>
      <c r="FQ59" s="3"/>
      <c r="FR59" s="3"/>
      <c r="FS59" s="3"/>
      <c r="FT59" s="3"/>
      <c r="FU59" s="3"/>
      <c r="FV59" s="3"/>
      <c r="FW59" s="3"/>
      <c r="FX59" s="3"/>
      <c r="FY59" s="3"/>
      <c r="FZ59" s="3"/>
      <c r="GA59" s="3"/>
      <c r="GB59" s="3"/>
      <c r="GC59" s="3"/>
      <c r="GD59" s="3"/>
      <c r="GE59" s="3"/>
      <c r="GF59" s="3"/>
      <c r="GG59" s="3"/>
      <c r="GH59" s="3"/>
      <c r="GI59" s="3"/>
      <c r="GJ59" s="3"/>
      <c r="GK59" s="3"/>
      <c r="GL59" s="3"/>
      <c r="GM59" s="3"/>
      <c r="GN59" s="3"/>
      <c r="GO59" s="3"/>
      <c r="GP59" s="3"/>
      <c r="GQ59" s="3"/>
      <c r="GR59" s="3"/>
      <c r="GS59" s="3"/>
      <c r="GT59" s="3"/>
      <c r="GU59" s="3"/>
      <c r="GV59" s="3"/>
      <c r="GW59" s="3"/>
      <c r="GX59" s="3"/>
      <c r="GY59" s="3"/>
      <c r="GZ59" s="3"/>
      <c r="HA59" s="3"/>
      <c r="HB59" s="3"/>
      <c r="HC59" s="3"/>
      <c r="HD59" s="3"/>
      <c r="HE59" s="3"/>
      <c r="HF59" s="3"/>
    </row>
    <row r="60" spans="1:214" x14ac:dyDescent="0.25">
      <c r="A60" s="7"/>
      <c r="B60" s="5"/>
      <c r="C60" s="5"/>
      <c r="D60" s="5"/>
      <c r="E60" s="11"/>
      <c r="F60" s="100"/>
      <c r="G60" s="4"/>
      <c r="H60" s="4"/>
      <c r="I60" s="4"/>
      <c r="J60" s="4"/>
      <c r="K60" s="4"/>
      <c r="L60" s="4"/>
      <c r="M60" s="4"/>
      <c r="N60" s="4"/>
      <c r="O60" s="4"/>
      <c r="P60" s="109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  <c r="DK60" s="3"/>
      <c r="DL60" s="3"/>
      <c r="DM60" s="3"/>
      <c r="DN60" s="3"/>
      <c r="DO60" s="3"/>
      <c r="DP60" s="3"/>
      <c r="DQ60" s="3"/>
      <c r="DR60" s="3"/>
      <c r="DS60" s="3"/>
      <c r="DT60" s="3"/>
      <c r="DU60" s="3"/>
      <c r="DV60" s="3"/>
      <c r="DW60" s="3"/>
      <c r="DX60" s="3"/>
      <c r="DY60" s="3"/>
      <c r="DZ60" s="3"/>
      <c r="EA60" s="3"/>
      <c r="EB60" s="3"/>
      <c r="EC60" s="3"/>
      <c r="ED60" s="3"/>
      <c r="EE60" s="3"/>
      <c r="EF60" s="3"/>
      <c r="EG60" s="3"/>
      <c r="EH60" s="3"/>
      <c r="EI60" s="3"/>
      <c r="EJ60" s="3"/>
      <c r="EK60" s="3"/>
      <c r="EL60" s="3"/>
      <c r="EM60" s="3"/>
      <c r="EN60" s="3"/>
      <c r="EO60" s="3"/>
      <c r="EP60" s="3"/>
      <c r="EQ60" s="3"/>
      <c r="ER60" s="3"/>
      <c r="ES60" s="3"/>
      <c r="ET60" s="3"/>
      <c r="EU60" s="3"/>
      <c r="EV60" s="3"/>
      <c r="EW60" s="3"/>
      <c r="EX60" s="3"/>
      <c r="EY60" s="3"/>
      <c r="EZ60" s="3"/>
      <c r="FA60" s="3"/>
      <c r="FB60" s="3"/>
      <c r="FC60" s="3"/>
      <c r="FD60" s="3"/>
      <c r="FE60" s="3"/>
      <c r="FF60" s="3"/>
      <c r="FG60" s="3"/>
      <c r="FH60" s="3"/>
      <c r="FI60" s="3"/>
      <c r="FJ60" s="3"/>
      <c r="FK60" s="3"/>
      <c r="FL60" s="3"/>
      <c r="FM60" s="3"/>
      <c r="FN60" s="3"/>
      <c r="FO60" s="3"/>
      <c r="FP60" s="3"/>
      <c r="FQ60" s="3"/>
      <c r="FR60" s="3"/>
      <c r="FS60" s="3"/>
      <c r="FT60" s="3"/>
      <c r="FU60" s="3"/>
      <c r="FV60" s="3"/>
      <c r="FW60" s="3"/>
      <c r="FX60" s="3"/>
      <c r="FY60" s="3"/>
      <c r="FZ60" s="3"/>
      <c r="GA60" s="3"/>
      <c r="GB60" s="3"/>
      <c r="GC60" s="3"/>
      <c r="GD60" s="3"/>
      <c r="GE60" s="3"/>
      <c r="GF60" s="3"/>
      <c r="GG60" s="3"/>
      <c r="GH60" s="3"/>
      <c r="GI60" s="3"/>
      <c r="GJ60" s="3"/>
      <c r="GK60" s="3"/>
      <c r="GL60" s="3"/>
      <c r="GM60" s="3"/>
      <c r="GN60" s="3"/>
      <c r="GO60" s="3"/>
      <c r="GP60" s="3"/>
      <c r="GQ60" s="3"/>
      <c r="GR60" s="3"/>
      <c r="GS60" s="3"/>
      <c r="GT60" s="3"/>
      <c r="GU60" s="3"/>
      <c r="GV60" s="3"/>
      <c r="GW60" s="3"/>
      <c r="GX60" s="3"/>
      <c r="GY60" s="3"/>
      <c r="GZ60" s="3"/>
      <c r="HA60" s="3"/>
      <c r="HB60" s="3"/>
      <c r="HC60" s="3"/>
      <c r="HD60" s="3"/>
      <c r="HE60" s="3"/>
      <c r="HF60" s="3"/>
    </row>
    <row r="61" spans="1:214" x14ac:dyDescent="0.25">
      <c r="A61" s="7"/>
      <c r="B61" s="5"/>
      <c r="C61" s="5"/>
      <c r="D61" s="5"/>
      <c r="E61" s="11"/>
      <c r="F61" s="100"/>
      <c r="G61" s="4"/>
      <c r="H61" s="4"/>
      <c r="I61" s="4"/>
      <c r="J61" s="4"/>
      <c r="K61" s="4"/>
      <c r="L61" s="4"/>
      <c r="M61" s="4"/>
      <c r="N61" s="4"/>
      <c r="O61" s="4"/>
      <c r="P61" s="109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3"/>
      <c r="CQ61" s="3"/>
      <c r="CR61" s="3"/>
      <c r="CS61" s="3"/>
      <c r="CT61" s="3"/>
      <c r="CU61" s="3"/>
      <c r="CV61" s="3"/>
      <c r="CW61" s="3"/>
      <c r="CX61" s="3"/>
      <c r="CY61" s="3"/>
      <c r="CZ61" s="3"/>
      <c r="DA61" s="3"/>
      <c r="DB61" s="3"/>
      <c r="DC61" s="3"/>
      <c r="DD61" s="3"/>
      <c r="DE61" s="3"/>
      <c r="DF61" s="3"/>
      <c r="DG61" s="3"/>
      <c r="DH61" s="3"/>
      <c r="DI61" s="3"/>
      <c r="DJ61" s="3"/>
      <c r="DK61" s="3"/>
      <c r="DL61" s="3"/>
      <c r="DM61" s="3"/>
      <c r="DN61" s="3"/>
      <c r="DO61" s="3"/>
      <c r="DP61" s="3"/>
      <c r="DQ61" s="3"/>
      <c r="DR61" s="3"/>
      <c r="DS61" s="3"/>
      <c r="DT61" s="3"/>
      <c r="DU61" s="3"/>
      <c r="DV61" s="3"/>
      <c r="DW61" s="3"/>
      <c r="DX61" s="3"/>
      <c r="DY61" s="3"/>
      <c r="DZ61" s="3"/>
      <c r="EA61" s="3"/>
      <c r="EB61" s="3"/>
      <c r="EC61" s="3"/>
      <c r="ED61" s="3"/>
      <c r="EE61" s="3"/>
      <c r="EF61" s="3"/>
      <c r="EG61" s="3"/>
      <c r="EH61" s="3"/>
      <c r="EI61" s="3"/>
      <c r="EJ61" s="3"/>
      <c r="EK61" s="3"/>
      <c r="EL61" s="3"/>
      <c r="EM61" s="3"/>
      <c r="EN61" s="3"/>
      <c r="EO61" s="3"/>
      <c r="EP61" s="3"/>
      <c r="EQ61" s="3"/>
      <c r="ER61" s="3"/>
      <c r="ES61" s="3"/>
      <c r="ET61" s="3"/>
      <c r="EU61" s="3"/>
      <c r="EV61" s="3"/>
      <c r="EW61" s="3"/>
      <c r="EX61" s="3"/>
      <c r="EY61" s="3"/>
      <c r="EZ61" s="3"/>
      <c r="FA61" s="3"/>
      <c r="FB61" s="3"/>
      <c r="FC61" s="3"/>
      <c r="FD61" s="3"/>
      <c r="FE61" s="3"/>
      <c r="FF61" s="3"/>
      <c r="FG61" s="3"/>
      <c r="FH61" s="3"/>
      <c r="FI61" s="3"/>
      <c r="FJ61" s="3"/>
      <c r="FK61" s="3"/>
      <c r="FL61" s="3"/>
      <c r="FM61" s="3"/>
      <c r="FN61" s="3"/>
      <c r="FO61" s="3"/>
      <c r="FP61" s="3"/>
      <c r="FQ61" s="3"/>
      <c r="FR61" s="3"/>
      <c r="FS61" s="3"/>
      <c r="FT61" s="3"/>
      <c r="FU61" s="3"/>
      <c r="FV61" s="3"/>
      <c r="FW61" s="3"/>
      <c r="FX61" s="3"/>
      <c r="FY61" s="3"/>
      <c r="FZ61" s="3"/>
      <c r="GA61" s="3"/>
      <c r="GB61" s="3"/>
      <c r="GC61" s="3"/>
      <c r="GD61" s="3"/>
      <c r="GE61" s="3"/>
      <c r="GF61" s="3"/>
      <c r="GG61" s="3"/>
      <c r="GH61" s="3"/>
      <c r="GI61" s="3"/>
      <c r="GJ61" s="3"/>
      <c r="GK61" s="3"/>
      <c r="GL61" s="3"/>
      <c r="GM61" s="3"/>
      <c r="GN61" s="3"/>
      <c r="GO61" s="3"/>
      <c r="GP61" s="3"/>
      <c r="GQ61" s="3"/>
      <c r="GR61" s="3"/>
      <c r="GS61" s="3"/>
      <c r="GT61" s="3"/>
      <c r="GU61" s="3"/>
      <c r="GV61" s="3"/>
      <c r="GW61" s="3"/>
      <c r="GX61" s="3"/>
      <c r="GY61" s="3"/>
      <c r="GZ61" s="3"/>
      <c r="HA61" s="3"/>
      <c r="HB61" s="3"/>
      <c r="HC61" s="3"/>
      <c r="HD61" s="3"/>
      <c r="HE61" s="3"/>
      <c r="HF61" s="3"/>
    </row>
    <row r="62" spans="1:214" x14ac:dyDescent="0.25">
      <c r="A62" s="7"/>
      <c r="B62" s="5"/>
      <c r="C62" s="5"/>
      <c r="D62" s="5"/>
      <c r="E62" s="11"/>
      <c r="F62" s="100"/>
      <c r="G62" s="4"/>
      <c r="H62" s="4"/>
      <c r="I62" s="4"/>
      <c r="J62" s="4"/>
      <c r="K62" s="4"/>
      <c r="L62" s="4"/>
      <c r="M62" s="4"/>
      <c r="N62" s="4"/>
      <c r="O62" s="4"/>
      <c r="P62" s="109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  <c r="CP62" s="3"/>
      <c r="CQ62" s="3"/>
      <c r="CR62" s="3"/>
      <c r="CS62" s="3"/>
      <c r="CT62" s="3"/>
      <c r="CU62" s="3"/>
      <c r="CV62" s="3"/>
      <c r="CW62" s="3"/>
      <c r="CX62" s="3"/>
      <c r="CY62" s="3"/>
      <c r="CZ62" s="3"/>
      <c r="DA62" s="3"/>
      <c r="DB62" s="3"/>
      <c r="DC62" s="3"/>
      <c r="DD62" s="3"/>
      <c r="DE62" s="3"/>
      <c r="DF62" s="3"/>
      <c r="DG62" s="3"/>
      <c r="DH62" s="3"/>
      <c r="DI62" s="3"/>
      <c r="DJ62" s="3"/>
      <c r="DK62" s="3"/>
      <c r="DL62" s="3"/>
      <c r="DM62" s="3"/>
      <c r="DN62" s="3"/>
      <c r="DO62" s="3"/>
      <c r="DP62" s="3"/>
      <c r="DQ62" s="3"/>
      <c r="DR62" s="3"/>
      <c r="DS62" s="3"/>
      <c r="DT62" s="3"/>
      <c r="DU62" s="3"/>
      <c r="DV62" s="3"/>
      <c r="DW62" s="3"/>
      <c r="DX62" s="3"/>
      <c r="DY62" s="3"/>
      <c r="DZ62" s="3"/>
      <c r="EA62" s="3"/>
      <c r="EB62" s="3"/>
      <c r="EC62" s="3"/>
      <c r="ED62" s="3"/>
      <c r="EE62" s="3"/>
      <c r="EF62" s="3"/>
      <c r="EG62" s="3"/>
      <c r="EH62" s="3"/>
      <c r="EI62" s="3"/>
      <c r="EJ62" s="3"/>
      <c r="EK62" s="3"/>
      <c r="EL62" s="3"/>
      <c r="EM62" s="3"/>
      <c r="EN62" s="3"/>
      <c r="EO62" s="3"/>
      <c r="EP62" s="3"/>
      <c r="EQ62" s="3"/>
      <c r="ER62" s="3"/>
      <c r="ES62" s="3"/>
      <c r="ET62" s="3"/>
      <c r="EU62" s="3"/>
      <c r="EV62" s="3"/>
      <c r="EW62" s="3"/>
      <c r="EX62" s="3"/>
      <c r="EY62" s="3"/>
      <c r="EZ62" s="3"/>
      <c r="FA62" s="3"/>
      <c r="FB62" s="3"/>
      <c r="FC62" s="3"/>
      <c r="FD62" s="3"/>
      <c r="FE62" s="3"/>
      <c r="FF62" s="3"/>
      <c r="FG62" s="3"/>
      <c r="FH62" s="3"/>
      <c r="FI62" s="3"/>
      <c r="FJ62" s="3"/>
      <c r="FK62" s="3"/>
      <c r="FL62" s="3"/>
      <c r="FM62" s="3"/>
      <c r="FN62" s="3"/>
      <c r="FO62" s="3"/>
      <c r="FP62" s="3"/>
      <c r="FQ62" s="3"/>
      <c r="FR62" s="3"/>
      <c r="FS62" s="3"/>
      <c r="FT62" s="3"/>
      <c r="FU62" s="3"/>
      <c r="FV62" s="3"/>
      <c r="FW62" s="3"/>
      <c r="FX62" s="3"/>
      <c r="FY62" s="3"/>
      <c r="FZ62" s="3"/>
      <c r="GA62" s="3"/>
      <c r="GB62" s="3"/>
      <c r="GC62" s="3"/>
      <c r="GD62" s="3"/>
      <c r="GE62" s="3"/>
      <c r="GF62" s="3"/>
      <c r="GG62" s="3"/>
      <c r="GH62" s="3"/>
      <c r="GI62" s="3"/>
      <c r="GJ62" s="3"/>
      <c r="GK62" s="3"/>
      <c r="GL62" s="3"/>
      <c r="GM62" s="3"/>
      <c r="GN62" s="3"/>
      <c r="GO62" s="3"/>
      <c r="GP62" s="3"/>
      <c r="GQ62" s="3"/>
      <c r="GR62" s="3"/>
      <c r="GS62" s="3"/>
      <c r="GT62" s="3"/>
      <c r="GU62" s="3"/>
      <c r="GV62" s="3"/>
      <c r="GW62" s="3"/>
      <c r="GX62" s="3"/>
      <c r="GY62" s="3"/>
      <c r="GZ62" s="3"/>
      <c r="HA62" s="3"/>
      <c r="HB62" s="3"/>
      <c r="HC62" s="3"/>
      <c r="HD62" s="3"/>
      <c r="HE62" s="3"/>
      <c r="HF62" s="3"/>
    </row>
    <row r="63" spans="1:214" x14ac:dyDescent="0.25">
      <c r="A63" s="7"/>
      <c r="B63" s="5"/>
      <c r="C63" s="5"/>
      <c r="D63" s="5"/>
      <c r="E63" s="11"/>
      <c r="F63" s="100"/>
      <c r="G63" s="4"/>
      <c r="H63" s="4"/>
      <c r="I63" s="4"/>
      <c r="J63" s="4"/>
      <c r="K63" s="4"/>
      <c r="L63" s="4"/>
      <c r="M63" s="4"/>
      <c r="N63" s="4"/>
      <c r="O63" s="4"/>
      <c r="P63" s="109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  <c r="CT63" s="3"/>
      <c r="CU63" s="3"/>
      <c r="CV63" s="3"/>
      <c r="CW63" s="3"/>
      <c r="CX63" s="3"/>
      <c r="CY63" s="3"/>
      <c r="CZ63" s="3"/>
      <c r="DA63" s="3"/>
      <c r="DB63" s="3"/>
      <c r="DC63" s="3"/>
      <c r="DD63" s="3"/>
      <c r="DE63" s="3"/>
      <c r="DF63" s="3"/>
      <c r="DG63" s="3"/>
      <c r="DH63" s="3"/>
      <c r="DI63" s="3"/>
      <c r="DJ63" s="3"/>
      <c r="DK63" s="3"/>
      <c r="DL63" s="3"/>
      <c r="DM63" s="3"/>
      <c r="DN63" s="3"/>
      <c r="DO63" s="3"/>
      <c r="DP63" s="3"/>
      <c r="DQ63" s="3"/>
      <c r="DR63" s="3"/>
      <c r="DS63" s="3"/>
      <c r="DT63" s="3"/>
      <c r="DU63" s="3"/>
      <c r="DV63" s="3"/>
      <c r="DW63" s="3"/>
      <c r="DX63" s="3"/>
      <c r="DY63" s="3"/>
      <c r="DZ63" s="3"/>
      <c r="EA63" s="3"/>
      <c r="EB63" s="3"/>
      <c r="EC63" s="3"/>
      <c r="ED63" s="3"/>
      <c r="EE63" s="3"/>
      <c r="EF63" s="3"/>
      <c r="EG63" s="3"/>
      <c r="EH63" s="3"/>
      <c r="EI63" s="3"/>
      <c r="EJ63" s="3"/>
      <c r="EK63" s="3"/>
      <c r="EL63" s="3"/>
      <c r="EM63" s="3"/>
      <c r="EN63" s="3"/>
      <c r="EO63" s="3"/>
      <c r="EP63" s="3"/>
      <c r="EQ63" s="3"/>
      <c r="ER63" s="3"/>
      <c r="ES63" s="3"/>
      <c r="ET63" s="3"/>
      <c r="EU63" s="3"/>
      <c r="EV63" s="3"/>
      <c r="EW63" s="3"/>
      <c r="EX63" s="3"/>
      <c r="EY63" s="3"/>
      <c r="EZ63" s="3"/>
      <c r="FA63" s="3"/>
      <c r="FB63" s="3"/>
      <c r="FC63" s="3"/>
      <c r="FD63" s="3"/>
      <c r="FE63" s="3"/>
      <c r="FF63" s="3"/>
      <c r="FG63" s="3"/>
      <c r="FH63" s="3"/>
      <c r="FI63" s="3"/>
      <c r="FJ63" s="3"/>
      <c r="FK63" s="3"/>
      <c r="FL63" s="3"/>
      <c r="FM63" s="3"/>
      <c r="FN63" s="3"/>
      <c r="FO63" s="3"/>
      <c r="FP63" s="3"/>
      <c r="FQ63" s="3"/>
      <c r="FR63" s="3"/>
      <c r="FS63" s="3"/>
      <c r="FT63" s="3"/>
      <c r="FU63" s="3"/>
      <c r="FV63" s="3"/>
      <c r="FW63" s="3"/>
      <c r="FX63" s="3"/>
      <c r="FY63" s="3"/>
      <c r="FZ63" s="3"/>
      <c r="GA63" s="3"/>
      <c r="GB63" s="3"/>
      <c r="GC63" s="3"/>
      <c r="GD63" s="3"/>
      <c r="GE63" s="3"/>
      <c r="GF63" s="3"/>
      <c r="GG63" s="3"/>
      <c r="GH63" s="3"/>
      <c r="GI63" s="3"/>
      <c r="GJ63" s="3"/>
      <c r="GK63" s="3"/>
      <c r="GL63" s="3"/>
      <c r="GM63" s="3"/>
      <c r="GN63" s="3"/>
      <c r="GO63" s="3"/>
      <c r="GP63" s="3"/>
      <c r="GQ63" s="3"/>
      <c r="GR63" s="3"/>
      <c r="GS63" s="3"/>
      <c r="GT63" s="3"/>
      <c r="GU63" s="3"/>
      <c r="GV63" s="3"/>
      <c r="GW63" s="3"/>
      <c r="GX63" s="3"/>
      <c r="GY63" s="3"/>
      <c r="GZ63" s="3"/>
      <c r="HA63" s="3"/>
      <c r="HB63" s="3"/>
      <c r="HC63" s="3"/>
      <c r="HD63" s="3"/>
      <c r="HE63" s="3"/>
      <c r="HF63" s="3"/>
    </row>
    <row r="64" spans="1:214" x14ac:dyDescent="0.25">
      <c r="A64" s="6"/>
      <c r="B64" s="5"/>
      <c r="C64" s="5"/>
      <c r="D64" s="5"/>
      <c r="E64" s="11"/>
      <c r="F64" s="100"/>
      <c r="G64" s="4"/>
      <c r="H64" s="4"/>
      <c r="I64" s="4"/>
      <c r="J64" s="4"/>
      <c r="K64" s="4"/>
      <c r="L64" s="4"/>
      <c r="M64" s="4"/>
      <c r="N64" s="4"/>
      <c r="O64" s="4"/>
      <c r="P64" s="109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  <c r="CR64" s="3"/>
      <c r="CS64" s="3"/>
      <c r="CT64" s="3"/>
      <c r="CU64" s="3"/>
      <c r="CV64" s="3"/>
      <c r="CW64" s="3"/>
      <c r="CX64" s="3"/>
      <c r="CY64" s="3"/>
      <c r="CZ64" s="3"/>
      <c r="DA64" s="3"/>
      <c r="DB64" s="3"/>
      <c r="DC64" s="3"/>
      <c r="DD64" s="3"/>
      <c r="DE64" s="3"/>
      <c r="DF64" s="3"/>
      <c r="DG64" s="3"/>
      <c r="DH64" s="3"/>
      <c r="DI64" s="3"/>
      <c r="DJ64" s="3"/>
      <c r="DK64" s="3"/>
      <c r="DL64" s="3"/>
      <c r="DM64" s="3"/>
      <c r="DN64" s="3"/>
      <c r="DO64" s="3"/>
      <c r="DP64" s="3"/>
      <c r="DQ64" s="3"/>
      <c r="DR64" s="3"/>
      <c r="DS64" s="3"/>
      <c r="DT64" s="3"/>
      <c r="DU64" s="3"/>
      <c r="DV64" s="3"/>
      <c r="DW64" s="3"/>
      <c r="DX64" s="3"/>
      <c r="DY64" s="3"/>
      <c r="DZ64" s="3"/>
      <c r="EA64" s="3"/>
      <c r="EB64" s="3"/>
      <c r="EC64" s="3"/>
      <c r="ED64" s="3"/>
      <c r="EE64" s="3"/>
      <c r="EF64" s="3"/>
      <c r="EG64" s="3"/>
      <c r="EH64" s="3"/>
      <c r="EI64" s="3"/>
      <c r="EJ64" s="3"/>
      <c r="EK64" s="3"/>
      <c r="EL64" s="3"/>
      <c r="EM64" s="3"/>
      <c r="EN64" s="3"/>
      <c r="EO64" s="3"/>
      <c r="EP64" s="3"/>
      <c r="EQ64" s="3"/>
      <c r="ER64" s="3"/>
      <c r="ES64" s="3"/>
      <c r="ET64" s="3"/>
      <c r="EU64" s="3"/>
      <c r="EV64" s="3"/>
      <c r="EW64" s="3"/>
      <c r="EX64" s="3"/>
      <c r="EY64" s="3"/>
      <c r="EZ64" s="3"/>
      <c r="FA64" s="3"/>
      <c r="FB64" s="3"/>
      <c r="FC64" s="3"/>
      <c r="FD64" s="3"/>
      <c r="FE64" s="3"/>
      <c r="FF64" s="3"/>
      <c r="FG64" s="3"/>
      <c r="FH64" s="3"/>
      <c r="FI64" s="3"/>
      <c r="FJ64" s="3"/>
      <c r="FK64" s="3"/>
      <c r="FL64" s="3"/>
      <c r="FM64" s="3"/>
      <c r="FN64" s="3"/>
      <c r="FO64" s="3"/>
      <c r="FP64" s="3"/>
      <c r="FQ64" s="3"/>
      <c r="FR64" s="3"/>
      <c r="FS64" s="3"/>
      <c r="FT64" s="3"/>
      <c r="FU64" s="3"/>
      <c r="FV64" s="3"/>
      <c r="FW64" s="3"/>
      <c r="FX64" s="3"/>
      <c r="FY64" s="3"/>
      <c r="FZ64" s="3"/>
      <c r="GA64" s="3"/>
      <c r="GB64" s="3"/>
      <c r="GC64" s="3"/>
      <c r="GD64" s="3"/>
      <c r="GE64" s="3"/>
      <c r="GF64" s="3"/>
      <c r="GG64" s="3"/>
      <c r="GH64" s="3"/>
      <c r="GI64" s="3"/>
      <c r="GJ64" s="3"/>
      <c r="GK64" s="3"/>
      <c r="GL64" s="3"/>
      <c r="GM64" s="3"/>
      <c r="GN64" s="3"/>
      <c r="GO64" s="3"/>
      <c r="GP64" s="3"/>
      <c r="GQ64" s="3"/>
      <c r="GR64" s="3"/>
      <c r="GS64" s="3"/>
      <c r="GT64" s="3"/>
      <c r="GU64" s="3"/>
      <c r="GV64" s="3"/>
      <c r="GW64" s="3"/>
      <c r="GX64" s="3"/>
      <c r="GY64" s="3"/>
      <c r="GZ64" s="3"/>
      <c r="HA64" s="3"/>
      <c r="HB64" s="3"/>
      <c r="HC64" s="3"/>
      <c r="HD64" s="3"/>
      <c r="HE64" s="3"/>
      <c r="HF64" s="3"/>
    </row>
    <row r="65" spans="1:214" x14ac:dyDescent="0.25">
      <c r="A65" s="4"/>
      <c r="B65" s="5"/>
      <c r="C65" s="4"/>
      <c r="D65" s="5"/>
      <c r="E65" s="11"/>
      <c r="F65" s="100"/>
      <c r="G65" s="4"/>
      <c r="H65" s="4"/>
      <c r="I65" s="4"/>
      <c r="J65" s="4"/>
      <c r="K65" s="4"/>
      <c r="L65" s="4"/>
      <c r="M65" s="4"/>
      <c r="N65" s="4"/>
      <c r="O65" s="4"/>
      <c r="P65" s="109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  <c r="DL65" s="3"/>
      <c r="DM65" s="3"/>
      <c r="DN65" s="3"/>
      <c r="DO65" s="3"/>
      <c r="DP65" s="3"/>
      <c r="DQ65" s="3"/>
      <c r="DR65" s="3"/>
      <c r="DS65" s="3"/>
      <c r="DT65" s="3"/>
      <c r="DU65" s="3"/>
      <c r="DV65" s="3"/>
      <c r="DW65" s="3"/>
      <c r="DX65" s="3"/>
      <c r="DY65" s="3"/>
      <c r="DZ65" s="3"/>
      <c r="EA65" s="3"/>
      <c r="EB65" s="3"/>
      <c r="EC65" s="3"/>
      <c r="ED65" s="3"/>
      <c r="EE65" s="3"/>
      <c r="EF65" s="3"/>
      <c r="EG65" s="3"/>
      <c r="EH65" s="3"/>
      <c r="EI65" s="3"/>
      <c r="EJ65" s="3"/>
      <c r="EK65" s="3"/>
      <c r="EL65" s="3"/>
      <c r="EM65" s="3"/>
      <c r="EN65" s="3"/>
      <c r="EO65" s="3"/>
      <c r="EP65" s="3"/>
      <c r="EQ65" s="3"/>
      <c r="ER65" s="3"/>
      <c r="ES65" s="3"/>
      <c r="ET65" s="3"/>
      <c r="EU65" s="3"/>
      <c r="EV65" s="3"/>
      <c r="EW65" s="3"/>
      <c r="EX65" s="3"/>
      <c r="EY65" s="3"/>
      <c r="EZ65" s="3"/>
      <c r="FA65" s="3"/>
      <c r="FB65" s="3"/>
      <c r="FC65" s="3"/>
      <c r="FD65" s="3"/>
      <c r="FE65" s="3"/>
      <c r="FF65" s="3"/>
      <c r="FG65" s="3"/>
      <c r="FH65" s="3"/>
      <c r="FI65" s="3"/>
      <c r="FJ65" s="3"/>
      <c r="FK65" s="3"/>
      <c r="FL65" s="3"/>
      <c r="FM65" s="3"/>
      <c r="FN65" s="3"/>
      <c r="FO65" s="3"/>
      <c r="FP65" s="3"/>
      <c r="FQ65" s="3"/>
      <c r="FR65" s="3"/>
      <c r="FS65" s="3"/>
      <c r="FT65" s="3"/>
      <c r="FU65" s="3"/>
      <c r="FV65" s="3"/>
      <c r="FW65" s="3"/>
      <c r="FX65" s="3"/>
      <c r="FY65" s="3"/>
      <c r="FZ65" s="3"/>
      <c r="GA65" s="3"/>
      <c r="GB65" s="3"/>
      <c r="GC65" s="3"/>
      <c r="GD65" s="3"/>
      <c r="GE65" s="3"/>
      <c r="GF65" s="3"/>
      <c r="GG65" s="3"/>
      <c r="GH65" s="3"/>
      <c r="GI65" s="3"/>
      <c r="GJ65" s="3"/>
      <c r="GK65" s="3"/>
      <c r="GL65" s="3"/>
      <c r="GM65" s="3"/>
      <c r="GN65" s="3"/>
      <c r="GO65" s="3"/>
      <c r="GP65" s="3"/>
      <c r="GQ65" s="3"/>
      <c r="GR65" s="3"/>
      <c r="GS65" s="3"/>
      <c r="GT65" s="3"/>
      <c r="GU65" s="3"/>
      <c r="GV65" s="3"/>
      <c r="GW65" s="3"/>
      <c r="GX65" s="3"/>
      <c r="GY65" s="3"/>
      <c r="GZ65" s="3"/>
      <c r="HA65" s="3"/>
      <c r="HB65" s="3"/>
      <c r="HC65" s="3"/>
      <c r="HD65" s="3"/>
      <c r="HE65" s="3"/>
      <c r="HF65" s="3"/>
    </row>
    <row r="66" spans="1:214" x14ac:dyDescent="0.25">
      <c r="A66" s="4"/>
      <c r="B66" s="4"/>
      <c r="C66" s="4"/>
      <c r="D66" s="4"/>
      <c r="E66" s="11"/>
      <c r="F66" s="100"/>
      <c r="G66" s="4"/>
      <c r="H66" s="4"/>
      <c r="I66" s="4"/>
      <c r="J66" s="4"/>
      <c r="K66" s="4"/>
      <c r="L66" s="4"/>
      <c r="M66" s="4"/>
      <c r="N66" s="4"/>
      <c r="O66" s="4"/>
      <c r="P66" s="109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  <c r="EQ66" s="3"/>
      <c r="ER66" s="3"/>
      <c r="ES66" s="3"/>
      <c r="ET66" s="3"/>
      <c r="EU66" s="3"/>
      <c r="EV66" s="3"/>
      <c r="EW66" s="3"/>
      <c r="EX66" s="3"/>
      <c r="EY66" s="3"/>
      <c r="EZ66" s="3"/>
      <c r="FA66" s="3"/>
      <c r="FB66" s="3"/>
      <c r="FC66" s="3"/>
      <c r="FD66" s="3"/>
      <c r="FE66" s="3"/>
      <c r="FF66" s="3"/>
      <c r="FG66" s="3"/>
      <c r="FH66" s="3"/>
      <c r="FI66" s="3"/>
      <c r="FJ66" s="3"/>
      <c r="FK66" s="3"/>
      <c r="FL66" s="3"/>
      <c r="FM66" s="3"/>
      <c r="FN66" s="3"/>
      <c r="FO66" s="3"/>
      <c r="FP66" s="3"/>
      <c r="FQ66" s="3"/>
      <c r="FR66" s="3"/>
      <c r="FS66" s="3"/>
      <c r="FT66" s="3"/>
      <c r="FU66" s="3"/>
      <c r="FV66" s="3"/>
      <c r="FW66" s="3"/>
      <c r="FX66" s="3"/>
      <c r="FY66" s="3"/>
      <c r="FZ66" s="3"/>
      <c r="GA66" s="3"/>
      <c r="GB66" s="3"/>
      <c r="GC66" s="3"/>
      <c r="GD66" s="3"/>
      <c r="GE66" s="3"/>
      <c r="GF66" s="3"/>
      <c r="GG66" s="3"/>
      <c r="GH66" s="3"/>
      <c r="GI66" s="3"/>
      <c r="GJ66" s="3"/>
      <c r="GK66" s="3"/>
      <c r="GL66" s="3"/>
      <c r="GM66" s="3"/>
      <c r="GN66" s="3"/>
      <c r="GO66" s="3"/>
      <c r="GP66" s="3"/>
      <c r="GQ66" s="3"/>
      <c r="GR66" s="3"/>
      <c r="GS66" s="3"/>
      <c r="GT66" s="3"/>
      <c r="GU66" s="3"/>
      <c r="GV66" s="3"/>
      <c r="GW66" s="3"/>
      <c r="GX66" s="3"/>
      <c r="GY66" s="3"/>
      <c r="GZ66" s="3"/>
      <c r="HA66" s="3"/>
      <c r="HB66" s="3"/>
      <c r="HC66" s="3"/>
      <c r="HD66" s="3"/>
      <c r="HE66" s="3"/>
      <c r="HF66" s="3"/>
    </row>
    <row r="67" spans="1:214" x14ac:dyDescent="0.25">
      <c r="A67" s="4"/>
      <c r="B67" s="4"/>
      <c r="C67" s="4"/>
      <c r="D67" s="4"/>
      <c r="E67" s="11"/>
      <c r="F67" s="100"/>
      <c r="G67" s="4"/>
      <c r="H67" s="4"/>
      <c r="I67" s="4"/>
      <c r="J67" s="4"/>
      <c r="K67" s="4"/>
      <c r="L67" s="4"/>
      <c r="M67" s="4"/>
      <c r="N67" s="4"/>
      <c r="O67" s="4"/>
      <c r="P67" s="109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  <c r="CW67" s="3"/>
      <c r="CX67" s="3"/>
      <c r="CY67" s="3"/>
      <c r="CZ67" s="3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  <c r="DL67" s="3"/>
      <c r="DM67" s="3"/>
      <c r="DN67" s="3"/>
      <c r="DO67" s="3"/>
      <c r="DP67" s="3"/>
      <c r="DQ67" s="3"/>
      <c r="DR67" s="3"/>
      <c r="DS67" s="3"/>
      <c r="DT67" s="3"/>
      <c r="DU67" s="3"/>
      <c r="DV67" s="3"/>
      <c r="DW67" s="3"/>
      <c r="DX67" s="3"/>
      <c r="DY67" s="3"/>
      <c r="DZ67" s="3"/>
      <c r="EA67" s="3"/>
      <c r="EB67" s="3"/>
      <c r="EC67" s="3"/>
      <c r="ED67" s="3"/>
      <c r="EE67" s="3"/>
      <c r="EF67" s="3"/>
      <c r="EG67" s="3"/>
      <c r="EH67" s="3"/>
      <c r="EI67" s="3"/>
      <c r="EJ67" s="3"/>
      <c r="EK67" s="3"/>
      <c r="EL67" s="3"/>
      <c r="EM67" s="3"/>
      <c r="EN67" s="3"/>
      <c r="EO67" s="3"/>
      <c r="EP67" s="3"/>
      <c r="EQ67" s="3"/>
      <c r="ER67" s="3"/>
      <c r="ES67" s="3"/>
      <c r="ET67" s="3"/>
      <c r="EU67" s="3"/>
      <c r="EV67" s="3"/>
      <c r="EW67" s="3"/>
      <c r="EX67" s="3"/>
      <c r="EY67" s="3"/>
      <c r="EZ67" s="3"/>
      <c r="FA67" s="3"/>
      <c r="FB67" s="3"/>
      <c r="FC67" s="3"/>
      <c r="FD67" s="3"/>
      <c r="FE67" s="3"/>
      <c r="FF67" s="3"/>
      <c r="FG67" s="3"/>
      <c r="FH67" s="3"/>
      <c r="FI67" s="3"/>
      <c r="FJ67" s="3"/>
      <c r="FK67" s="3"/>
      <c r="FL67" s="3"/>
      <c r="FM67" s="3"/>
      <c r="FN67" s="3"/>
      <c r="FO67" s="3"/>
      <c r="FP67" s="3"/>
      <c r="FQ67" s="3"/>
      <c r="FR67" s="3"/>
      <c r="FS67" s="3"/>
      <c r="FT67" s="3"/>
      <c r="FU67" s="3"/>
      <c r="FV67" s="3"/>
      <c r="FW67" s="3"/>
      <c r="FX67" s="3"/>
      <c r="FY67" s="3"/>
      <c r="FZ67" s="3"/>
      <c r="GA67" s="3"/>
      <c r="GB67" s="3"/>
      <c r="GC67" s="3"/>
      <c r="GD67" s="3"/>
      <c r="GE67" s="3"/>
      <c r="GF67" s="3"/>
      <c r="GG67" s="3"/>
      <c r="GH67" s="3"/>
      <c r="GI67" s="3"/>
      <c r="GJ67" s="3"/>
      <c r="GK67" s="3"/>
      <c r="GL67" s="3"/>
      <c r="GM67" s="3"/>
      <c r="GN67" s="3"/>
      <c r="GO67" s="3"/>
      <c r="GP67" s="3"/>
      <c r="GQ67" s="3"/>
      <c r="GR67" s="3"/>
      <c r="GS67" s="3"/>
      <c r="GT67" s="3"/>
      <c r="GU67" s="3"/>
      <c r="GV67" s="3"/>
      <c r="GW67" s="3"/>
      <c r="GX67" s="3"/>
      <c r="GY67" s="3"/>
      <c r="GZ67" s="3"/>
      <c r="HA67" s="3"/>
      <c r="HB67" s="3"/>
      <c r="HC67" s="3"/>
      <c r="HD67" s="3"/>
      <c r="HE67" s="3"/>
      <c r="HF67" s="3"/>
    </row>
    <row r="68" spans="1:214" x14ac:dyDescent="0.25">
      <c r="A68" s="4"/>
      <c r="B68" s="4"/>
      <c r="C68" s="4"/>
      <c r="D68" s="4"/>
      <c r="E68" s="11"/>
      <c r="F68" s="100"/>
      <c r="G68" s="4"/>
      <c r="H68" s="4"/>
      <c r="I68" s="4"/>
      <c r="J68" s="4"/>
      <c r="K68" s="4"/>
      <c r="L68" s="4"/>
      <c r="M68" s="4"/>
      <c r="N68" s="4"/>
      <c r="O68" s="4"/>
      <c r="P68" s="109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  <c r="DN68" s="3"/>
      <c r="DO68" s="3"/>
      <c r="DP68" s="3"/>
      <c r="DQ68" s="3"/>
      <c r="DR68" s="3"/>
      <c r="DS68" s="3"/>
      <c r="DT68" s="3"/>
      <c r="DU68" s="3"/>
      <c r="DV68" s="3"/>
      <c r="DW68" s="3"/>
      <c r="DX68" s="3"/>
      <c r="DY68" s="3"/>
      <c r="DZ68" s="3"/>
      <c r="EA68" s="3"/>
      <c r="EB68" s="3"/>
      <c r="EC68" s="3"/>
      <c r="ED68" s="3"/>
      <c r="EE68" s="3"/>
      <c r="EF68" s="3"/>
      <c r="EG68" s="3"/>
      <c r="EH68" s="3"/>
      <c r="EI68" s="3"/>
      <c r="EJ68" s="3"/>
      <c r="EK68" s="3"/>
      <c r="EL68" s="3"/>
      <c r="EM68" s="3"/>
      <c r="EN68" s="3"/>
      <c r="EO68" s="3"/>
      <c r="EP68" s="3"/>
      <c r="EQ68" s="3"/>
      <c r="ER68" s="3"/>
      <c r="ES68" s="3"/>
      <c r="ET68" s="3"/>
      <c r="EU68" s="3"/>
      <c r="EV68" s="3"/>
      <c r="EW68" s="3"/>
      <c r="EX68" s="3"/>
      <c r="EY68" s="3"/>
      <c r="EZ68" s="3"/>
      <c r="FA68" s="3"/>
      <c r="FB68" s="3"/>
      <c r="FC68" s="3"/>
      <c r="FD68" s="3"/>
      <c r="FE68" s="3"/>
      <c r="FF68" s="3"/>
      <c r="FG68" s="3"/>
      <c r="FH68" s="3"/>
      <c r="FI68" s="3"/>
      <c r="FJ68" s="3"/>
      <c r="FK68" s="3"/>
      <c r="FL68" s="3"/>
      <c r="FM68" s="3"/>
      <c r="FN68" s="3"/>
      <c r="FO68" s="3"/>
      <c r="FP68" s="3"/>
      <c r="FQ68" s="3"/>
      <c r="FR68" s="3"/>
      <c r="FS68" s="3"/>
      <c r="FT68" s="3"/>
      <c r="FU68" s="3"/>
      <c r="FV68" s="3"/>
      <c r="FW68" s="3"/>
      <c r="FX68" s="3"/>
      <c r="FY68" s="3"/>
      <c r="FZ68" s="3"/>
      <c r="GA68" s="3"/>
      <c r="GB68" s="3"/>
      <c r="GC68" s="3"/>
      <c r="GD68" s="3"/>
      <c r="GE68" s="3"/>
      <c r="GF68" s="3"/>
      <c r="GG68" s="3"/>
      <c r="GH68" s="3"/>
      <c r="GI68" s="3"/>
      <c r="GJ68" s="3"/>
      <c r="GK68" s="3"/>
      <c r="GL68" s="3"/>
      <c r="GM68" s="3"/>
      <c r="GN68" s="3"/>
      <c r="GO68" s="3"/>
      <c r="GP68" s="3"/>
      <c r="GQ68" s="3"/>
      <c r="GR68" s="3"/>
      <c r="GS68" s="3"/>
      <c r="GT68" s="3"/>
      <c r="GU68" s="3"/>
      <c r="GV68" s="3"/>
      <c r="GW68" s="3"/>
      <c r="GX68" s="3"/>
      <c r="GY68" s="3"/>
      <c r="GZ68" s="3"/>
      <c r="HA68" s="3"/>
      <c r="HB68" s="3"/>
      <c r="HC68" s="3"/>
      <c r="HD68" s="3"/>
      <c r="HE68" s="3"/>
      <c r="HF68" s="3"/>
    </row>
    <row r="69" spans="1:214" x14ac:dyDescent="0.25">
      <c r="A69" s="4"/>
      <c r="B69" s="4"/>
      <c r="C69" s="4"/>
      <c r="D69" s="4"/>
      <c r="E69" s="11"/>
      <c r="F69" s="100"/>
      <c r="G69" s="4"/>
      <c r="H69" s="4"/>
      <c r="I69" s="4"/>
      <c r="J69" s="4"/>
      <c r="K69" s="4"/>
      <c r="L69" s="4"/>
      <c r="M69" s="4"/>
      <c r="N69" s="4"/>
      <c r="O69" s="4"/>
      <c r="P69" s="109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  <c r="DL69" s="3"/>
      <c r="DM69" s="3"/>
      <c r="DN69" s="3"/>
      <c r="DO69" s="3"/>
      <c r="DP69" s="3"/>
      <c r="DQ69" s="3"/>
      <c r="DR69" s="3"/>
      <c r="DS69" s="3"/>
      <c r="DT69" s="3"/>
      <c r="DU69" s="3"/>
      <c r="DV69" s="3"/>
      <c r="DW69" s="3"/>
      <c r="DX69" s="3"/>
      <c r="DY69" s="3"/>
      <c r="DZ69" s="3"/>
      <c r="EA69" s="3"/>
      <c r="EB69" s="3"/>
      <c r="EC69" s="3"/>
      <c r="ED69" s="3"/>
      <c r="EE69" s="3"/>
      <c r="EF69" s="3"/>
      <c r="EG69" s="3"/>
      <c r="EH69" s="3"/>
      <c r="EI69" s="3"/>
      <c r="EJ69" s="3"/>
      <c r="EK69" s="3"/>
      <c r="EL69" s="3"/>
      <c r="EM69" s="3"/>
      <c r="EN69" s="3"/>
      <c r="EO69" s="3"/>
      <c r="EP69" s="3"/>
      <c r="EQ69" s="3"/>
      <c r="ER69" s="3"/>
      <c r="ES69" s="3"/>
      <c r="ET69" s="3"/>
      <c r="EU69" s="3"/>
      <c r="EV69" s="3"/>
      <c r="EW69" s="3"/>
      <c r="EX69" s="3"/>
      <c r="EY69" s="3"/>
      <c r="EZ69" s="3"/>
      <c r="FA69" s="3"/>
      <c r="FB69" s="3"/>
      <c r="FC69" s="3"/>
      <c r="FD69" s="3"/>
      <c r="FE69" s="3"/>
      <c r="FF69" s="3"/>
      <c r="FG69" s="3"/>
      <c r="FH69" s="3"/>
      <c r="FI69" s="3"/>
      <c r="FJ69" s="3"/>
      <c r="FK69" s="3"/>
      <c r="FL69" s="3"/>
      <c r="FM69" s="3"/>
      <c r="FN69" s="3"/>
      <c r="FO69" s="3"/>
      <c r="FP69" s="3"/>
      <c r="FQ69" s="3"/>
      <c r="FR69" s="3"/>
      <c r="FS69" s="3"/>
      <c r="FT69" s="3"/>
      <c r="FU69" s="3"/>
      <c r="FV69" s="3"/>
      <c r="FW69" s="3"/>
      <c r="FX69" s="3"/>
      <c r="FY69" s="3"/>
      <c r="FZ69" s="3"/>
      <c r="GA69" s="3"/>
      <c r="GB69" s="3"/>
      <c r="GC69" s="3"/>
      <c r="GD69" s="3"/>
      <c r="GE69" s="3"/>
      <c r="GF69" s="3"/>
      <c r="GG69" s="3"/>
      <c r="GH69" s="3"/>
      <c r="GI69" s="3"/>
      <c r="GJ69" s="3"/>
      <c r="GK69" s="3"/>
      <c r="GL69" s="3"/>
      <c r="GM69" s="3"/>
      <c r="GN69" s="3"/>
      <c r="GO69" s="3"/>
      <c r="GP69" s="3"/>
      <c r="GQ69" s="3"/>
      <c r="GR69" s="3"/>
      <c r="GS69" s="3"/>
      <c r="GT69" s="3"/>
      <c r="GU69" s="3"/>
      <c r="GV69" s="3"/>
      <c r="GW69" s="3"/>
      <c r="GX69" s="3"/>
      <c r="GY69" s="3"/>
      <c r="GZ69" s="3"/>
      <c r="HA69" s="3"/>
      <c r="HB69" s="3"/>
      <c r="HC69" s="3"/>
      <c r="HD69" s="3"/>
      <c r="HE69" s="3"/>
      <c r="HF69" s="3"/>
    </row>
    <row r="70" spans="1:214" x14ac:dyDescent="0.25">
      <c r="A70" s="4"/>
      <c r="B70" s="4"/>
      <c r="C70" s="4"/>
      <c r="D70" s="4"/>
      <c r="E70" s="11"/>
      <c r="F70" s="100"/>
      <c r="G70" s="4"/>
      <c r="H70" s="4"/>
      <c r="I70" s="4"/>
      <c r="J70" s="4"/>
      <c r="K70" s="4"/>
      <c r="L70" s="4"/>
      <c r="M70" s="4"/>
      <c r="N70" s="4"/>
      <c r="O70" s="4"/>
      <c r="P70" s="109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T70" s="3"/>
      <c r="CU70" s="3"/>
      <c r="CV70" s="3"/>
      <c r="CW70" s="3"/>
      <c r="CX70" s="3"/>
      <c r="CY70" s="3"/>
      <c r="CZ70" s="3"/>
      <c r="DA70" s="3"/>
      <c r="DB70" s="3"/>
      <c r="DC70" s="3"/>
      <c r="DD70" s="3"/>
      <c r="DE70" s="3"/>
      <c r="DF70" s="3"/>
      <c r="DG70" s="3"/>
      <c r="DH70" s="3"/>
      <c r="DI70" s="3"/>
      <c r="DJ70" s="3"/>
      <c r="DK70" s="3"/>
      <c r="DL70" s="3"/>
      <c r="DM70" s="3"/>
      <c r="DN70" s="3"/>
      <c r="DO70" s="3"/>
      <c r="DP70" s="3"/>
      <c r="DQ70" s="3"/>
      <c r="DR70" s="3"/>
      <c r="DS70" s="3"/>
      <c r="DT70" s="3"/>
      <c r="DU70" s="3"/>
      <c r="DV70" s="3"/>
      <c r="DW70" s="3"/>
      <c r="DX70" s="3"/>
      <c r="DY70" s="3"/>
      <c r="DZ70" s="3"/>
      <c r="EA70" s="3"/>
      <c r="EB70" s="3"/>
      <c r="EC70" s="3"/>
      <c r="ED70" s="3"/>
      <c r="EE70" s="3"/>
      <c r="EF70" s="3"/>
      <c r="EG70" s="3"/>
      <c r="EH70" s="3"/>
      <c r="EI70" s="3"/>
      <c r="EJ70" s="3"/>
      <c r="EK70" s="3"/>
      <c r="EL70" s="3"/>
      <c r="EM70" s="3"/>
      <c r="EN70" s="3"/>
      <c r="EO70" s="3"/>
      <c r="EP70" s="3"/>
      <c r="EQ70" s="3"/>
      <c r="ER70" s="3"/>
      <c r="ES70" s="3"/>
      <c r="ET70" s="3"/>
      <c r="EU70" s="3"/>
      <c r="EV70" s="3"/>
      <c r="EW70" s="3"/>
      <c r="EX70" s="3"/>
      <c r="EY70" s="3"/>
      <c r="EZ70" s="3"/>
      <c r="FA70" s="3"/>
      <c r="FB70" s="3"/>
      <c r="FC70" s="3"/>
      <c r="FD70" s="3"/>
      <c r="FE70" s="3"/>
      <c r="FF70" s="3"/>
      <c r="FG70" s="3"/>
      <c r="FH70" s="3"/>
      <c r="FI70" s="3"/>
      <c r="FJ70" s="3"/>
      <c r="FK70" s="3"/>
      <c r="FL70" s="3"/>
      <c r="FM70" s="3"/>
      <c r="FN70" s="3"/>
      <c r="FO70" s="3"/>
      <c r="FP70" s="3"/>
      <c r="FQ70" s="3"/>
      <c r="FR70" s="3"/>
      <c r="FS70" s="3"/>
      <c r="FT70" s="3"/>
      <c r="FU70" s="3"/>
      <c r="FV70" s="3"/>
      <c r="FW70" s="3"/>
      <c r="FX70" s="3"/>
      <c r="FY70" s="3"/>
      <c r="FZ70" s="3"/>
      <c r="GA70" s="3"/>
      <c r="GB70" s="3"/>
      <c r="GC70" s="3"/>
      <c r="GD70" s="3"/>
      <c r="GE70" s="3"/>
      <c r="GF70" s="3"/>
      <c r="GG70" s="3"/>
      <c r="GH70" s="3"/>
      <c r="GI70" s="3"/>
      <c r="GJ70" s="3"/>
      <c r="GK70" s="3"/>
      <c r="GL70" s="3"/>
      <c r="GM70" s="3"/>
      <c r="GN70" s="3"/>
      <c r="GO70" s="3"/>
      <c r="GP70" s="3"/>
      <c r="GQ70" s="3"/>
      <c r="GR70" s="3"/>
      <c r="GS70" s="3"/>
      <c r="GT70" s="3"/>
      <c r="GU70" s="3"/>
      <c r="GV70" s="3"/>
      <c r="GW70" s="3"/>
      <c r="GX70" s="3"/>
      <c r="GY70" s="3"/>
      <c r="GZ70" s="3"/>
      <c r="HA70" s="3"/>
      <c r="HB70" s="3"/>
      <c r="HC70" s="3"/>
      <c r="HD70" s="3"/>
      <c r="HE70" s="3"/>
      <c r="HF70" s="3"/>
    </row>
    <row r="71" spans="1:214" x14ac:dyDescent="0.25">
      <c r="E71" s="105"/>
      <c r="F71" s="4"/>
      <c r="G71" s="4"/>
      <c r="H71" s="4"/>
      <c r="I71" s="4"/>
      <c r="J71" s="4"/>
      <c r="K71" s="4"/>
      <c r="L71" s="4"/>
      <c r="M71" s="4"/>
      <c r="N71" s="4"/>
      <c r="O71" s="4"/>
      <c r="P71" s="109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  <c r="CW71" s="3"/>
      <c r="CX71" s="3"/>
      <c r="CY71" s="3"/>
      <c r="CZ71" s="3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  <c r="DL71" s="3"/>
      <c r="DM71" s="3"/>
      <c r="DN71" s="3"/>
      <c r="DO71" s="3"/>
      <c r="DP71" s="3"/>
      <c r="DQ71" s="3"/>
      <c r="DR71" s="3"/>
      <c r="DS71" s="3"/>
      <c r="DT71" s="3"/>
      <c r="DU71" s="3"/>
      <c r="DV71" s="3"/>
      <c r="DW71" s="3"/>
      <c r="DX71" s="3"/>
      <c r="DY71" s="3"/>
      <c r="DZ71" s="3"/>
      <c r="EA71" s="3"/>
      <c r="EB71" s="3"/>
      <c r="EC71" s="3"/>
      <c r="ED71" s="3"/>
      <c r="EE71" s="3"/>
      <c r="EF71" s="3"/>
      <c r="EG71" s="3"/>
      <c r="EH71" s="3"/>
      <c r="EI71" s="3"/>
      <c r="EJ71" s="3"/>
      <c r="EK71" s="3"/>
      <c r="EL71" s="3"/>
      <c r="EM71" s="3"/>
      <c r="EN71" s="3"/>
      <c r="EO71" s="3"/>
      <c r="EP71" s="3"/>
      <c r="EQ71" s="3"/>
      <c r="ER71" s="3"/>
      <c r="ES71" s="3"/>
      <c r="ET71" s="3"/>
      <c r="EU71" s="3"/>
      <c r="EV71" s="3"/>
      <c r="EW71" s="3"/>
      <c r="EX71" s="3"/>
      <c r="EY71" s="3"/>
      <c r="EZ71" s="3"/>
      <c r="FA71" s="3"/>
      <c r="FB71" s="3"/>
      <c r="FC71" s="3"/>
      <c r="FD71" s="3"/>
      <c r="FE71" s="3"/>
      <c r="FF71" s="3"/>
      <c r="FG71" s="3"/>
      <c r="FH71" s="3"/>
      <c r="FI71" s="3"/>
      <c r="FJ71" s="3"/>
      <c r="FK71" s="3"/>
      <c r="FL71" s="3"/>
      <c r="FM71" s="3"/>
      <c r="FN71" s="3"/>
      <c r="FO71" s="3"/>
      <c r="FP71" s="3"/>
      <c r="FQ71" s="3"/>
      <c r="FR71" s="3"/>
      <c r="FS71" s="3"/>
      <c r="FT71" s="3"/>
      <c r="FU71" s="3"/>
      <c r="FV71" s="3"/>
      <c r="FW71" s="3"/>
      <c r="FX71" s="3"/>
      <c r="FY71" s="3"/>
      <c r="FZ71" s="3"/>
      <c r="GA71" s="3"/>
      <c r="GB71" s="3"/>
      <c r="GC71" s="3"/>
      <c r="GD71" s="3"/>
      <c r="GE71" s="3"/>
      <c r="GF71" s="3"/>
      <c r="GG71" s="3"/>
      <c r="GH71" s="3"/>
      <c r="GI71" s="3"/>
      <c r="GJ71" s="3"/>
      <c r="GK71" s="3"/>
      <c r="GL71" s="3"/>
      <c r="GM71" s="3"/>
      <c r="GN71" s="3"/>
      <c r="GO71" s="3"/>
      <c r="GP71" s="3"/>
      <c r="GQ71" s="3"/>
      <c r="GR71" s="3"/>
      <c r="GS71" s="3"/>
      <c r="GT71" s="3"/>
      <c r="GU71" s="3"/>
      <c r="GV71" s="3"/>
      <c r="GW71" s="3"/>
      <c r="GX71" s="3"/>
      <c r="GY71" s="3"/>
      <c r="GZ71" s="3"/>
      <c r="HA71" s="3"/>
      <c r="HB71" s="3"/>
      <c r="HC71" s="3"/>
      <c r="HD71" s="3"/>
      <c r="HE71" s="3"/>
      <c r="HF71" s="3"/>
    </row>
    <row r="72" spans="1:214" x14ac:dyDescent="0.25">
      <c r="E72" s="11"/>
      <c r="F72" s="4"/>
      <c r="G72" s="4"/>
      <c r="H72" s="4"/>
      <c r="I72" s="4"/>
      <c r="J72" s="4"/>
      <c r="K72" s="4"/>
      <c r="L72" s="4"/>
      <c r="M72" s="4"/>
      <c r="N72" s="4"/>
      <c r="O72" s="4"/>
      <c r="P72" s="109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  <c r="CU72" s="3"/>
      <c r="CV72" s="3"/>
      <c r="CW72" s="3"/>
      <c r="CX72" s="3"/>
      <c r="CY72" s="3"/>
      <c r="CZ72" s="3"/>
      <c r="DA72" s="3"/>
      <c r="DB72" s="3"/>
      <c r="DC72" s="3"/>
      <c r="DD72" s="3"/>
      <c r="DE72" s="3"/>
      <c r="DF72" s="3"/>
      <c r="DG72" s="3"/>
      <c r="DH72" s="3"/>
      <c r="DI72" s="3"/>
      <c r="DJ72" s="3"/>
      <c r="DK72" s="3"/>
      <c r="DL72" s="3"/>
      <c r="DM72" s="3"/>
      <c r="DN72" s="3"/>
      <c r="DO72" s="3"/>
      <c r="DP72" s="3"/>
      <c r="DQ72" s="3"/>
      <c r="DR72" s="3"/>
      <c r="DS72" s="3"/>
      <c r="DT72" s="3"/>
      <c r="DU72" s="3"/>
      <c r="DV72" s="3"/>
      <c r="DW72" s="3"/>
      <c r="DX72" s="3"/>
      <c r="DY72" s="3"/>
      <c r="DZ72" s="3"/>
      <c r="EA72" s="3"/>
      <c r="EB72" s="3"/>
      <c r="EC72" s="3"/>
      <c r="ED72" s="3"/>
      <c r="EE72" s="3"/>
      <c r="EF72" s="3"/>
      <c r="EG72" s="3"/>
      <c r="EH72" s="3"/>
      <c r="EI72" s="3"/>
      <c r="EJ72" s="3"/>
      <c r="EK72" s="3"/>
      <c r="EL72" s="3"/>
      <c r="EM72" s="3"/>
      <c r="EN72" s="3"/>
      <c r="EO72" s="3"/>
      <c r="EP72" s="3"/>
      <c r="EQ72" s="3"/>
      <c r="ER72" s="3"/>
      <c r="ES72" s="3"/>
      <c r="ET72" s="3"/>
      <c r="EU72" s="3"/>
      <c r="EV72" s="3"/>
      <c r="EW72" s="3"/>
      <c r="EX72" s="3"/>
      <c r="EY72" s="3"/>
      <c r="EZ72" s="3"/>
      <c r="FA72" s="3"/>
      <c r="FB72" s="3"/>
      <c r="FC72" s="3"/>
      <c r="FD72" s="3"/>
      <c r="FE72" s="3"/>
      <c r="FF72" s="3"/>
      <c r="FG72" s="3"/>
      <c r="FH72" s="3"/>
      <c r="FI72" s="3"/>
      <c r="FJ72" s="3"/>
      <c r="FK72" s="3"/>
      <c r="FL72" s="3"/>
      <c r="FM72" s="3"/>
      <c r="FN72" s="3"/>
      <c r="FO72" s="3"/>
      <c r="FP72" s="3"/>
      <c r="FQ72" s="3"/>
      <c r="FR72" s="3"/>
      <c r="FS72" s="3"/>
      <c r="FT72" s="3"/>
      <c r="FU72" s="3"/>
      <c r="FV72" s="3"/>
      <c r="FW72" s="3"/>
      <c r="FX72" s="3"/>
      <c r="FY72" s="3"/>
      <c r="FZ72" s="3"/>
      <c r="GA72" s="3"/>
      <c r="GB72" s="3"/>
      <c r="GC72" s="3"/>
      <c r="GD72" s="3"/>
      <c r="GE72" s="3"/>
      <c r="GF72" s="3"/>
      <c r="GG72" s="3"/>
      <c r="GH72" s="3"/>
      <c r="GI72" s="3"/>
      <c r="GJ72" s="3"/>
      <c r="GK72" s="3"/>
      <c r="GL72" s="3"/>
      <c r="GM72" s="3"/>
      <c r="GN72" s="3"/>
      <c r="GO72" s="3"/>
      <c r="GP72" s="3"/>
      <c r="GQ72" s="3"/>
      <c r="GR72" s="3"/>
      <c r="GS72" s="3"/>
      <c r="GT72" s="3"/>
      <c r="GU72" s="3"/>
      <c r="GV72" s="3"/>
      <c r="GW72" s="3"/>
      <c r="GX72" s="3"/>
      <c r="GY72" s="3"/>
      <c r="GZ72" s="3"/>
      <c r="HA72" s="3"/>
      <c r="HB72" s="3"/>
      <c r="HC72" s="3"/>
      <c r="HD72" s="3"/>
      <c r="HE72" s="3"/>
      <c r="HF72" s="3"/>
    </row>
    <row r="73" spans="1:214" x14ac:dyDescent="0.25">
      <c r="E73" s="11"/>
      <c r="F73" s="4"/>
      <c r="G73" s="4"/>
      <c r="H73" s="4"/>
      <c r="I73" s="4"/>
      <c r="J73" s="4"/>
      <c r="K73" s="4"/>
      <c r="L73" s="4"/>
      <c r="M73" s="4"/>
      <c r="N73" s="4"/>
      <c r="O73" s="4"/>
      <c r="P73" s="109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  <c r="CU73" s="3"/>
      <c r="CV73" s="3"/>
      <c r="CW73" s="3"/>
      <c r="CX73" s="3"/>
      <c r="CY73" s="3"/>
      <c r="CZ73" s="3"/>
      <c r="DA73" s="3"/>
      <c r="DB73" s="3"/>
      <c r="DC73" s="3"/>
      <c r="DD73" s="3"/>
      <c r="DE73" s="3"/>
      <c r="DF73" s="3"/>
      <c r="DG73" s="3"/>
      <c r="DH73" s="3"/>
      <c r="DI73" s="3"/>
      <c r="DJ73" s="3"/>
      <c r="DK73" s="3"/>
      <c r="DL73" s="3"/>
      <c r="DM73" s="3"/>
      <c r="DN73" s="3"/>
      <c r="DO73" s="3"/>
      <c r="DP73" s="3"/>
      <c r="DQ73" s="3"/>
      <c r="DR73" s="3"/>
      <c r="DS73" s="3"/>
      <c r="DT73" s="3"/>
      <c r="DU73" s="3"/>
      <c r="DV73" s="3"/>
      <c r="DW73" s="3"/>
      <c r="DX73" s="3"/>
      <c r="DY73" s="3"/>
      <c r="DZ73" s="3"/>
      <c r="EA73" s="3"/>
      <c r="EB73" s="3"/>
      <c r="EC73" s="3"/>
      <c r="ED73" s="3"/>
      <c r="EE73" s="3"/>
      <c r="EF73" s="3"/>
      <c r="EG73" s="3"/>
      <c r="EH73" s="3"/>
      <c r="EI73" s="3"/>
      <c r="EJ73" s="3"/>
      <c r="EK73" s="3"/>
      <c r="EL73" s="3"/>
      <c r="EM73" s="3"/>
      <c r="EN73" s="3"/>
      <c r="EO73" s="3"/>
      <c r="EP73" s="3"/>
      <c r="EQ73" s="3"/>
      <c r="ER73" s="3"/>
      <c r="ES73" s="3"/>
      <c r="ET73" s="3"/>
      <c r="EU73" s="3"/>
      <c r="EV73" s="3"/>
      <c r="EW73" s="3"/>
      <c r="EX73" s="3"/>
      <c r="EY73" s="3"/>
      <c r="EZ73" s="3"/>
      <c r="FA73" s="3"/>
      <c r="FB73" s="3"/>
      <c r="FC73" s="3"/>
      <c r="FD73" s="3"/>
      <c r="FE73" s="3"/>
      <c r="FF73" s="3"/>
      <c r="FG73" s="3"/>
      <c r="FH73" s="3"/>
      <c r="FI73" s="3"/>
      <c r="FJ73" s="3"/>
      <c r="FK73" s="3"/>
      <c r="FL73" s="3"/>
      <c r="FM73" s="3"/>
      <c r="FN73" s="3"/>
      <c r="FO73" s="3"/>
      <c r="FP73" s="3"/>
      <c r="FQ73" s="3"/>
      <c r="FR73" s="3"/>
      <c r="FS73" s="3"/>
      <c r="FT73" s="3"/>
      <c r="FU73" s="3"/>
      <c r="FV73" s="3"/>
      <c r="FW73" s="3"/>
      <c r="FX73" s="3"/>
      <c r="FY73" s="3"/>
      <c r="FZ73" s="3"/>
      <c r="GA73" s="3"/>
      <c r="GB73" s="3"/>
      <c r="GC73" s="3"/>
      <c r="GD73" s="3"/>
      <c r="GE73" s="3"/>
      <c r="GF73" s="3"/>
      <c r="GG73" s="3"/>
      <c r="GH73" s="3"/>
      <c r="GI73" s="3"/>
      <c r="GJ73" s="3"/>
      <c r="GK73" s="3"/>
      <c r="GL73" s="3"/>
      <c r="GM73" s="3"/>
      <c r="GN73" s="3"/>
      <c r="GO73" s="3"/>
      <c r="GP73" s="3"/>
      <c r="GQ73" s="3"/>
      <c r="GR73" s="3"/>
      <c r="GS73" s="3"/>
      <c r="GT73" s="3"/>
      <c r="GU73" s="3"/>
      <c r="GV73" s="3"/>
      <c r="GW73" s="3"/>
      <c r="GX73" s="3"/>
      <c r="GY73" s="3"/>
      <c r="GZ73" s="3"/>
      <c r="HA73" s="3"/>
      <c r="HB73" s="3"/>
      <c r="HC73" s="3"/>
      <c r="HD73" s="3"/>
      <c r="HE73" s="3"/>
      <c r="HF73" s="3"/>
    </row>
    <row r="74" spans="1:214" x14ac:dyDescent="0.25">
      <c r="E74" s="11"/>
      <c r="F74" s="4"/>
      <c r="G74" s="4"/>
      <c r="H74" s="4"/>
      <c r="I74" s="4"/>
      <c r="J74" s="4"/>
      <c r="K74" s="4"/>
      <c r="L74" s="4"/>
      <c r="M74" s="4"/>
      <c r="N74" s="4"/>
      <c r="O74" s="4"/>
      <c r="P74" s="109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  <c r="CR74" s="3"/>
      <c r="CS74" s="3"/>
      <c r="CT74" s="3"/>
      <c r="CU74" s="3"/>
      <c r="CV74" s="3"/>
      <c r="CW74" s="3"/>
      <c r="CX74" s="3"/>
      <c r="CY74" s="3"/>
      <c r="CZ74" s="3"/>
      <c r="DA74" s="3"/>
      <c r="DB74" s="3"/>
      <c r="DC74" s="3"/>
      <c r="DD74" s="3"/>
      <c r="DE74" s="3"/>
      <c r="DF74" s="3"/>
      <c r="DG74" s="3"/>
      <c r="DH74" s="3"/>
      <c r="DI74" s="3"/>
      <c r="DJ74" s="3"/>
      <c r="DK74" s="3"/>
      <c r="DL74" s="3"/>
      <c r="DM74" s="3"/>
      <c r="DN74" s="3"/>
      <c r="DO74" s="3"/>
      <c r="DP74" s="3"/>
      <c r="DQ74" s="3"/>
      <c r="DR74" s="3"/>
      <c r="DS74" s="3"/>
      <c r="DT74" s="3"/>
      <c r="DU74" s="3"/>
      <c r="DV74" s="3"/>
      <c r="DW74" s="3"/>
      <c r="DX74" s="3"/>
      <c r="DY74" s="3"/>
      <c r="DZ74" s="3"/>
      <c r="EA74" s="3"/>
      <c r="EB74" s="3"/>
      <c r="EC74" s="3"/>
      <c r="ED74" s="3"/>
      <c r="EE74" s="3"/>
      <c r="EF74" s="3"/>
      <c r="EG74" s="3"/>
      <c r="EH74" s="3"/>
      <c r="EI74" s="3"/>
      <c r="EJ74" s="3"/>
      <c r="EK74" s="3"/>
      <c r="EL74" s="3"/>
      <c r="EM74" s="3"/>
      <c r="EN74" s="3"/>
      <c r="EO74" s="3"/>
      <c r="EP74" s="3"/>
      <c r="EQ74" s="3"/>
      <c r="ER74" s="3"/>
      <c r="ES74" s="3"/>
      <c r="ET74" s="3"/>
      <c r="EU74" s="3"/>
      <c r="EV74" s="3"/>
      <c r="EW74" s="3"/>
      <c r="EX74" s="3"/>
      <c r="EY74" s="3"/>
      <c r="EZ74" s="3"/>
      <c r="FA74" s="3"/>
      <c r="FB74" s="3"/>
      <c r="FC74" s="3"/>
      <c r="FD74" s="3"/>
      <c r="FE74" s="3"/>
      <c r="FF74" s="3"/>
      <c r="FG74" s="3"/>
      <c r="FH74" s="3"/>
      <c r="FI74" s="3"/>
      <c r="FJ74" s="3"/>
      <c r="FK74" s="3"/>
      <c r="FL74" s="3"/>
      <c r="FM74" s="3"/>
      <c r="FN74" s="3"/>
      <c r="FO74" s="3"/>
      <c r="FP74" s="3"/>
      <c r="FQ74" s="3"/>
      <c r="FR74" s="3"/>
      <c r="FS74" s="3"/>
      <c r="FT74" s="3"/>
      <c r="FU74" s="3"/>
      <c r="FV74" s="3"/>
      <c r="FW74" s="3"/>
      <c r="FX74" s="3"/>
      <c r="FY74" s="3"/>
      <c r="FZ74" s="3"/>
      <c r="GA74" s="3"/>
      <c r="GB74" s="3"/>
      <c r="GC74" s="3"/>
      <c r="GD74" s="3"/>
      <c r="GE74" s="3"/>
      <c r="GF74" s="3"/>
      <c r="GG74" s="3"/>
      <c r="GH74" s="3"/>
      <c r="GI74" s="3"/>
      <c r="GJ74" s="3"/>
      <c r="GK74" s="3"/>
      <c r="GL74" s="3"/>
      <c r="GM74" s="3"/>
      <c r="GN74" s="3"/>
      <c r="GO74" s="3"/>
      <c r="GP74" s="3"/>
      <c r="GQ74" s="3"/>
      <c r="GR74" s="3"/>
      <c r="GS74" s="3"/>
      <c r="GT74" s="3"/>
      <c r="GU74" s="3"/>
      <c r="GV74" s="3"/>
      <c r="GW74" s="3"/>
      <c r="GX74" s="3"/>
      <c r="GY74" s="3"/>
      <c r="GZ74" s="3"/>
      <c r="HA74" s="3"/>
      <c r="HB74" s="3"/>
      <c r="HC74" s="3"/>
      <c r="HD74" s="3"/>
      <c r="HE74" s="3"/>
      <c r="HF74" s="3"/>
    </row>
    <row r="75" spans="1:214" x14ac:dyDescent="0.25">
      <c r="E75" s="11"/>
      <c r="F75" s="4"/>
      <c r="G75" s="4"/>
      <c r="H75" s="4"/>
      <c r="I75" s="4"/>
      <c r="J75" s="4"/>
      <c r="K75" s="4"/>
      <c r="L75" s="4"/>
      <c r="M75" s="4"/>
      <c r="N75" s="4"/>
      <c r="O75" s="4"/>
      <c r="P75" s="109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3"/>
      <c r="CQ75" s="3"/>
      <c r="CR75" s="3"/>
      <c r="CS75" s="3"/>
      <c r="CT75" s="3"/>
      <c r="CU75" s="3"/>
      <c r="CV75" s="3"/>
      <c r="CW75" s="3"/>
      <c r="CX75" s="3"/>
      <c r="CY75" s="3"/>
      <c r="CZ75" s="3"/>
      <c r="DA75" s="3"/>
      <c r="DB75" s="3"/>
      <c r="DC75" s="3"/>
      <c r="DD75" s="3"/>
      <c r="DE75" s="3"/>
      <c r="DF75" s="3"/>
      <c r="DG75" s="3"/>
      <c r="DH75" s="3"/>
      <c r="DI75" s="3"/>
      <c r="DJ75" s="3"/>
      <c r="DK75" s="3"/>
      <c r="DL75" s="3"/>
      <c r="DM75" s="3"/>
      <c r="DN75" s="3"/>
      <c r="DO75" s="3"/>
      <c r="DP75" s="3"/>
      <c r="DQ75" s="3"/>
      <c r="DR75" s="3"/>
      <c r="DS75" s="3"/>
      <c r="DT75" s="3"/>
      <c r="DU75" s="3"/>
      <c r="DV75" s="3"/>
      <c r="DW75" s="3"/>
      <c r="DX75" s="3"/>
      <c r="DY75" s="3"/>
      <c r="DZ75" s="3"/>
      <c r="EA75" s="3"/>
      <c r="EB75" s="3"/>
      <c r="EC75" s="3"/>
      <c r="ED75" s="3"/>
      <c r="EE75" s="3"/>
      <c r="EF75" s="3"/>
      <c r="EG75" s="3"/>
      <c r="EH75" s="3"/>
      <c r="EI75" s="3"/>
      <c r="EJ75" s="3"/>
      <c r="EK75" s="3"/>
      <c r="EL75" s="3"/>
      <c r="EM75" s="3"/>
      <c r="EN75" s="3"/>
      <c r="EO75" s="3"/>
      <c r="EP75" s="3"/>
      <c r="EQ75" s="3"/>
      <c r="ER75" s="3"/>
      <c r="ES75" s="3"/>
      <c r="ET75" s="3"/>
      <c r="EU75" s="3"/>
      <c r="EV75" s="3"/>
      <c r="EW75" s="3"/>
      <c r="EX75" s="3"/>
      <c r="EY75" s="3"/>
      <c r="EZ75" s="3"/>
      <c r="FA75" s="3"/>
      <c r="FB75" s="3"/>
      <c r="FC75" s="3"/>
      <c r="FD75" s="3"/>
      <c r="FE75" s="3"/>
      <c r="FF75" s="3"/>
      <c r="FG75" s="3"/>
      <c r="FH75" s="3"/>
      <c r="FI75" s="3"/>
      <c r="FJ75" s="3"/>
      <c r="FK75" s="3"/>
      <c r="FL75" s="3"/>
      <c r="FM75" s="3"/>
      <c r="FN75" s="3"/>
      <c r="FO75" s="3"/>
      <c r="FP75" s="3"/>
      <c r="FQ75" s="3"/>
      <c r="FR75" s="3"/>
      <c r="FS75" s="3"/>
      <c r="FT75" s="3"/>
      <c r="FU75" s="3"/>
      <c r="FV75" s="3"/>
      <c r="FW75" s="3"/>
      <c r="FX75" s="3"/>
      <c r="FY75" s="3"/>
      <c r="FZ75" s="3"/>
      <c r="GA75" s="3"/>
      <c r="GB75" s="3"/>
      <c r="GC75" s="3"/>
      <c r="GD75" s="3"/>
      <c r="GE75" s="3"/>
      <c r="GF75" s="3"/>
      <c r="GG75" s="3"/>
      <c r="GH75" s="3"/>
      <c r="GI75" s="3"/>
      <c r="GJ75" s="3"/>
      <c r="GK75" s="3"/>
      <c r="GL75" s="3"/>
      <c r="GM75" s="3"/>
      <c r="GN75" s="3"/>
      <c r="GO75" s="3"/>
      <c r="GP75" s="3"/>
      <c r="GQ75" s="3"/>
      <c r="GR75" s="3"/>
      <c r="GS75" s="3"/>
      <c r="GT75" s="3"/>
      <c r="GU75" s="3"/>
      <c r="GV75" s="3"/>
      <c r="GW75" s="3"/>
      <c r="GX75" s="3"/>
      <c r="GY75" s="3"/>
      <c r="GZ75" s="3"/>
      <c r="HA75" s="3"/>
      <c r="HB75" s="3"/>
      <c r="HC75" s="3"/>
      <c r="HD75" s="3"/>
      <c r="HE75" s="3"/>
      <c r="HF75" s="3"/>
    </row>
    <row r="76" spans="1:214" x14ac:dyDescent="0.25">
      <c r="E76" s="11"/>
      <c r="F76" s="4"/>
      <c r="G76" s="4"/>
      <c r="H76" s="4"/>
      <c r="I76" s="4"/>
      <c r="J76" s="4"/>
      <c r="K76" s="4"/>
      <c r="L76" s="4"/>
      <c r="M76" s="4"/>
      <c r="N76" s="4"/>
      <c r="O76" s="4"/>
      <c r="P76" s="109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  <c r="DC76" s="3"/>
      <c r="DD76" s="3"/>
      <c r="DE76" s="3"/>
      <c r="DF76" s="3"/>
      <c r="DG76" s="3"/>
      <c r="DH76" s="3"/>
      <c r="DI76" s="3"/>
      <c r="DJ76" s="3"/>
      <c r="DK76" s="3"/>
      <c r="DL76" s="3"/>
      <c r="DM76" s="3"/>
      <c r="DN76" s="3"/>
      <c r="DO76" s="3"/>
      <c r="DP76" s="3"/>
      <c r="DQ76" s="3"/>
      <c r="DR76" s="3"/>
      <c r="DS76" s="3"/>
      <c r="DT76" s="3"/>
      <c r="DU76" s="3"/>
      <c r="DV76" s="3"/>
      <c r="DW76" s="3"/>
      <c r="DX76" s="3"/>
      <c r="DY76" s="3"/>
      <c r="DZ76" s="3"/>
      <c r="EA76" s="3"/>
      <c r="EB76" s="3"/>
      <c r="EC76" s="3"/>
      <c r="ED76" s="3"/>
      <c r="EE76" s="3"/>
      <c r="EF76" s="3"/>
      <c r="EG76" s="3"/>
      <c r="EH76" s="3"/>
      <c r="EI76" s="3"/>
      <c r="EJ76" s="3"/>
      <c r="EK76" s="3"/>
      <c r="EL76" s="3"/>
      <c r="EM76" s="3"/>
      <c r="EN76" s="3"/>
      <c r="EO76" s="3"/>
      <c r="EP76" s="3"/>
      <c r="EQ76" s="3"/>
      <c r="ER76" s="3"/>
      <c r="ES76" s="3"/>
      <c r="ET76" s="3"/>
      <c r="EU76" s="3"/>
      <c r="EV76" s="3"/>
      <c r="EW76" s="3"/>
      <c r="EX76" s="3"/>
      <c r="EY76" s="3"/>
      <c r="EZ76" s="3"/>
      <c r="FA76" s="3"/>
      <c r="FB76" s="3"/>
      <c r="FC76" s="3"/>
      <c r="FD76" s="3"/>
      <c r="FE76" s="3"/>
      <c r="FF76" s="3"/>
      <c r="FG76" s="3"/>
      <c r="FH76" s="3"/>
      <c r="FI76" s="3"/>
      <c r="FJ76" s="3"/>
      <c r="FK76" s="3"/>
      <c r="FL76" s="3"/>
      <c r="FM76" s="3"/>
      <c r="FN76" s="3"/>
      <c r="FO76" s="3"/>
      <c r="FP76" s="3"/>
      <c r="FQ76" s="3"/>
      <c r="FR76" s="3"/>
      <c r="FS76" s="3"/>
      <c r="FT76" s="3"/>
      <c r="FU76" s="3"/>
      <c r="FV76" s="3"/>
      <c r="FW76" s="3"/>
      <c r="FX76" s="3"/>
      <c r="FY76" s="3"/>
      <c r="FZ76" s="3"/>
      <c r="GA76" s="3"/>
      <c r="GB76" s="3"/>
      <c r="GC76" s="3"/>
      <c r="GD76" s="3"/>
      <c r="GE76" s="3"/>
      <c r="GF76" s="3"/>
      <c r="GG76" s="3"/>
      <c r="GH76" s="3"/>
      <c r="GI76" s="3"/>
      <c r="GJ76" s="3"/>
      <c r="GK76" s="3"/>
      <c r="GL76" s="3"/>
      <c r="GM76" s="3"/>
      <c r="GN76" s="3"/>
      <c r="GO76" s="3"/>
      <c r="GP76" s="3"/>
      <c r="GQ76" s="3"/>
      <c r="GR76" s="3"/>
      <c r="GS76" s="3"/>
      <c r="GT76" s="3"/>
      <c r="GU76" s="3"/>
      <c r="GV76" s="3"/>
      <c r="GW76" s="3"/>
      <c r="GX76" s="3"/>
      <c r="GY76" s="3"/>
      <c r="GZ76" s="3"/>
      <c r="HA76" s="3"/>
      <c r="HB76" s="3"/>
      <c r="HC76" s="3"/>
      <c r="HD76" s="3"/>
      <c r="HE76" s="3"/>
      <c r="HF76" s="3"/>
    </row>
    <row r="77" spans="1:214" x14ac:dyDescent="0.25">
      <c r="E77" s="11"/>
      <c r="F77" s="4"/>
      <c r="G77" s="4"/>
      <c r="H77" s="4"/>
      <c r="I77" s="4"/>
      <c r="J77" s="4"/>
      <c r="K77" s="4"/>
      <c r="L77" s="4"/>
      <c r="M77" s="4"/>
      <c r="N77" s="4"/>
      <c r="O77" s="4"/>
      <c r="P77" s="109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  <c r="CK77" s="3"/>
      <c r="CL77" s="3"/>
      <c r="CM77" s="3"/>
      <c r="CN77" s="3"/>
      <c r="CO77" s="3"/>
      <c r="CP77" s="3"/>
      <c r="CQ77" s="3"/>
      <c r="CR77" s="3"/>
      <c r="CS77" s="3"/>
      <c r="CT77" s="3"/>
      <c r="CU77" s="3"/>
      <c r="CV77" s="3"/>
      <c r="CW77" s="3"/>
      <c r="CX77" s="3"/>
      <c r="CY77" s="3"/>
      <c r="CZ77" s="3"/>
      <c r="DA77" s="3"/>
      <c r="DB77" s="3"/>
      <c r="DC77" s="3"/>
      <c r="DD77" s="3"/>
      <c r="DE77" s="3"/>
      <c r="DF77" s="3"/>
      <c r="DG77" s="3"/>
      <c r="DH77" s="3"/>
      <c r="DI77" s="3"/>
      <c r="DJ77" s="3"/>
      <c r="DK77" s="3"/>
      <c r="DL77" s="3"/>
      <c r="DM77" s="3"/>
      <c r="DN77" s="3"/>
      <c r="DO77" s="3"/>
      <c r="DP77" s="3"/>
      <c r="DQ77" s="3"/>
      <c r="DR77" s="3"/>
      <c r="DS77" s="3"/>
      <c r="DT77" s="3"/>
      <c r="DU77" s="3"/>
      <c r="DV77" s="3"/>
      <c r="DW77" s="3"/>
      <c r="DX77" s="3"/>
      <c r="DY77" s="3"/>
      <c r="DZ77" s="3"/>
      <c r="EA77" s="3"/>
      <c r="EB77" s="3"/>
      <c r="EC77" s="3"/>
      <c r="ED77" s="3"/>
      <c r="EE77" s="3"/>
      <c r="EF77" s="3"/>
      <c r="EG77" s="3"/>
      <c r="EH77" s="3"/>
      <c r="EI77" s="3"/>
      <c r="EJ77" s="3"/>
      <c r="EK77" s="3"/>
      <c r="EL77" s="3"/>
      <c r="EM77" s="3"/>
      <c r="EN77" s="3"/>
      <c r="EO77" s="3"/>
      <c r="EP77" s="3"/>
      <c r="EQ77" s="3"/>
      <c r="ER77" s="3"/>
      <c r="ES77" s="3"/>
      <c r="ET77" s="3"/>
      <c r="EU77" s="3"/>
      <c r="EV77" s="3"/>
      <c r="EW77" s="3"/>
      <c r="EX77" s="3"/>
      <c r="EY77" s="3"/>
      <c r="EZ77" s="3"/>
      <c r="FA77" s="3"/>
      <c r="FB77" s="3"/>
      <c r="FC77" s="3"/>
      <c r="FD77" s="3"/>
      <c r="FE77" s="3"/>
      <c r="FF77" s="3"/>
      <c r="FG77" s="3"/>
      <c r="FH77" s="3"/>
      <c r="FI77" s="3"/>
      <c r="FJ77" s="3"/>
      <c r="FK77" s="3"/>
      <c r="FL77" s="3"/>
      <c r="FM77" s="3"/>
      <c r="FN77" s="3"/>
      <c r="FO77" s="3"/>
      <c r="FP77" s="3"/>
      <c r="FQ77" s="3"/>
      <c r="FR77" s="3"/>
      <c r="FS77" s="3"/>
      <c r="FT77" s="3"/>
      <c r="FU77" s="3"/>
      <c r="FV77" s="3"/>
      <c r="FW77" s="3"/>
      <c r="FX77" s="3"/>
      <c r="FY77" s="3"/>
      <c r="FZ77" s="3"/>
      <c r="GA77" s="3"/>
      <c r="GB77" s="3"/>
      <c r="GC77" s="3"/>
      <c r="GD77" s="3"/>
      <c r="GE77" s="3"/>
      <c r="GF77" s="3"/>
      <c r="GG77" s="3"/>
      <c r="GH77" s="3"/>
      <c r="GI77" s="3"/>
      <c r="GJ77" s="3"/>
      <c r="GK77" s="3"/>
      <c r="GL77" s="3"/>
      <c r="GM77" s="3"/>
      <c r="GN77" s="3"/>
      <c r="GO77" s="3"/>
      <c r="GP77" s="3"/>
      <c r="GQ77" s="3"/>
      <c r="GR77" s="3"/>
      <c r="GS77" s="3"/>
      <c r="GT77" s="3"/>
      <c r="GU77" s="3"/>
      <c r="GV77" s="3"/>
      <c r="GW77" s="3"/>
      <c r="GX77" s="3"/>
      <c r="GY77" s="3"/>
      <c r="GZ77" s="3"/>
      <c r="HA77" s="3"/>
      <c r="HB77" s="3"/>
      <c r="HC77" s="3"/>
      <c r="HD77" s="3"/>
      <c r="HE77" s="3"/>
      <c r="HF77" s="3"/>
    </row>
    <row r="78" spans="1:214" x14ac:dyDescent="0.25">
      <c r="E78" s="11"/>
      <c r="F78" s="4"/>
      <c r="G78" s="4"/>
      <c r="H78" s="4"/>
      <c r="I78" s="4"/>
      <c r="J78" s="4"/>
      <c r="K78" s="4"/>
      <c r="L78" s="4"/>
      <c r="M78" s="4"/>
      <c r="N78" s="4"/>
      <c r="O78" s="4"/>
      <c r="P78" s="109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  <c r="CR78" s="3"/>
      <c r="CS78" s="3"/>
      <c r="CT78" s="3"/>
      <c r="CU78" s="3"/>
      <c r="CV78" s="3"/>
      <c r="CW78" s="3"/>
      <c r="CX78" s="3"/>
      <c r="CY78" s="3"/>
      <c r="CZ78" s="3"/>
      <c r="DA78" s="3"/>
      <c r="DB78" s="3"/>
      <c r="DC78" s="3"/>
      <c r="DD78" s="3"/>
      <c r="DE78" s="3"/>
      <c r="DF78" s="3"/>
      <c r="DG78" s="3"/>
      <c r="DH78" s="3"/>
      <c r="DI78" s="3"/>
      <c r="DJ78" s="3"/>
      <c r="DK78" s="3"/>
      <c r="DL78" s="3"/>
      <c r="DM78" s="3"/>
      <c r="DN78" s="3"/>
      <c r="DO78" s="3"/>
      <c r="DP78" s="3"/>
      <c r="DQ78" s="3"/>
      <c r="DR78" s="3"/>
      <c r="DS78" s="3"/>
      <c r="DT78" s="3"/>
      <c r="DU78" s="3"/>
      <c r="DV78" s="3"/>
      <c r="DW78" s="3"/>
      <c r="DX78" s="3"/>
      <c r="DY78" s="3"/>
      <c r="DZ78" s="3"/>
      <c r="EA78" s="3"/>
      <c r="EB78" s="3"/>
      <c r="EC78" s="3"/>
      <c r="ED78" s="3"/>
      <c r="EE78" s="3"/>
      <c r="EF78" s="3"/>
      <c r="EG78" s="3"/>
      <c r="EH78" s="3"/>
      <c r="EI78" s="3"/>
      <c r="EJ78" s="3"/>
      <c r="EK78" s="3"/>
      <c r="EL78" s="3"/>
      <c r="EM78" s="3"/>
      <c r="EN78" s="3"/>
      <c r="EO78" s="3"/>
      <c r="EP78" s="3"/>
      <c r="EQ78" s="3"/>
      <c r="ER78" s="3"/>
      <c r="ES78" s="3"/>
      <c r="ET78" s="3"/>
      <c r="EU78" s="3"/>
      <c r="EV78" s="3"/>
      <c r="EW78" s="3"/>
      <c r="EX78" s="3"/>
      <c r="EY78" s="3"/>
      <c r="EZ78" s="3"/>
      <c r="FA78" s="3"/>
      <c r="FB78" s="3"/>
      <c r="FC78" s="3"/>
      <c r="FD78" s="3"/>
      <c r="FE78" s="3"/>
      <c r="FF78" s="3"/>
      <c r="FG78" s="3"/>
      <c r="FH78" s="3"/>
      <c r="FI78" s="3"/>
      <c r="FJ78" s="3"/>
      <c r="FK78" s="3"/>
      <c r="FL78" s="3"/>
      <c r="FM78" s="3"/>
      <c r="FN78" s="3"/>
      <c r="FO78" s="3"/>
      <c r="FP78" s="3"/>
      <c r="FQ78" s="3"/>
      <c r="FR78" s="3"/>
      <c r="FS78" s="3"/>
      <c r="FT78" s="3"/>
      <c r="FU78" s="3"/>
      <c r="FV78" s="3"/>
      <c r="FW78" s="3"/>
      <c r="FX78" s="3"/>
      <c r="FY78" s="3"/>
      <c r="FZ78" s="3"/>
      <c r="GA78" s="3"/>
      <c r="GB78" s="3"/>
      <c r="GC78" s="3"/>
      <c r="GD78" s="3"/>
      <c r="GE78" s="3"/>
      <c r="GF78" s="3"/>
      <c r="GG78" s="3"/>
      <c r="GH78" s="3"/>
      <c r="GI78" s="3"/>
      <c r="GJ78" s="3"/>
      <c r="GK78" s="3"/>
      <c r="GL78" s="3"/>
      <c r="GM78" s="3"/>
      <c r="GN78" s="3"/>
      <c r="GO78" s="3"/>
      <c r="GP78" s="3"/>
      <c r="GQ78" s="3"/>
      <c r="GR78" s="3"/>
      <c r="GS78" s="3"/>
      <c r="GT78" s="3"/>
      <c r="GU78" s="3"/>
      <c r="GV78" s="3"/>
      <c r="GW78" s="3"/>
      <c r="GX78" s="3"/>
      <c r="GY78" s="3"/>
      <c r="GZ78" s="3"/>
      <c r="HA78" s="3"/>
      <c r="HB78" s="3"/>
      <c r="HC78" s="3"/>
      <c r="HD78" s="3"/>
      <c r="HE78" s="3"/>
      <c r="HF78" s="3"/>
    </row>
    <row r="79" spans="1:214" x14ac:dyDescent="0.25">
      <c r="E79" s="11"/>
      <c r="F79" s="4"/>
      <c r="G79" s="4"/>
      <c r="H79" s="4"/>
      <c r="I79" s="4"/>
      <c r="J79" s="4"/>
      <c r="K79" s="4"/>
      <c r="L79" s="4"/>
      <c r="M79" s="4"/>
      <c r="N79" s="4"/>
      <c r="O79" s="4"/>
      <c r="P79" s="109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  <c r="CK79" s="3"/>
      <c r="CL79" s="3"/>
      <c r="CM79" s="3"/>
      <c r="CN79" s="3"/>
      <c r="CO79" s="3"/>
      <c r="CP79" s="3"/>
      <c r="CQ79" s="3"/>
      <c r="CR79" s="3"/>
      <c r="CS79" s="3"/>
      <c r="CT79" s="3"/>
      <c r="CU79" s="3"/>
      <c r="CV79" s="3"/>
      <c r="CW79" s="3"/>
      <c r="CX79" s="3"/>
      <c r="CY79" s="3"/>
      <c r="CZ79" s="3"/>
      <c r="DA79" s="3"/>
      <c r="DB79" s="3"/>
      <c r="DC79" s="3"/>
      <c r="DD79" s="3"/>
      <c r="DE79" s="3"/>
      <c r="DF79" s="3"/>
      <c r="DG79" s="3"/>
      <c r="DH79" s="3"/>
      <c r="DI79" s="3"/>
      <c r="DJ79" s="3"/>
      <c r="DK79" s="3"/>
      <c r="DL79" s="3"/>
      <c r="DM79" s="3"/>
      <c r="DN79" s="3"/>
      <c r="DO79" s="3"/>
      <c r="DP79" s="3"/>
      <c r="DQ79" s="3"/>
      <c r="DR79" s="3"/>
      <c r="DS79" s="3"/>
      <c r="DT79" s="3"/>
      <c r="DU79" s="3"/>
      <c r="DV79" s="3"/>
      <c r="DW79" s="3"/>
      <c r="DX79" s="3"/>
      <c r="DY79" s="3"/>
      <c r="DZ79" s="3"/>
      <c r="EA79" s="3"/>
      <c r="EB79" s="3"/>
      <c r="EC79" s="3"/>
      <c r="ED79" s="3"/>
      <c r="EE79" s="3"/>
      <c r="EF79" s="3"/>
      <c r="EG79" s="3"/>
      <c r="EH79" s="3"/>
      <c r="EI79" s="3"/>
      <c r="EJ79" s="3"/>
      <c r="EK79" s="3"/>
      <c r="EL79" s="3"/>
      <c r="EM79" s="3"/>
      <c r="EN79" s="3"/>
      <c r="EO79" s="3"/>
      <c r="EP79" s="3"/>
      <c r="EQ79" s="3"/>
      <c r="ER79" s="3"/>
      <c r="ES79" s="3"/>
      <c r="ET79" s="3"/>
      <c r="EU79" s="3"/>
      <c r="EV79" s="3"/>
      <c r="EW79" s="3"/>
      <c r="EX79" s="3"/>
      <c r="EY79" s="3"/>
      <c r="EZ79" s="3"/>
      <c r="FA79" s="3"/>
      <c r="FB79" s="3"/>
      <c r="FC79" s="3"/>
      <c r="FD79" s="3"/>
      <c r="FE79" s="3"/>
      <c r="FF79" s="3"/>
      <c r="FG79" s="3"/>
      <c r="FH79" s="3"/>
      <c r="FI79" s="3"/>
      <c r="FJ79" s="3"/>
      <c r="FK79" s="3"/>
      <c r="FL79" s="3"/>
      <c r="FM79" s="3"/>
      <c r="FN79" s="3"/>
      <c r="FO79" s="3"/>
      <c r="FP79" s="3"/>
      <c r="FQ79" s="3"/>
      <c r="FR79" s="3"/>
      <c r="FS79" s="3"/>
      <c r="FT79" s="3"/>
      <c r="FU79" s="3"/>
      <c r="FV79" s="3"/>
      <c r="FW79" s="3"/>
      <c r="FX79" s="3"/>
      <c r="FY79" s="3"/>
      <c r="FZ79" s="3"/>
      <c r="GA79" s="3"/>
      <c r="GB79" s="3"/>
      <c r="GC79" s="3"/>
      <c r="GD79" s="3"/>
      <c r="GE79" s="3"/>
      <c r="GF79" s="3"/>
      <c r="GG79" s="3"/>
      <c r="GH79" s="3"/>
      <c r="GI79" s="3"/>
      <c r="GJ79" s="3"/>
      <c r="GK79" s="3"/>
      <c r="GL79" s="3"/>
      <c r="GM79" s="3"/>
      <c r="GN79" s="3"/>
      <c r="GO79" s="3"/>
      <c r="GP79" s="3"/>
      <c r="GQ79" s="3"/>
      <c r="GR79" s="3"/>
      <c r="GS79" s="3"/>
      <c r="GT79" s="3"/>
      <c r="GU79" s="3"/>
      <c r="GV79" s="3"/>
      <c r="GW79" s="3"/>
      <c r="GX79" s="3"/>
      <c r="GY79" s="3"/>
      <c r="GZ79" s="3"/>
      <c r="HA79" s="3"/>
      <c r="HB79" s="3"/>
      <c r="HC79" s="3"/>
      <c r="HD79" s="3"/>
      <c r="HE79" s="3"/>
      <c r="HF79" s="3"/>
    </row>
    <row r="80" spans="1:214" x14ac:dyDescent="0.25">
      <c r="E80" s="11"/>
      <c r="F80" s="4"/>
      <c r="G80" s="4"/>
      <c r="H80" s="4"/>
      <c r="I80" s="4"/>
      <c r="J80" s="4"/>
      <c r="K80" s="4"/>
      <c r="L80" s="4"/>
      <c r="M80" s="4"/>
      <c r="N80" s="4"/>
      <c r="O80" s="4"/>
      <c r="P80" s="109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  <c r="CW80" s="3"/>
      <c r="CX80" s="3"/>
      <c r="CY80" s="3"/>
      <c r="CZ80" s="3"/>
      <c r="DA80" s="3"/>
      <c r="DB80" s="3"/>
      <c r="DC80" s="3"/>
      <c r="DD80" s="3"/>
      <c r="DE80" s="3"/>
      <c r="DF80" s="3"/>
      <c r="DG80" s="3"/>
      <c r="DH80" s="3"/>
      <c r="DI80" s="3"/>
      <c r="DJ80" s="3"/>
      <c r="DK80" s="3"/>
      <c r="DL80" s="3"/>
      <c r="DM80" s="3"/>
      <c r="DN80" s="3"/>
      <c r="DO80" s="3"/>
      <c r="DP80" s="3"/>
      <c r="DQ80" s="3"/>
      <c r="DR80" s="3"/>
      <c r="DS80" s="3"/>
      <c r="DT80" s="3"/>
      <c r="DU80" s="3"/>
      <c r="DV80" s="3"/>
      <c r="DW80" s="3"/>
      <c r="DX80" s="3"/>
      <c r="DY80" s="3"/>
      <c r="DZ80" s="3"/>
      <c r="EA80" s="3"/>
      <c r="EB80" s="3"/>
      <c r="EC80" s="3"/>
      <c r="ED80" s="3"/>
      <c r="EE80" s="3"/>
      <c r="EF80" s="3"/>
      <c r="EG80" s="3"/>
      <c r="EH80" s="3"/>
      <c r="EI80" s="3"/>
      <c r="EJ80" s="3"/>
      <c r="EK80" s="3"/>
      <c r="EL80" s="3"/>
      <c r="EM80" s="3"/>
      <c r="EN80" s="3"/>
      <c r="EO80" s="3"/>
      <c r="EP80" s="3"/>
      <c r="EQ80" s="3"/>
      <c r="ER80" s="3"/>
      <c r="ES80" s="3"/>
      <c r="ET80" s="3"/>
      <c r="EU80" s="3"/>
      <c r="EV80" s="3"/>
      <c r="EW80" s="3"/>
      <c r="EX80" s="3"/>
      <c r="EY80" s="3"/>
      <c r="EZ80" s="3"/>
      <c r="FA80" s="3"/>
      <c r="FB80" s="3"/>
      <c r="FC80" s="3"/>
      <c r="FD80" s="3"/>
      <c r="FE80" s="3"/>
      <c r="FF80" s="3"/>
      <c r="FG80" s="3"/>
      <c r="FH80" s="3"/>
      <c r="FI80" s="3"/>
      <c r="FJ80" s="3"/>
      <c r="FK80" s="3"/>
      <c r="FL80" s="3"/>
      <c r="FM80" s="3"/>
      <c r="FN80" s="3"/>
      <c r="FO80" s="3"/>
      <c r="FP80" s="3"/>
      <c r="FQ80" s="3"/>
      <c r="FR80" s="3"/>
      <c r="FS80" s="3"/>
      <c r="FT80" s="3"/>
      <c r="FU80" s="3"/>
      <c r="FV80" s="3"/>
      <c r="FW80" s="3"/>
      <c r="FX80" s="3"/>
      <c r="FY80" s="3"/>
      <c r="FZ80" s="3"/>
      <c r="GA80" s="3"/>
      <c r="GB80" s="3"/>
      <c r="GC80" s="3"/>
      <c r="GD80" s="3"/>
      <c r="GE80" s="3"/>
      <c r="GF80" s="3"/>
      <c r="GG80" s="3"/>
      <c r="GH80" s="3"/>
      <c r="GI80" s="3"/>
      <c r="GJ80" s="3"/>
      <c r="GK80" s="3"/>
      <c r="GL80" s="3"/>
      <c r="GM80" s="3"/>
      <c r="GN80" s="3"/>
      <c r="GO80" s="3"/>
      <c r="GP80" s="3"/>
      <c r="GQ80" s="3"/>
      <c r="GR80" s="3"/>
      <c r="GS80" s="3"/>
      <c r="GT80" s="3"/>
      <c r="GU80" s="3"/>
      <c r="GV80" s="3"/>
      <c r="GW80" s="3"/>
      <c r="GX80" s="3"/>
      <c r="GY80" s="3"/>
      <c r="GZ80" s="3"/>
      <c r="HA80" s="3"/>
      <c r="HB80" s="3"/>
      <c r="HC80" s="3"/>
      <c r="HD80" s="3"/>
      <c r="HE80" s="3"/>
      <c r="HF80" s="3"/>
    </row>
    <row r="81" spans="5:214" x14ac:dyDescent="0.25">
      <c r="E81" s="11"/>
      <c r="F81" s="4"/>
      <c r="G81" s="4"/>
      <c r="H81" s="4"/>
      <c r="I81" s="4"/>
      <c r="J81" s="4"/>
      <c r="K81" s="4"/>
      <c r="L81" s="4"/>
      <c r="M81" s="4"/>
      <c r="N81" s="4"/>
      <c r="O81" s="4"/>
      <c r="P81" s="109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  <c r="CT81" s="3"/>
      <c r="CU81" s="3"/>
      <c r="CV81" s="3"/>
      <c r="CW81" s="3"/>
      <c r="CX81" s="3"/>
      <c r="CY81" s="3"/>
      <c r="CZ81" s="3"/>
      <c r="DA81" s="3"/>
      <c r="DB81" s="3"/>
      <c r="DC81" s="3"/>
      <c r="DD81" s="3"/>
      <c r="DE81" s="3"/>
      <c r="DF81" s="3"/>
      <c r="DG81" s="3"/>
      <c r="DH81" s="3"/>
      <c r="DI81" s="3"/>
      <c r="DJ81" s="3"/>
      <c r="DK81" s="3"/>
      <c r="DL81" s="3"/>
      <c r="DM81" s="3"/>
      <c r="DN81" s="3"/>
      <c r="DO81" s="3"/>
      <c r="DP81" s="3"/>
      <c r="DQ81" s="3"/>
      <c r="DR81" s="3"/>
      <c r="DS81" s="3"/>
      <c r="DT81" s="3"/>
      <c r="DU81" s="3"/>
      <c r="DV81" s="3"/>
      <c r="DW81" s="3"/>
      <c r="DX81" s="3"/>
      <c r="DY81" s="3"/>
      <c r="DZ81" s="3"/>
      <c r="EA81" s="3"/>
      <c r="EB81" s="3"/>
      <c r="EC81" s="3"/>
      <c r="ED81" s="3"/>
      <c r="EE81" s="3"/>
      <c r="EF81" s="3"/>
      <c r="EG81" s="3"/>
      <c r="EH81" s="3"/>
      <c r="EI81" s="3"/>
      <c r="EJ81" s="3"/>
      <c r="EK81" s="3"/>
      <c r="EL81" s="3"/>
      <c r="EM81" s="3"/>
      <c r="EN81" s="3"/>
      <c r="EO81" s="3"/>
      <c r="EP81" s="3"/>
      <c r="EQ81" s="3"/>
      <c r="ER81" s="3"/>
      <c r="ES81" s="3"/>
      <c r="ET81" s="3"/>
      <c r="EU81" s="3"/>
      <c r="EV81" s="3"/>
      <c r="EW81" s="3"/>
      <c r="EX81" s="3"/>
      <c r="EY81" s="3"/>
      <c r="EZ81" s="3"/>
      <c r="FA81" s="3"/>
      <c r="FB81" s="3"/>
      <c r="FC81" s="3"/>
      <c r="FD81" s="3"/>
      <c r="FE81" s="3"/>
      <c r="FF81" s="3"/>
      <c r="FG81" s="3"/>
      <c r="FH81" s="3"/>
      <c r="FI81" s="3"/>
      <c r="FJ81" s="3"/>
      <c r="FK81" s="3"/>
      <c r="FL81" s="3"/>
      <c r="FM81" s="3"/>
      <c r="FN81" s="3"/>
      <c r="FO81" s="3"/>
      <c r="FP81" s="3"/>
      <c r="FQ81" s="3"/>
      <c r="FR81" s="3"/>
      <c r="FS81" s="3"/>
      <c r="FT81" s="3"/>
      <c r="FU81" s="3"/>
      <c r="FV81" s="3"/>
      <c r="FW81" s="3"/>
      <c r="FX81" s="3"/>
      <c r="FY81" s="3"/>
      <c r="FZ81" s="3"/>
      <c r="GA81" s="3"/>
      <c r="GB81" s="3"/>
      <c r="GC81" s="3"/>
      <c r="GD81" s="3"/>
      <c r="GE81" s="3"/>
      <c r="GF81" s="3"/>
      <c r="GG81" s="3"/>
      <c r="GH81" s="3"/>
      <c r="GI81" s="3"/>
      <c r="GJ81" s="3"/>
      <c r="GK81" s="3"/>
      <c r="GL81" s="3"/>
      <c r="GM81" s="3"/>
      <c r="GN81" s="3"/>
      <c r="GO81" s="3"/>
      <c r="GP81" s="3"/>
      <c r="GQ81" s="3"/>
      <c r="GR81" s="3"/>
      <c r="GS81" s="3"/>
      <c r="GT81" s="3"/>
      <c r="GU81" s="3"/>
      <c r="GV81" s="3"/>
      <c r="GW81" s="3"/>
      <c r="GX81" s="3"/>
      <c r="GY81" s="3"/>
      <c r="GZ81" s="3"/>
      <c r="HA81" s="3"/>
      <c r="HB81" s="3"/>
      <c r="HC81" s="3"/>
      <c r="HD81" s="3"/>
      <c r="HE81" s="3"/>
      <c r="HF81" s="3"/>
    </row>
    <row r="82" spans="5:214" x14ac:dyDescent="0.25">
      <c r="E82" s="11"/>
      <c r="F82" s="4"/>
      <c r="G82" s="4"/>
      <c r="H82" s="4"/>
      <c r="I82" s="4"/>
      <c r="J82" s="4"/>
      <c r="K82" s="4"/>
      <c r="L82" s="4"/>
      <c r="M82" s="4"/>
      <c r="N82" s="4"/>
      <c r="O82" s="4"/>
      <c r="P82" s="109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3"/>
      <c r="CW82" s="3"/>
      <c r="CX82" s="3"/>
      <c r="CY82" s="3"/>
      <c r="CZ82" s="3"/>
      <c r="DA82" s="3"/>
      <c r="DB82" s="3"/>
      <c r="DC82" s="3"/>
      <c r="DD82" s="3"/>
      <c r="DE82" s="3"/>
      <c r="DF82" s="3"/>
      <c r="DG82" s="3"/>
      <c r="DH82" s="3"/>
      <c r="DI82" s="3"/>
      <c r="DJ82" s="3"/>
      <c r="DK82" s="3"/>
      <c r="DL82" s="3"/>
      <c r="DM82" s="3"/>
      <c r="DN82" s="3"/>
      <c r="DO82" s="3"/>
      <c r="DP82" s="3"/>
      <c r="DQ82" s="3"/>
      <c r="DR82" s="3"/>
      <c r="DS82" s="3"/>
      <c r="DT82" s="3"/>
      <c r="DU82" s="3"/>
      <c r="DV82" s="3"/>
      <c r="DW82" s="3"/>
      <c r="DX82" s="3"/>
      <c r="DY82" s="3"/>
      <c r="DZ82" s="3"/>
      <c r="EA82" s="3"/>
      <c r="EB82" s="3"/>
      <c r="EC82" s="3"/>
      <c r="ED82" s="3"/>
      <c r="EE82" s="3"/>
      <c r="EF82" s="3"/>
      <c r="EG82" s="3"/>
      <c r="EH82" s="3"/>
      <c r="EI82" s="3"/>
      <c r="EJ82" s="3"/>
      <c r="EK82" s="3"/>
      <c r="EL82" s="3"/>
      <c r="EM82" s="3"/>
      <c r="EN82" s="3"/>
      <c r="EO82" s="3"/>
      <c r="EP82" s="3"/>
      <c r="EQ82" s="3"/>
      <c r="ER82" s="3"/>
      <c r="ES82" s="3"/>
      <c r="ET82" s="3"/>
      <c r="EU82" s="3"/>
      <c r="EV82" s="3"/>
      <c r="EW82" s="3"/>
      <c r="EX82" s="3"/>
      <c r="EY82" s="3"/>
      <c r="EZ82" s="3"/>
      <c r="FA82" s="3"/>
      <c r="FB82" s="3"/>
      <c r="FC82" s="3"/>
      <c r="FD82" s="3"/>
      <c r="FE82" s="3"/>
      <c r="FF82" s="3"/>
      <c r="FG82" s="3"/>
      <c r="FH82" s="3"/>
      <c r="FI82" s="3"/>
      <c r="FJ82" s="3"/>
      <c r="FK82" s="3"/>
      <c r="FL82" s="3"/>
      <c r="FM82" s="3"/>
      <c r="FN82" s="3"/>
      <c r="FO82" s="3"/>
      <c r="FP82" s="3"/>
      <c r="FQ82" s="3"/>
      <c r="FR82" s="3"/>
      <c r="FS82" s="3"/>
      <c r="FT82" s="3"/>
      <c r="FU82" s="3"/>
      <c r="FV82" s="3"/>
      <c r="FW82" s="3"/>
      <c r="FX82" s="3"/>
      <c r="FY82" s="3"/>
      <c r="FZ82" s="3"/>
      <c r="GA82" s="3"/>
      <c r="GB82" s="3"/>
      <c r="GC82" s="3"/>
      <c r="GD82" s="3"/>
      <c r="GE82" s="3"/>
      <c r="GF82" s="3"/>
      <c r="GG82" s="3"/>
      <c r="GH82" s="3"/>
      <c r="GI82" s="3"/>
      <c r="GJ82" s="3"/>
      <c r="GK82" s="3"/>
      <c r="GL82" s="3"/>
      <c r="GM82" s="3"/>
      <c r="GN82" s="3"/>
      <c r="GO82" s="3"/>
      <c r="GP82" s="3"/>
      <c r="GQ82" s="3"/>
      <c r="GR82" s="3"/>
      <c r="GS82" s="3"/>
      <c r="GT82" s="3"/>
      <c r="GU82" s="3"/>
      <c r="GV82" s="3"/>
      <c r="GW82" s="3"/>
      <c r="GX82" s="3"/>
      <c r="GY82" s="3"/>
      <c r="GZ82" s="3"/>
      <c r="HA82" s="3"/>
      <c r="HB82" s="3"/>
      <c r="HC82" s="3"/>
      <c r="HD82" s="3"/>
      <c r="HE82" s="3"/>
      <c r="HF82" s="3"/>
    </row>
    <row r="83" spans="5:214" x14ac:dyDescent="0.25">
      <c r="E83" s="11"/>
      <c r="F83" s="4"/>
      <c r="G83" s="4"/>
      <c r="H83" s="4"/>
      <c r="I83" s="4"/>
      <c r="J83" s="4"/>
      <c r="K83" s="4"/>
      <c r="L83" s="4"/>
      <c r="M83" s="4"/>
      <c r="N83" s="4"/>
      <c r="O83" s="4"/>
      <c r="P83" s="109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T83" s="3"/>
      <c r="CU83" s="3"/>
      <c r="CV83" s="3"/>
      <c r="CW83" s="3"/>
      <c r="CX83" s="3"/>
      <c r="CY83" s="3"/>
      <c r="CZ83" s="3"/>
      <c r="DA83" s="3"/>
      <c r="DB83" s="3"/>
      <c r="DC83" s="3"/>
      <c r="DD83" s="3"/>
      <c r="DE83" s="3"/>
      <c r="DF83" s="3"/>
      <c r="DG83" s="3"/>
      <c r="DH83" s="3"/>
      <c r="DI83" s="3"/>
      <c r="DJ83" s="3"/>
      <c r="DK83" s="3"/>
      <c r="DL83" s="3"/>
      <c r="DM83" s="3"/>
      <c r="DN83" s="3"/>
      <c r="DO83" s="3"/>
      <c r="DP83" s="3"/>
      <c r="DQ83" s="3"/>
      <c r="DR83" s="3"/>
      <c r="DS83" s="3"/>
      <c r="DT83" s="3"/>
      <c r="DU83" s="3"/>
      <c r="DV83" s="3"/>
      <c r="DW83" s="3"/>
      <c r="DX83" s="3"/>
      <c r="DY83" s="3"/>
      <c r="DZ83" s="3"/>
      <c r="EA83" s="3"/>
      <c r="EB83" s="3"/>
      <c r="EC83" s="3"/>
      <c r="ED83" s="3"/>
      <c r="EE83" s="3"/>
      <c r="EF83" s="3"/>
      <c r="EG83" s="3"/>
      <c r="EH83" s="3"/>
      <c r="EI83" s="3"/>
      <c r="EJ83" s="3"/>
      <c r="EK83" s="3"/>
      <c r="EL83" s="3"/>
      <c r="EM83" s="3"/>
      <c r="EN83" s="3"/>
      <c r="EO83" s="3"/>
      <c r="EP83" s="3"/>
      <c r="EQ83" s="3"/>
      <c r="ER83" s="3"/>
      <c r="ES83" s="3"/>
      <c r="ET83" s="3"/>
      <c r="EU83" s="3"/>
      <c r="EV83" s="3"/>
      <c r="EW83" s="3"/>
      <c r="EX83" s="3"/>
      <c r="EY83" s="3"/>
      <c r="EZ83" s="3"/>
      <c r="FA83" s="3"/>
      <c r="FB83" s="3"/>
      <c r="FC83" s="3"/>
      <c r="FD83" s="3"/>
      <c r="FE83" s="3"/>
      <c r="FF83" s="3"/>
      <c r="FG83" s="3"/>
      <c r="FH83" s="3"/>
      <c r="FI83" s="3"/>
      <c r="FJ83" s="3"/>
      <c r="FK83" s="3"/>
      <c r="FL83" s="3"/>
      <c r="FM83" s="3"/>
      <c r="FN83" s="3"/>
      <c r="FO83" s="3"/>
      <c r="FP83" s="3"/>
      <c r="FQ83" s="3"/>
      <c r="FR83" s="3"/>
      <c r="FS83" s="3"/>
      <c r="FT83" s="3"/>
      <c r="FU83" s="3"/>
      <c r="FV83" s="3"/>
      <c r="FW83" s="3"/>
      <c r="FX83" s="3"/>
      <c r="FY83" s="3"/>
      <c r="FZ83" s="3"/>
      <c r="GA83" s="3"/>
      <c r="GB83" s="3"/>
      <c r="GC83" s="3"/>
      <c r="GD83" s="3"/>
      <c r="GE83" s="3"/>
      <c r="GF83" s="3"/>
      <c r="GG83" s="3"/>
      <c r="GH83" s="3"/>
      <c r="GI83" s="3"/>
      <c r="GJ83" s="3"/>
      <c r="GK83" s="3"/>
      <c r="GL83" s="3"/>
      <c r="GM83" s="3"/>
      <c r="GN83" s="3"/>
      <c r="GO83" s="3"/>
      <c r="GP83" s="3"/>
      <c r="GQ83" s="3"/>
      <c r="GR83" s="3"/>
      <c r="GS83" s="3"/>
      <c r="GT83" s="3"/>
      <c r="GU83" s="3"/>
      <c r="GV83" s="3"/>
      <c r="GW83" s="3"/>
      <c r="GX83" s="3"/>
      <c r="GY83" s="3"/>
      <c r="GZ83" s="3"/>
      <c r="HA83" s="3"/>
      <c r="HB83" s="3"/>
      <c r="HC83" s="3"/>
      <c r="HD83" s="3"/>
      <c r="HE83" s="3"/>
      <c r="HF83" s="3"/>
    </row>
    <row r="84" spans="5:214" x14ac:dyDescent="0.25">
      <c r="E84" s="11"/>
      <c r="F84" s="4"/>
      <c r="G84" s="4"/>
      <c r="H84" s="4"/>
      <c r="I84" s="4"/>
      <c r="J84" s="4"/>
      <c r="K84" s="4"/>
      <c r="L84" s="4"/>
      <c r="M84" s="4"/>
      <c r="N84" s="4"/>
      <c r="O84" s="4"/>
      <c r="P84" s="109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  <c r="CT84" s="3"/>
      <c r="CU84" s="3"/>
      <c r="CV84" s="3"/>
      <c r="CW84" s="3"/>
      <c r="CX84" s="3"/>
      <c r="CY84" s="3"/>
      <c r="CZ84" s="3"/>
      <c r="DA84" s="3"/>
      <c r="DB84" s="3"/>
      <c r="DC84" s="3"/>
      <c r="DD84" s="3"/>
      <c r="DE84" s="3"/>
      <c r="DF84" s="3"/>
      <c r="DG84" s="3"/>
      <c r="DH84" s="3"/>
      <c r="DI84" s="3"/>
      <c r="DJ84" s="3"/>
      <c r="DK84" s="3"/>
      <c r="DL84" s="3"/>
      <c r="DM84" s="3"/>
      <c r="DN84" s="3"/>
      <c r="DO84" s="3"/>
      <c r="DP84" s="3"/>
      <c r="DQ84" s="3"/>
      <c r="DR84" s="3"/>
      <c r="DS84" s="3"/>
      <c r="DT84" s="3"/>
      <c r="DU84" s="3"/>
      <c r="DV84" s="3"/>
      <c r="DW84" s="3"/>
      <c r="DX84" s="3"/>
      <c r="DY84" s="3"/>
      <c r="DZ84" s="3"/>
      <c r="EA84" s="3"/>
      <c r="EB84" s="3"/>
      <c r="EC84" s="3"/>
      <c r="ED84" s="3"/>
      <c r="EE84" s="3"/>
      <c r="EF84" s="3"/>
      <c r="EG84" s="3"/>
      <c r="EH84" s="3"/>
      <c r="EI84" s="3"/>
      <c r="EJ84" s="3"/>
      <c r="EK84" s="3"/>
      <c r="EL84" s="3"/>
      <c r="EM84" s="3"/>
      <c r="EN84" s="3"/>
      <c r="EO84" s="3"/>
      <c r="EP84" s="3"/>
      <c r="EQ84" s="3"/>
      <c r="ER84" s="3"/>
      <c r="ES84" s="3"/>
      <c r="ET84" s="3"/>
      <c r="EU84" s="3"/>
      <c r="EV84" s="3"/>
      <c r="EW84" s="3"/>
      <c r="EX84" s="3"/>
      <c r="EY84" s="3"/>
      <c r="EZ84" s="3"/>
      <c r="FA84" s="3"/>
      <c r="FB84" s="3"/>
      <c r="FC84" s="3"/>
      <c r="FD84" s="3"/>
      <c r="FE84" s="3"/>
      <c r="FF84" s="3"/>
      <c r="FG84" s="3"/>
      <c r="FH84" s="3"/>
      <c r="FI84" s="3"/>
      <c r="FJ84" s="3"/>
      <c r="FK84" s="3"/>
      <c r="FL84" s="3"/>
      <c r="FM84" s="3"/>
      <c r="FN84" s="3"/>
      <c r="FO84" s="3"/>
      <c r="FP84" s="3"/>
      <c r="FQ84" s="3"/>
      <c r="FR84" s="3"/>
      <c r="FS84" s="3"/>
      <c r="FT84" s="3"/>
      <c r="FU84" s="3"/>
      <c r="FV84" s="3"/>
      <c r="FW84" s="3"/>
      <c r="FX84" s="3"/>
      <c r="FY84" s="3"/>
      <c r="FZ84" s="3"/>
      <c r="GA84" s="3"/>
      <c r="GB84" s="3"/>
      <c r="GC84" s="3"/>
      <c r="GD84" s="3"/>
      <c r="GE84" s="3"/>
      <c r="GF84" s="3"/>
      <c r="GG84" s="3"/>
      <c r="GH84" s="3"/>
      <c r="GI84" s="3"/>
      <c r="GJ84" s="3"/>
      <c r="GK84" s="3"/>
      <c r="GL84" s="3"/>
      <c r="GM84" s="3"/>
      <c r="GN84" s="3"/>
      <c r="GO84" s="3"/>
      <c r="GP84" s="3"/>
      <c r="GQ84" s="3"/>
      <c r="GR84" s="3"/>
      <c r="GS84" s="3"/>
      <c r="GT84" s="3"/>
      <c r="GU84" s="3"/>
      <c r="GV84" s="3"/>
      <c r="GW84" s="3"/>
      <c r="GX84" s="3"/>
      <c r="GY84" s="3"/>
      <c r="GZ84" s="3"/>
      <c r="HA84" s="3"/>
      <c r="HB84" s="3"/>
      <c r="HC84" s="3"/>
      <c r="HD84" s="3"/>
      <c r="HE84" s="3"/>
      <c r="HF84" s="3"/>
    </row>
    <row r="85" spans="5:214" x14ac:dyDescent="0.25">
      <c r="E85" s="11"/>
      <c r="F85" s="4"/>
      <c r="G85" s="4"/>
      <c r="H85" s="4"/>
      <c r="I85" s="4"/>
      <c r="J85" s="4"/>
      <c r="K85" s="4"/>
      <c r="L85" s="4"/>
      <c r="M85" s="4"/>
      <c r="N85" s="4"/>
      <c r="O85" s="4"/>
      <c r="P85" s="109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  <c r="CR85" s="3"/>
      <c r="CS85" s="3"/>
      <c r="CT85" s="3"/>
      <c r="CU85" s="3"/>
      <c r="CV85" s="3"/>
      <c r="CW85" s="3"/>
      <c r="CX85" s="3"/>
      <c r="CY85" s="3"/>
      <c r="CZ85" s="3"/>
      <c r="DA85" s="3"/>
      <c r="DB85" s="3"/>
      <c r="DC85" s="3"/>
      <c r="DD85" s="3"/>
      <c r="DE85" s="3"/>
      <c r="DF85" s="3"/>
      <c r="DG85" s="3"/>
      <c r="DH85" s="3"/>
      <c r="DI85" s="3"/>
      <c r="DJ85" s="3"/>
      <c r="DK85" s="3"/>
      <c r="DL85" s="3"/>
      <c r="DM85" s="3"/>
      <c r="DN85" s="3"/>
      <c r="DO85" s="3"/>
      <c r="DP85" s="3"/>
      <c r="DQ85" s="3"/>
      <c r="DR85" s="3"/>
      <c r="DS85" s="3"/>
      <c r="DT85" s="3"/>
      <c r="DU85" s="3"/>
      <c r="DV85" s="3"/>
      <c r="DW85" s="3"/>
      <c r="DX85" s="3"/>
      <c r="DY85" s="3"/>
      <c r="DZ85" s="3"/>
      <c r="EA85" s="3"/>
      <c r="EB85" s="3"/>
      <c r="EC85" s="3"/>
      <c r="ED85" s="3"/>
      <c r="EE85" s="3"/>
      <c r="EF85" s="3"/>
      <c r="EG85" s="3"/>
      <c r="EH85" s="3"/>
      <c r="EI85" s="3"/>
      <c r="EJ85" s="3"/>
      <c r="EK85" s="3"/>
      <c r="EL85" s="3"/>
      <c r="EM85" s="3"/>
      <c r="EN85" s="3"/>
      <c r="EO85" s="3"/>
      <c r="EP85" s="3"/>
      <c r="EQ85" s="3"/>
      <c r="ER85" s="3"/>
      <c r="ES85" s="3"/>
      <c r="ET85" s="3"/>
      <c r="EU85" s="3"/>
      <c r="EV85" s="3"/>
      <c r="EW85" s="3"/>
      <c r="EX85" s="3"/>
      <c r="EY85" s="3"/>
      <c r="EZ85" s="3"/>
      <c r="FA85" s="3"/>
      <c r="FB85" s="3"/>
      <c r="FC85" s="3"/>
      <c r="FD85" s="3"/>
      <c r="FE85" s="3"/>
      <c r="FF85" s="3"/>
      <c r="FG85" s="3"/>
      <c r="FH85" s="3"/>
      <c r="FI85" s="3"/>
      <c r="FJ85" s="3"/>
      <c r="FK85" s="3"/>
      <c r="FL85" s="3"/>
      <c r="FM85" s="3"/>
      <c r="FN85" s="3"/>
      <c r="FO85" s="3"/>
      <c r="FP85" s="3"/>
      <c r="FQ85" s="3"/>
      <c r="FR85" s="3"/>
      <c r="FS85" s="3"/>
      <c r="FT85" s="3"/>
      <c r="FU85" s="3"/>
      <c r="FV85" s="3"/>
      <c r="FW85" s="3"/>
      <c r="FX85" s="3"/>
      <c r="FY85" s="3"/>
      <c r="FZ85" s="3"/>
      <c r="GA85" s="3"/>
      <c r="GB85" s="3"/>
      <c r="GC85" s="3"/>
      <c r="GD85" s="3"/>
      <c r="GE85" s="3"/>
      <c r="GF85" s="3"/>
      <c r="GG85" s="3"/>
      <c r="GH85" s="3"/>
      <c r="GI85" s="3"/>
      <c r="GJ85" s="3"/>
      <c r="GK85" s="3"/>
      <c r="GL85" s="3"/>
      <c r="GM85" s="3"/>
      <c r="GN85" s="3"/>
      <c r="GO85" s="3"/>
      <c r="GP85" s="3"/>
      <c r="GQ85" s="3"/>
      <c r="GR85" s="3"/>
      <c r="GS85" s="3"/>
      <c r="GT85" s="3"/>
      <c r="GU85" s="3"/>
      <c r="GV85" s="3"/>
      <c r="GW85" s="3"/>
      <c r="GX85" s="3"/>
      <c r="GY85" s="3"/>
      <c r="GZ85" s="3"/>
      <c r="HA85" s="3"/>
      <c r="HB85" s="3"/>
      <c r="HC85" s="3"/>
      <c r="HD85" s="3"/>
      <c r="HE85" s="3"/>
      <c r="HF85" s="3"/>
    </row>
    <row r="86" spans="5:214" x14ac:dyDescent="0.25">
      <c r="E86" s="11"/>
      <c r="F86" s="4"/>
      <c r="G86" s="4"/>
      <c r="H86" s="4"/>
      <c r="I86" s="4"/>
      <c r="J86" s="4"/>
      <c r="K86" s="4"/>
      <c r="L86" s="4"/>
      <c r="M86" s="4"/>
      <c r="N86" s="4"/>
      <c r="O86" s="4"/>
      <c r="P86" s="109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  <c r="CP86" s="3"/>
      <c r="CQ86" s="3"/>
      <c r="CR86" s="3"/>
      <c r="CS86" s="3"/>
      <c r="CT86" s="3"/>
      <c r="CU86" s="3"/>
      <c r="CV86" s="3"/>
      <c r="CW86" s="3"/>
      <c r="CX86" s="3"/>
      <c r="CY86" s="3"/>
      <c r="CZ86" s="3"/>
      <c r="DA86" s="3"/>
      <c r="DB86" s="3"/>
      <c r="DC86" s="3"/>
      <c r="DD86" s="3"/>
      <c r="DE86" s="3"/>
      <c r="DF86" s="3"/>
      <c r="DG86" s="3"/>
      <c r="DH86" s="3"/>
      <c r="DI86" s="3"/>
      <c r="DJ86" s="3"/>
      <c r="DK86" s="3"/>
      <c r="DL86" s="3"/>
      <c r="DM86" s="3"/>
      <c r="DN86" s="3"/>
      <c r="DO86" s="3"/>
      <c r="DP86" s="3"/>
      <c r="DQ86" s="3"/>
      <c r="DR86" s="3"/>
      <c r="DS86" s="3"/>
      <c r="DT86" s="3"/>
      <c r="DU86" s="3"/>
      <c r="DV86" s="3"/>
      <c r="DW86" s="3"/>
      <c r="DX86" s="3"/>
      <c r="DY86" s="3"/>
      <c r="DZ86" s="3"/>
      <c r="EA86" s="3"/>
      <c r="EB86" s="3"/>
      <c r="EC86" s="3"/>
      <c r="ED86" s="3"/>
      <c r="EE86" s="3"/>
      <c r="EF86" s="3"/>
      <c r="EG86" s="3"/>
      <c r="EH86" s="3"/>
      <c r="EI86" s="3"/>
      <c r="EJ86" s="3"/>
      <c r="EK86" s="3"/>
      <c r="EL86" s="3"/>
      <c r="EM86" s="3"/>
      <c r="EN86" s="3"/>
      <c r="EO86" s="3"/>
      <c r="EP86" s="3"/>
      <c r="EQ86" s="3"/>
      <c r="ER86" s="3"/>
      <c r="ES86" s="3"/>
      <c r="ET86" s="3"/>
      <c r="EU86" s="3"/>
      <c r="EV86" s="3"/>
      <c r="EW86" s="3"/>
      <c r="EX86" s="3"/>
      <c r="EY86" s="3"/>
      <c r="EZ86" s="3"/>
      <c r="FA86" s="3"/>
      <c r="FB86" s="3"/>
      <c r="FC86" s="3"/>
      <c r="FD86" s="3"/>
      <c r="FE86" s="3"/>
      <c r="FF86" s="3"/>
      <c r="FG86" s="3"/>
      <c r="FH86" s="3"/>
      <c r="FI86" s="3"/>
      <c r="FJ86" s="3"/>
      <c r="FK86" s="3"/>
      <c r="FL86" s="3"/>
      <c r="FM86" s="3"/>
      <c r="FN86" s="3"/>
      <c r="FO86" s="3"/>
      <c r="FP86" s="3"/>
      <c r="FQ86" s="3"/>
      <c r="FR86" s="3"/>
      <c r="FS86" s="3"/>
      <c r="FT86" s="3"/>
      <c r="FU86" s="3"/>
      <c r="FV86" s="3"/>
      <c r="FW86" s="3"/>
      <c r="FX86" s="3"/>
      <c r="FY86" s="3"/>
      <c r="FZ86" s="3"/>
      <c r="GA86" s="3"/>
      <c r="GB86" s="3"/>
      <c r="GC86" s="3"/>
      <c r="GD86" s="3"/>
      <c r="GE86" s="3"/>
      <c r="GF86" s="3"/>
      <c r="GG86" s="3"/>
      <c r="GH86" s="3"/>
      <c r="GI86" s="3"/>
      <c r="GJ86" s="3"/>
      <c r="GK86" s="3"/>
      <c r="GL86" s="3"/>
      <c r="GM86" s="3"/>
      <c r="GN86" s="3"/>
      <c r="GO86" s="3"/>
      <c r="GP86" s="3"/>
      <c r="GQ86" s="3"/>
      <c r="GR86" s="3"/>
      <c r="GS86" s="3"/>
      <c r="GT86" s="3"/>
      <c r="GU86" s="3"/>
      <c r="GV86" s="3"/>
      <c r="GW86" s="3"/>
      <c r="GX86" s="3"/>
      <c r="GY86" s="3"/>
      <c r="GZ86" s="3"/>
      <c r="HA86" s="3"/>
      <c r="HB86" s="3"/>
      <c r="HC86" s="3"/>
      <c r="HD86" s="3"/>
      <c r="HE86" s="3"/>
      <c r="HF86" s="3"/>
    </row>
    <row r="87" spans="5:214" x14ac:dyDescent="0.25">
      <c r="E87" s="11"/>
      <c r="F87" s="4"/>
      <c r="G87" s="4"/>
      <c r="H87" s="4"/>
      <c r="I87" s="4"/>
      <c r="J87" s="4"/>
      <c r="K87" s="4"/>
      <c r="L87" s="4"/>
      <c r="M87" s="4"/>
      <c r="N87" s="4"/>
      <c r="O87" s="4"/>
      <c r="P87" s="109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  <c r="CR87" s="3"/>
      <c r="CS87" s="3"/>
      <c r="CT87" s="3"/>
      <c r="CU87" s="3"/>
      <c r="CV87" s="3"/>
      <c r="CW87" s="3"/>
      <c r="CX87" s="3"/>
      <c r="CY87" s="3"/>
      <c r="CZ87" s="3"/>
      <c r="DA87" s="3"/>
      <c r="DB87" s="3"/>
      <c r="DC87" s="3"/>
      <c r="DD87" s="3"/>
      <c r="DE87" s="3"/>
      <c r="DF87" s="3"/>
      <c r="DG87" s="3"/>
      <c r="DH87" s="3"/>
      <c r="DI87" s="3"/>
      <c r="DJ87" s="3"/>
      <c r="DK87" s="3"/>
      <c r="DL87" s="3"/>
      <c r="DM87" s="3"/>
      <c r="DN87" s="3"/>
      <c r="DO87" s="3"/>
      <c r="DP87" s="3"/>
      <c r="DQ87" s="3"/>
      <c r="DR87" s="3"/>
      <c r="DS87" s="3"/>
      <c r="DT87" s="3"/>
      <c r="DU87" s="3"/>
      <c r="DV87" s="3"/>
      <c r="DW87" s="3"/>
      <c r="DX87" s="3"/>
      <c r="DY87" s="3"/>
      <c r="DZ87" s="3"/>
      <c r="EA87" s="3"/>
      <c r="EB87" s="3"/>
      <c r="EC87" s="3"/>
      <c r="ED87" s="3"/>
      <c r="EE87" s="3"/>
      <c r="EF87" s="3"/>
      <c r="EG87" s="3"/>
      <c r="EH87" s="3"/>
      <c r="EI87" s="3"/>
      <c r="EJ87" s="3"/>
      <c r="EK87" s="3"/>
      <c r="EL87" s="3"/>
      <c r="EM87" s="3"/>
      <c r="EN87" s="3"/>
      <c r="EO87" s="3"/>
      <c r="EP87" s="3"/>
      <c r="EQ87" s="3"/>
      <c r="ER87" s="3"/>
      <c r="ES87" s="3"/>
      <c r="ET87" s="3"/>
      <c r="EU87" s="3"/>
      <c r="EV87" s="3"/>
      <c r="EW87" s="3"/>
      <c r="EX87" s="3"/>
      <c r="EY87" s="3"/>
      <c r="EZ87" s="3"/>
      <c r="FA87" s="3"/>
      <c r="FB87" s="3"/>
      <c r="FC87" s="3"/>
      <c r="FD87" s="3"/>
      <c r="FE87" s="3"/>
      <c r="FF87" s="3"/>
      <c r="FG87" s="3"/>
      <c r="FH87" s="3"/>
      <c r="FI87" s="3"/>
      <c r="FJ87" s="3"/>
      <c r="FK87" s="3"/>
      <c r="FL87" s="3"/>
      <c r="FM87" s="3"/>
      <c r="FN87" s="3"/>
      <c r="FO87" s="3"/>
      <c r="FP87" s="3"/>
      <c r="FQ87" s="3"/>
      <c r="FR87" s="3"/>
      <c r="FS87" s="3"/>
      <c r="FT87" s="3"/>
      <c r="FU87" s="3"/>
      <c r="FV87" s="3"/>
      <c r="FW87" s="3"/>
      <c r="FX87" s="3"/>
      <c r="FY87" s="3"/>
      <c r="FZ87" s="3"/>
      <c r="GA87" s="3"/>
      <c r="GB87" s="3"/>
      <c r="GC87" s="3"/>
      <c r="GD87" s="3"/>
      <c r="GE87" s="3"/>
      <c r="GF87" s="3"/>
      <c r="GG87" s="3"/>
      <c r="GH87" s="3"/>
      <c r="GI87" s="3"/>
      <c r="GJ87" s="3"/>
      <c r="GK87" s="3"/>
      <c r="GL87" s="3"/>
      <c r="GM87" s="3"/>
      <c r="GN87" s="3"/>
      <c r="GO87" s="3"/>
      <c r="GP87" s="3"/>
      <c r="GQ87" s="3"/>
      <c r="GR87" s="3"/>
      <c r="GS87" s="3"/>
      <c r="GT87" s="3"/>
      <c r="GU87" s="3"/>
      <c r="GV87" s="3"/>
      <c r="GW87" s="3"/>
      <c r="GX87" s="3"/>
      <c r="GY87" s="3"/>
      <c r="GZ87" s="3"/>
      <c r="HA87" s="3"/>
      <c r="HB87" s="3"/>
      <c r="HC87" s="3"/>
      <c r="HD87" s="3"/>
      <c r="HE87" s="3"/>
      <c r="HF87" s="3"/>
    </row>
    <row r="88" spans="5:214" x14ac:dyDescent="0.25">
      <c r="E88" s="11"/>
      <c r="F88" s="4"/>
      <c r="G88" s="4"/>
      <c r="H88" s="4"/>
      <c r="I88" s="4"/>
      <c r="J88" s="4"/>
      <c r="K88" s="4"/>
      <c r="L88" s="4"/>
      <c r="M88" s="4"/>
      <c r="N88" s="4"/>
      <c r="O88" s="4"/>
      <c r="P88" s="109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3"/>
      <c r="CW88" s="3"/>
      <c r="CX88" s="3"/>
      <c r="CY88" s="3"/>
      <c r="CZ88" s="3"/>
      <c r="DA88" s="3"/>
      <c r="DB88" s="3"/>
      <c r="DC88" s="3"/>
      <c r="DD88" s="3"/>
      <c r="DE88" s="3"/>
      <c r="DF88" s="3"/>
      <c r="DG88" s="3"/>
      <c r="DH88" s="3"/>
      <c r="DI88" s="3"/>
      <c r="DJ88" s="3"/>
      <c r="DK88" s="3"/>
      <c r="DL88" s="3"/>
      <c r="DM88" s="3"/>
      <c r="DN88" s="3"/>
      <c r="DO88" s="3"/>
      <c r="DP88" s="3"/>
      <c r="DQ88" s="3"/>
      <c r="DR88" s="3"/>
      <c r="DS88" s="3"/>
      <c r="DT88" s="3"/>
      <c r="DU88" s="3"/>
      <c r="DV88" s="3"/>
      <c r="DW88" s="3"/>
      <c r="DX88" s="3"/>
      <c r="DY88" s="3"/>
      <c r="DZ88" s="3"/>
      <c r="EA88" s="3"/>
      <c r="EB88" s="3"/>
      <c r="EC88" s="3"/>
      <c r="ED88" s="3"/>
      <c r="EE88" s="3"/>
      <c r="EF88" s="3"/>
      <c r="EG88" s="3"/>
      <c r="EH88" s="3"/>
      <c r="EI88" s="3"/>
      <c r="EJ88" s="3"/>
      <c r="EK88" s="3"/>
      <c r="EL88" s="3"/>
      <c r="EM88" s="3"/>
      <c r="EN88" s="3"/>
      <c r="EO88" s="3"/>
      <c r="EP88" s="3"/>
      <c r="EQ88" s="3"/>
      <c r="ER88" s="3"/>
      <c r="ES88" s="3"/>
      <c r="ET88" s="3"/>
      <c r="EU88" s="3"/>
      <c r="EV88" s="3"/>
      <c r="EW88" s="3"/>
      <c r="EX88" s="3"/>
      <c r="EY88" s="3"/>
      <c r="EZ88" s="3"/>
      <c r="FA88" s="3"/>
      <c r="FB88" s="3"/>
      <c r="FC88" s="3"/>
      <c r="FD88" s="3"/>
      <c r="FE88" s="3"/>
      <c r="FF88" s="3"/>
      <c r="FG88" s="3"/>
      <c r="FH88" s="3"/>
      <c r="FI88" s="3"/>
      <c r="FJ88" s="3"/>
      <c r="FK88" s="3"/>
      <c r="FL88" s="3"/>
      <c r="FM88" s="3"/>
      <c r="FN88" s="3"/>
      <c r="FO88" s="3"/>
      <c r="FP88" s="3"/>
      <c r="FQ88" s="3"/>
      <c r="FR88" s="3"/>
      <c r="FS88" s="3"/>
      <c r="FT88" s="3"/>
      <c r="FU88" s="3"/>
      <c r="FV88" s="3"/>
      <c r="FW88" s="3"/>
      <c r="FX88" s="3"/>
      <c r="FY88" s="3"/>
      <c r="FZ88" s="3"/>
      <c r="GA88" s="3"/>
      <c r="GB88" s="3"/>
      <c r="GC88" s="3"/>
      <c r="GD88" s="3"/>
      <c r="GE88" s="3"/>
      <c r="GF88" s="3"/>
      <c r="GG88" s="3"/>
      <c r="GH88" s="3"/>
      <c r="GI88" s="3"/>
      <c r="GJ88" s="3"/>
      <c r="GK88" s="3"/>
      <c r="GL88" s="3"/>
      <c r="GM88" s="3"/>
      <c r="GN88" s="3"/>
      <c r="GO88" s="3"/>
      <c r="GP88" s="3"/>
      <c r="GQ88" s="3"/>
      <c r="GR88" s="3"/>
      <c r="GS88" s="3"/>
      <c r="GT88" s="3"/>
      <c r="GU88" s="3"/>
      <c r="GV88" s="3"/>
      <c r="GW88" s="3"/>
      <c r="GX88" s="3"/>
      <c r="GY88" s="3"/>
      <c r="GZ88" s="3"/>
      <c r="HA88" s="3"/>
      <c r="HB88" s="3"/>
      <c r="HC88" s="3"/>
      <c r="HD88" s="3"/>
      <c r="HE88" s="3"/>
      <c r="HF88" s="3"/>
    </row>
    <row r="89" spans="5:214" x14ac:dyDescent="0.25">
      <c r="E89" s="11"/>
      <c r="F89" s="4"/>
      <c r="G89" s="4"/>
      <c r="H89" s="4"/>
      <c r="I89" s="4"/>
      <c r="J89" s="4"/>
      <c r="K89" s="4"/>
      <c r="L89" s="4"/>
      <c r="M89" s="4"/>
      <c r="N89" s="4"/>
      <c r="O89" s="4"/>
      <c r="P89" s="109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3"/>
      <c r="CQ89" s="3"/>
      <c r="CR89" s="3"/>
      <c r="CS89" s="3"/>
      <c r="CT89" s="3"/>
      <c r="CU89" s="3"/>
      <c r="CV89" s="3"/>
      <c r="CW89" s="3"/>
      <c r="CX89" s="3"/>
      <c r="CY89" s="3"/>
      <c r="CZ89" s="3"/>
      <c r="DA89" s="3"/>
      <c r="DB89" s="3"/>
      <c r="DC89" s="3"/>
      <c r="DD89" s="3"/>
      <c r="DE89" s="3"/>
      <c r="DF89" s="3"/>
      <c r="DG89" s="3"/>
      <c r="DH89" s="3"/>
      <c r="DI89" s="3"/>
      <c r="DJ89" s="3"/>
      <c r="DK89" s="3"/>
      <c r="DL89" s="3"/>
      <c r="DM89" s="3"/>
      <c r="DN89" s="3"/>
      <c r="DO89" s="3"/>
      <c r="DP89" s="3"/>
      <c r="DQ89" s="3"/>
      <c r="DR89" s="3"/>
      <c r="DS89" s="3"/>
      <c r="DT89" s="3"/>
      <c r="DU89" s="3"/>
      <c r="DV89" s="3"/>
      <c r="DW89" s="3"/>
      <c r="DX89" s="3"/>
      <c r="DY89" s="3"/>
      <c r="DZ89" s="3"/>
      <c r="EA89" s="3"/>
      <c r="EB89" s="3"/>
      <c r="EC89" s="3"/>
      <c r="ED89" s="3"/>
      <c r="EE89" s="3"/>
      <c r="EF89" s="3"/>
      <c r="EG89" s="3"/>
      <c r="EH89" s="3"/>
      <c r="EI89" s="3"/>
      <c r="EJ89" s="3"/>
      <c r="EK89" s="3"/>
      <c r="EL89" s="3"/>
      <c r="EM89" s="3"/>
      <c r="EN89" s="3"/>
      <c r="EO89" s="3"/>
      <c r="EP89" s="3"/>
      <c r="EQ89" s="3"/>
      <c r="ER89" s="3"/>
      <c r="ES89" s="3"/>
      <c r="ET89" s="3"/>
      <c r="EU89" s="3"/>
      <c r="EV89" s="3"/>
      <c r="EW89" s="3"/>
      <c r="EX89" s="3"/>
      <c r="EY89" s="3"/>
      <c r="EZ89" s="3"/>
      <c r="FA89" s="3"/>
      <c r="FB89" s="3"/>
      <c r="FC89" s="3"/>
      <c r="FD89" s="3"/>
      <c r="FE89" s="3"/>
      <c r="FF89" s="3"/>
      <c r="FG89" s="3"/>
      <c r="FH89" s="3"/>
      <c r="FI89" s="3"/>
      <c r="FJ89" s="3"/>
      <c r="FK89" s="3"/>
      <c r="FL89" s="3"/>
      <c r="FM89" s="3"/>
      <c r="FN89" s="3"/>
      <c r="FO89" s="3"/>
      <c r="FP89" s="3"/>
      <c r="FQ89" s="3"/>
      <c r="FR89" s="3"/>
      <c r="FS89" s="3"/>
      <c r="FT89" s="3"/>
      <c r="FU89" s="3"/>
      <c r="FV89" s="3"/>
      <c r="FW89" s="3"/>
      <c r="FX89" s="3"/>
      <c r="FY89" s="3"/>
      <c r="FZ89" s="3"/>
      <c r="GA89" s="3"/>
      <c r="GB89" s="3"/>
      <c r="GC89" s="3"/>
      <c r="GD89" s="3"/>
      <c r="GE89" s="3"/>
      <c r="GF89" s="3"/>
      <c r="GG89" s="3"/>
      <c r="GH89" s="3"/>
      <c r="GI89" s="3"/>
      <c r="GJ89" s="3"/>
      <c r="GK89" s="3"/>
      <c r="GL89" s="3"/>
      <c r="GM89" s="3"/>
      <c r="GN89" s="3"/>
      <c r="GO89" s="3"/>
      <c r="GP89" s="3"/>
      <c r="GQ89" s="3"/>
      <c r="GR89" s="3"/>
      <c r="GS89" s="3"/>
      <c r="GT89" s="3"/>
      <c r="GU89" s="3"/>
      <c r="GV89" s="3"/>
      <c r="GW89" s="3"/>
      <c r="GX89" s="3"/>
      <c r="GY89" s="3"/>
      <c r="GZ89" s="3"/>
      <c r="HA89" s="3"/>
      <c r="HB89" s="3"/>
      <c r="HC89" s="3"/>
      <c r="HD89" s="3"/>
      <c r="HE89" s="3"/>
      <c r="HF89" s="3"/>
    </row>
    <row r="90" spans="5:214" x14ac:dyDescent="0.25">
      <c r="E90" s="11"/>
      <c r="F90" s="4"/>
      <c r="G90" s="4"/>
      <c r="H90" s="4"/>
      <c r="I90" s="4"/>
      <c r="J90" s="4"/>
      <c r="K90" s="4"/>
      <c r="L90" s="4"/>
      <c r="M90" s="4"/>
      <c r="N90" s="4"/>
      <c r="O90" s="4"/>
      <c r="P90" s="109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  <c r="CT90" s="3"/>
      <c r="CU90" s="3"/>
      <c r="CV90" s="3"/>
      <c r="CW90" s="3"/>
      <c r="CX90" s="3"/>
      <c r="CY90" s="3"/>
      <c r="CZ90" s="3"/>
      <c r="DA90" s="3"/>
      <c r="DB90" s="3"/>
      <c r="DC90" s="3"/>
      <c r="DD90" s="3"/>
      <c r="DE90" s="3"/>
      <c r="DF90" s="3"/>
      <c r="DG90" s="3"/>
      <c r="DH90" s="3"/>
      <c r="DI90" s="3"/>
      <c r="DJ90" s="3"/>
      <c r="DK90" s="3"/>
      <c r="DL90" s="3"/>
      <c r="DM90" s="3"/>
      <c r="DN90" s="3"/>
      <c r="DO90" s="3"/>
      <c r="DP90" s="3"/>
      <c r="DQ90" s="3"/>
      <c r="DR90" s="3"/>
      <c r="DS90" s="3"/>
      <c r="DT90" s="3"/>
      <c r="DU90" s="3"/>
      <c r="DV90" s="3"/>
      <c r="DW90" s="3"/>
      <c r="DX90" s="3"/>
      <c r="DY90" s="3"/>
      <c r="DZ90" s="3"/>
      <c r="EA90" s="3"/>
      <c r="EB90" s="3"/>
      <c r="EC90" s="3"/>
      <c r="ED90" s="3"/>
      <c r="EE90" s="3"/>
      <c r="EF90" s="3"/>
      <c r="EG90" s="3"/>
      <c r="EH90" s="3"/>
      <c r="EI90" s="3"/>
      <c r="EJ90" s="3"/>
      <c r="EK90" s="3"/>
      <c r="EL90" s="3"/>
      <c r="EM90" s="3"/>
      <c r="EN90" s="3"/>
      <c r="EO90" s="3"/>
      <c r="EP90" s="3"/>
      <c r="EQ90" s="3"/>
      <c r="ER90" s="3"/>
      <c r="ES90" s="3"/>
      <c r="ET90" s="3"/>
      <c r="EU90" s="3"/>
      <c r="EV90" s="3"/>
      <c r="EW90" s="3"/>
      <c r="EX90" s="3"/>
      <c r="EY90" s="3"/>
      <c r="EZ90" s="3"/>
      <c r="FA90" s="3"/>
      <c r="FB90" s="3"/>
      <c r="FC90" s="3"/>
      <c r="FD90" s="3"/>
      <c r="FE90" s="3"/>
      <c r="FF90" s="3"/>
      <c r="FG90" s="3"/>
      <c r="FH90" s="3"/>
      <c r="FI90" s="3"/>
      <c r="FJ90" s="3"/>
      <c r="FK90" s="3"/>
      <c r="FL90" s="3"/>
      <c r="FM90" s="3"/>
      <c r="FN90" s="3"/>
      <c r="FO90" s="3"/>
      <c r="FP90" s="3"/>
      <c r="FQ90" s="3"/>
      <c r="FR90" s="3"/>
      <c r="FS90" s="3"/>
      <c r="FT90" s="3"/>
      <c r="FU90" s="3"/>
      <c r="FV90" s="3"/>
      <c r="FW90" s="3"/>
      <c r="FX90" s="3"/>
      <c r="FY90" s="3"/>
      <c r="FZ90" s="3"/>
      <c r="GA90" s="3"/>
      <c r="GB90" s="3"/>
      <c r="GC90" s="3"/>
      <c r="GD90" s="3"/>
      <c r="GE90" s="3"/>
      <c r="GF90" s="3"/>
      <c r="GG90" s="3"/>
      <c r="GH90" s="3"/>
      <c r="GI90" s="3"/>
      <c r="GJ90" s="3"/>
      <c r="GK90" s="3"/>
      <c r="GL90" s="3"/>
      <c r="GM90" s="3"/>
      <c r="GN90" s="3"/>
      <c r="GO90" s="3"/>
      <c r="GP90" s="3"/>
      <c r="GQ90" s="3"/>
      <c r="GR90" s="3"/>
      <c r="GS90" s="3"/>
      <c r="GT90" s="3"/>
      <c r="GU90" s="3"/>
      <c r="GV90" s="3"/>
      <c r="GW90" s="3"/>
      <c r="GX90" s="3"/>
      <c r="GY90" s="3"/>
      <c r="GZ90" s="3"/>
      <c r="HA90" s="3"/>
      <c r="HB90" s="3"/>
      <c r="HC90" s="3"/>
      <c r="HD90" s="3"/>
      <c r="HE90" s="3"/>
      <c r="HF90" s="3"/>
    </row>
    <row r="91" spans="5:214" x14ac:dyDescent="0.25">
      <c r="E91" s="11"/>
      <c r="F91" s="4"/>
      <c r="G91" s="4"/>
      <c r="H91" s="4"/>
      <c r="I91" s="4"/>
      <c r="J91" s="4"/>
      <c r="K91" s="4"/>
      <c r="L91" s="4"/>
      <c r="M91" s="4"/>
      <c r="N91" s="4"/>
      <c r="O91" s="4"/>
      <c r="P91" s="109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  <c r="CW91" s="3"/>
      <c r="CX91" s="3"/>
      <c r="CY91" s="3"/>
      <c r="CZ91" s="3"/>
      <c r="DA91" s="3"/>
      <c r="DB91" s="3"/>
      <c r="DC91" s="3"/>
      <c r="DD91" s="3"/>
      <c r="DE91" s="3"/>
      <c r="DF91" s="3"/>
      <c r="DG91" s="3"/>
      <c r="DH91" s="3"/>
      <c r="DI91" s="3"/>
      <c r="DJ91" s="3"/>
      <c r="DK91" s="3"/>
      <c r="DL91" s="3"/>
      <c r="DM91" s="3"/>
      <c r="DN91" s="3"/>
      <c r="DO91" s="3"/>
      <c r="DP91" s="3"/>
      <c r="DQ91" s="3"/>
      <c r="DR91" s="3"/>
      <c r="DS91" s="3"/>
      <c r="DT91" s="3"/>
      <c r="DU91" s="3"/>
      <c r="DV91" s="3"/>
      <c r="DW91" s="3"/>
      <c r="DX91" s="3"/>
      <c r="DY91" s="3"/>
      <c r="DZ91" s="3"/>
      <c r="EA91" s="3"/>
      <c r="EB91" s="3"/>
      <c r="EC91" s="3"/>
      <c r="ED91" s="3"/>
      <c r="EE91" s="3"/>
      <c r="EF91" s="3"/>
      <c r="EG91" s="3"/>
      <c r="EH91" s="3"/>
      <c r="EI91" s="3"/>
      <c r="EJ91" s="3"/>
      <c r="EK91" s="3"/>
      <c r="EL91" s="3"/>
      <c r="EM91" s="3"/>
      <c r="EN91" s="3"/>
      <c r="EO91" s="3"/>
      <c r="EP91" s="3"/>
      <c r="EQ91" s="3"/>
      <c r="ER91" s="3"/>
      <c r="ES91" s="3"/>
      <c r="ET91" s="3"/>
      <c r="EU91" s="3"/>
      <c r="EV91" s="3"/>
      <c r="EW91" s="3"/>
      <c r="EX91" s="3"/>
      <c r="EY91" s="3"/>
      <c r="EZ91" s="3"/>
      <c r="FA91" s="3"/>
      <c r="FB91" s="3"/>
      <c r="FC91" s="3"/>
      <c r="FD91" s="3"/>
      <c r="FE91" s="3"/>
      <c r="FF91" s="3"/>
      <c r="FG91" s="3"/>
      <c r="FH91" s="3"/>
      <c r="FI91" s="3"/>
      <c r="FJ91" s="3"/>
      <c r="FK91" s="3"/>
      <c r="FL91" s="3"/>
      <c r="FM91" s="3"/>
      <c r="FN91" s="3"/>
      <c r="FO91" s="3"/>
      <c r="FP91" s="3"/>
      <c r="FQ91" s="3"/>
      <c r="FR91" s="3"/>
      <c r="FS91" s="3"/>
      <c r="FT91" s="3"/>
      <c r="FU91" s="3"/>
      <c r="FV91" s="3"/>
      <c r="FW91" s="3"/>
      <c r="FX91" s="3"/>
      <c r="FY91" s="3"/>
      <c r="FZ91" s="3"/>
      <c r="GA91" s="3"/>
      <c r="GB91" s="3"/>
      <c r="GC91" s="3"/>
      <c r="GD91" s="3"/>
      <c r="GE91" s="3"/>
      <c r="GF91" s="3"/>
      <c r="GG91" s="3"/>
      <c r="GH91" s="3"/>
      <c r="GI91" s="3"/>
      <c r="GJ91" s="3"/>
      <c r="GK91" s="3"/>
      <c r="GL91" s="3"/>
      <c r="GM91" s="3"/>
      <c r="GN91" s="3"/>
      <c r="GO91" s="3"/>
      <c r="GP91" s="3"/>
      <c r="GQ91" s="3"/>
      <c r="GR91" s="3"/>
      <c r="GS91" s="3"/>
      <c r="GT91" s="3"/>
      <c r="GU91" s="3"/>
      <c r="GV91" s="3"/>
      <c r="GW91" s="3"/>
      <c r="GX91" s="3"/>
      <c r="GY91" s="3"/>
      <c r="GZ91" s="3"/>
      <c r="HA91" s="3"/>
      <c r="HB91" s="3"/>
      <c r="HC91" s="3"/>
      <c r="HD91" s="3"/>
      <c r="HE91" s="3"/>
      <c r="HF91" s="3"/>
    </row>
    <row r="92" spans="5:214" x14ac:dyDescent="0.25">
      <c r="E92" s="11"/>
      <c r="F92" s="4"/>
      <c r="G92" s="4"/>
      <c r="H92" s="4"/>
      <c r="I92" s="4"/>
      <c r="J92" s="4"/>
      <c r="K92" s="4"/>
      <c r="L92" s="4"/>
      <c r="M92" s="4"/>
      <c r="N92" s="4"/>
      <c r="O92" s="4"/>
      <c r="P92" s="109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  <c r="CW92" s="3"/>
      <c r="CX92" s="3"/>
      <c r="CY92" s="3"/>
      <c r="CZ92" s="3"/>
      <c r="DA92" s="3"/>
      <c r="DB92" s="3"/>
      <c r="DC92" s="3"/>
      <c r="DD92" s="3"/>
      <c r="DE92" s="3"/>
      <c r="DF92" s="3"/>
      <c r="DG92" s="3"/>
      <c r="DH92" s="3"/>
      <c r="DI92" s="3"/>
      <c r="DJ92" s="3"/>
      <c r="DK92" s="3"/>
      <c r="DL92" s="3"/>
      <c r="DM92" s="3"/>
      <c r="DN92" s="3"/>
      <c r="DO92" s="3"/>
      <c r="DP92" s="3"/>
      <c r="DQ92" s="3"/>
      <c r="DR92" s="3"/>
      <c r="DS92" s="3"/>
      <c r="DT92" s="3"/>
      <c r="DU92" s="3"/>
      <c r="DV92" s="3"/>
      <c r="DW92" s="3"/>
      <c r="DX92" s="3"/>
      <c r="DY92" s="3"/>
      <c r="DZ92" s="3"/>
      <c r="EA92" s="3"/>
      <c r="EB92" s="3"/>
      <c r="EC92" s="3"/>
      <c r="ED92" s="3"/>
      <c r="EE92" s="3"/>
      <c r="EF92" s="3"/>
      <c r="EG92" s="3"/>
      <c r="EH92" s="3"/>
      <c r="EI92" s="3"/>
      <c r="EJ92" s="3"/>
      <c r="EK92" s="3"/>
      <c r="EL92" s="3"/>
      <c r="EM92" s="3"/>
      <c r="EN92" s="3"/>
      <c r="EO92" s="3"/>
      <c r="EP92" s="3"/>
      <c r="EQ92" s="3"/>
      <c r="ER92" s="3"/>
      <c r="ES92" s="3"/>
      <c r="ET92" s="3"/>
      <c r="EU92" s="3"/>
      <c r="EV92" s="3"/>
      <c r="EW92" s="3"/>
      <c r="EX92" s="3"/>
      <c r="EY92" s="3"/>
      <c r="EZ92" s="3"/>
      <c r="FA92" s="3"/>
      <c r="FB92" s="3"/>
      <c r="FC92" s="3"/>
      <c r="FD92" s="3"/>
      <c r="FE92" s="3"/>
      <c r="FF92" s="3"/>
      <c r="FG92" s="3"/>
      <c r="FH92" s="3"/>
      <c r="FI92" s="3"/>
      <c r="FJ92" s="3"/>
      <c r="FK92" s="3"/>
      <c r="FL92" s="3"/>
      <c r="FM92" s="3"/>
      <c r="FN92" s="3"/>
      <c r="FO92" s="3"/>
      <c r="FP92" s="3"/>
      <c r="FQ92" s="3"/>
      <c r="FR92" s="3"/>
      <c r="FS92" s="3"/>
      <c r="FT92" s="3"/>
      <c r="FU92" s="3"/>
      <c r="FV92" s="3"/>
      <c r="FW92" s="3"/>
      <c r="FX92" s="3"/>
      <c r="FY92" s="3"/>
      <c r="FZ92" s="3"/>
      <c r="GA92" s="3"/>
      <c r="GB92" s="3"/>
      <c r="GC92" s="3"/>
      <c r="GD92" s="3"/>
      <c r="GE92" s="3"/>
      <c r="GF92" s="3"/>
      <c r="GG92" s="3"/>
      <c r="GH92" s="3"/>
      <c r="GI92" s="3"/>
      <c r="GJ92" s="3"/>
      <c r="GK92" s="3"/>
      <c r="GL92" s="3"/>
      <c r="GM92" s="3"/>
      <c r="GN92" s="3"/>
      <c r="GO92" s="3"/>
      <c r="GP92" s="3"/>
      <c r="GQ92" s="3"/>
      <c r="GR92" s="3"/>
      <c r="GS92" s="3"/>
      <c r="GT92" s="3"/>
      <c r="GU92" s="3"/>
      <c r="GV92" s="3"/>
      <c r="GW92" s="3"/>
      <c r="GX92" s="3"/>
      <c r="GY92" s="3"/>
      <c r="GZ92" s="3"/>
      <c r="HA92" s="3"/>
      <c r="HB92" s="3"/>
      <c r="HC92" s="3"/>
      <c r="HD92" s="3"/>
      <c r="HE92" s="3"/>
      <c r="HF92" s="3"/>
    </row>
    <row r="93" spans="5:214" x14ac:dyDescent="0.25">
      <c r="E93" s="11"/>
      <c r="F93" s="4"/>
      <c r="G93" s="4"/>
      <c r="H93" s="4"/>
      <c r="I93" s="4"/>
      <c r="J93" s="4"/>
      <c r="K93" s="4"/>
      <c r="L93" s="4"/>
      <c r="M93" s="4"/>
      <c r="N93" s="4"/>
      <c r="O93" s="4"/>
      <c r="P93" s="109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  <c r="CV93" s="3"/>
      <c r="CW93" s="3"/>
      <c r="CX93" s="3"/>
      <c r="CY93" s="3"/>
      <c r="CZ93" s="3"/>
      <c r="DA93" s="3"/>
      <c r="DB93" s="3"/>
      <c r="DC93" s="3"/>
      <c r="DD93" s="3"/>
      <c r="DE93" s="3"/>
      <c r="DF93" s="3"/>
      <c r="DG93" s="3"/>
      <c r="DH93" s="3"/>
      <c r="DI93" s="3"/>
      <c r="DJ93" s="3"/>
      <c r="DK93" s="3"/>
      <c r="DL93" s="3"/>
      <c r="DM93" s="3"/>
      <c r="DN93" s="3"/>
      <c r="DO93" s="3"/>
      <c r="DP93" s="3"/>
      <c r="DQ93" s="3"/>
      <c r="DR93" s="3"/>
      <c r="DS93" s="3"/>
      <c r="DT93" s="3"/>
      <c r="DU93" s="3"/>
      <c r="DV93" s="3"/>
      <c r="DW93" s="3"/>
      <c r="DX93" s="3"/>
      <c r="DY93" s="3"/>
      <c r="DZ93" s="3"/>
      <c r="EA93" s="3"/>
      <c r="EB93" s="3"/>
      <c r="EC93" s="3"/>
      <c r="ED93" s="3"/>
      <c r="EE93" s="3"/>
      <c r="EF93" s="3"/>
      <c r="EG93" s="3"/>
      <c r="EH93" s="3"/>
      <c r="EI93" s="3"/>
      <c r="EJ93" s="3"/>
      <c r="EK93" s="3"/>
      <c r="EL93" s="3"/>
      <c r="EM93" s="3"/>
      <c r="EN93" s="3"/>
      <c r="EO93" s="3"/>
      <c r="EP93" s="3"/>
      <c r="EQ93" s="3"/>
      <c r="ER93" s="3"/>
      <c r="ES93" s="3"/>
      <c r="ET93" s="3"/>
      <c r="EU93" s="3"/>
      <c r="EV93" s="3"/>
      <c r="EW93" s="3"/>
      <c r="EX93" s="3"/>
      <c r="EY93" s="3"/>
      <c r="EZ93" s="3"/>
      <c r="FA93" s="3"/>
      <c r="FB93" s="3"/>
      <c r="FC93" s="3"/>
      <c r="FD93" s="3"/>
      <c r="FE93" s="3"/>
      <c r="FF93" s="3"/>
      <c r="FG93" s="3"/>
      <c r="FH93" s="3"/>
      <c r="FI93" s="3"/>
      <c r="FJ93" s="3"/>
      <c r="FK93" s="3"/>
      <c r="FL93" s="3"/>
      <c r="FM93" s="3"/>
      <c r="FN93" s="3"/>
      <c r="FO93" s="3"/>
      <c r="FP93" s="3"/>
      <c r="FQ93" s="3"/>
      <c r="FR93" s="3"/>
      <c r="FS93" s="3"/>
      <c r="FT93" s="3"/>
      <c r="FU93" s="3"/>
      <c r="FV93" s="3"/>
      <c r="FW93" s="3"/>
      <c r="FX93" s="3"/>
      <c r="FY93" s="3"/>
      <c r="FZ93" s="3"/>
      <c r="GA93" s="3"/>
      <c r="GB93" s="3"/>
      <c r="GC93" s="3"/>
      <c r="GD93" s="3"/>
      <c r="GE93" s="3"/>
      <c r="GF93" s="3"/>
      <c r="GG93" s="3"/>
      <c r="GH93" s="3"/>
      <c r="GI93" s="3"/>
      <c r="GJ93" s="3"/>
      <c r="GK93" s="3"/>
      <c r="GL93" s="3"/>
      <c r="GM93" s="3"/>
      <c r="GN93" s="3"/>
      <c r="GO93" s="3"/>
      <c r="GP93" s="3"/>
      <c r="GQ93" s="3"/>
      <c r="GR93" s="3"/>
      <c r="GS93" s="3"/>
      <c r="GT93" s="3"/>
      <c r="GU93" s="3"/>
      <c r="GV93" s="3"/>
      <c r="GW93" s="3"/>
      <c r="GX93" s="3"/>
      <c r="GY93" s="3"/>
      <c r="GZ93" s="3"/>
      <c r="HA93" s="3"/>
      <c r="HB93" s="3"/>
      <c r="HC93" s="3"/>
      <c r="HD93" s="3"/>
      <c r="HE93" s="3"/>
      <c r="HF93" s="3"/>
    </row>
    <row r="94" spans="5:214" x14ac:dyDescent="0.25">
      <c r="E94" s="11"/>
      <c r="F94" s="4"/>
      <c r="G94" s="4"/>
      <c r="H94" s="4"/>
      <c r="I94" s="4"/>
      <c r="J94" s="4"/>
      <c r="K94" s="4"/>
      <c r="L94" s="4"/>
      <c r="M94" s="4"/>
      <c r="N94" s="4"/>
      <c r="O94" s="4"/>
      <c r="P94" s="109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3"/>
      <c r="CQ94" s="3"/>
      <c r="CR94" s="3"/>
      <c r="CS94" s="3"/>
      <c r="CT94" s="3"/>
      <c r="CU94" s="3"/>
      <c r="CV94" s="3"/>
      <c r="CW94" s="3"/>
      <c r="CX94" s="3"/>
      <c r="CY94" s="3"/>
      <c r="CZ94" s="3"/>
      <c r="DA94" s="3"/>
      <c r="DB94" s="3"/>
      <c r="DC94" s="3"/>
      <c r="DD94" s="3"/>
      <c r="DE94" s="3"/>
      <c r="DF94" s="3"/>
      <c r="DG94" s="3"/>
      <c r="DH94" s="3"/>
      <c r="DI94" s="3"/>
      <c r="DJ94" s="3"/>
      <c r="DK94" s="3"/>
      <c r="DL94" s="3"/>
      <c r="DM94" s="3"/>
      <c r="DN94" s="3"/>
      <c r="DO94" s="3"/>
      <c r="DP94" s="3"/>
      <c r="DQ94" s="3"/>
      <c r="DR94" s="3"/>
      <c r="DS94" s="3"/>
      <c r="DT94" s="3"/>
      <c r="DU94" s="3"/>
      <c r="DV94" s="3"/>
      <c r="DW94" s="3"/>
      <c r="DX94" s="3"/>
      <c r="DY94" s="3"/>
      <c r="DZ94" s="3"/>
      <c r="EA94" s="3"/>
      <c r="EB94" s="3"/>
      <c r="EC94" s="3"/>
      <c r="ED94" s="3"/>
      <c r="EE94" s="3"/>
      <c r="EF94" s="3"/>
      <c r="EG94" s="3"/>
      <c r="EH94" s="3"/>
      <c r="EI94" s="3"/>
      <c r="EJ94" s="3"/>
      <c r="EK94" s="3"/>
      <c r="EL94" s="3"/>
      <c r="EM94" s="3"/>
      <c r="EN94" s="3"/>
      <c r="EO94" s="3"/>
      <c r="EP94" s="3"/>
      <c r="EQ94" s="3"/>
      <c r="ER94" s="3"/>
      <c r="ES94" s="3"/>
      <c r="ET94" s="3"/>
      <c r="EU94" s="3"/>
      <c r="EV94" s="3"/>
      <c r="EW94" s="3"/>
      <c r="EX94" s="3"/>
      <c r="EY94" s="3"/>
      <c r="EZ94" s="3"/>
      <c r="FA94" s="3"/>
      <c r="FB94" s="3"/>
      <c r="FC94" s="3"/>
      <c r="FD94" s="3"/>
      <c r="FE94" s="3"/>
      <c r="FF94" s="3"/>
      <c r="FG94" s="3"/>
      <c r="FH94" s="3"/>
      <c r="FI94" s="3"/>
      <c r="FJ94" s="3"/>
      <c r="FK94" s="3"/>
      <c r="FL94" s="3"/>
      <c r="FM94" s="3"/>
      <c r="FN94" s="3"/>
      <c r="FO94" s="3"/>
      <c r="FP94" s="3"/>
      <c r="FQ94" s="3"/>
      <c r="FR94" s="3"/>
      <c r="FS94" s="3"/>
      <c r="FT94" s="3"/>
      <c r="FU94" s="3"/>
      <c r="FV94" s="3"/>
      <c r="FW94" s="3"/>
      <c r="FX94" s="3"/>
      <c r="FY94" s="3"/>
      <c r="FZ94" s="3"/>
      <c r="GA94" s="3"/>
      <c r="GB94" s="3"/>
      <c r="GC94" s="3"/>
      <c r="GD94" s="3"/>
      <c r="GE94" s="3"/>
      <c r="GF94" s="3"/>
      <c r="GG94" s="3"/>
      <c r="GH94" s="3"/>
      <c r="GI94" s="3"/>
      <c r="GJ94" s="3"/>
      <c r="GK94" s="3"/>
      <c r="GL94" s="3"/>
      <c r="GM94" s="3"/>
      <c r="GN94" s="3"/>
      <c r="GO94" s="3"/>
      <c r="GP94" s="3"/>
      <c r="GQ94" s="3"/>
      <c r="GR94" s="3"/>
      <c r="GS94" s="3"/>
      <c r="GT94" s="3"/>
      <c r="GU94" s="3"/>
      <c r="GV94" s="3"/>
      <c r="GW94" s="3"/>
      <c r="GX94" s="3"/>
      <c r="GY94" s="3"/>
      <c r="GZ94" s="3"/>
      <c r="HA94" s="3"/>
      <c r="HB94" s="3"/>
      <c r="HC94" s="3"/>
      <c r="HD94" s="3"/>
      <c r="HE94" s="3"/>
      <c r="HF94" s="3"/>
    </row>
    <row r="95" spans="5:214" x14ac:dyDescent="0.25">
      <c r="E95" s="11"/>
      <c r="F95" s="4"/>
      <c r="G95" s="4"/>
      <c r="H95" s="4"/>
      <c r="I95" s="4"/>
      <c r="J95" s="4"/>
      <c r="K95" s="4"/>
      <c r="L95" s="4"/>
      <c r="M95" s="4"/>
      <c r="N95" s="4"/>
      <c r="O95" s="4"/>
      <c r="P95" s="109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  <c r="CT95" s="3"/>
      <c r="CU95" s="3"/>
      <c r="CV95" s="3"/>
      <c r="CW95" s="3"/>
      <c r="CX95" s="3"/>
      <c r="CY95" s="3"/>
      <c r="CZ95" s="3"/>
      <c r="DA95" s="3"/>
      <c r="DB95" s="3"/>
      <c r="DC95" s="3"/>
      <c r="DD95" s="3"/>
      <c r="DE95" s="3"/>
      <c r="DF95" s="3"/>
      <c r="DG95" s="3"/>
      <c r="DH95" s="3"/>
      <c r="DI95" s="3"/>
      <c r="DJ95" s="3"/>
      <c r="DK95" s="3"/>
      <c r="DL95" s="3"/>
      <c r="DM95" s="3"/>
      <c r="DN95" s="3"/>
      <c r="DO95" s="3"/>
      <c r="DP95" s="3"/>
      <c r="DQ95" s="3"/>
      <c r="DR95" s="3"/>
      <c r="DS95" s="3"/>
      <c r="DT95" s="3"/>
      <c r="DU95" s="3"/>
      <c r="DV95" s="3"/>
      <c r="DW95" s="3"/>
      <c r="DX95" s="3"/>
      <c r="DY95" s="3"/>
      <c r="DZ95" s="3"/>
      <c r="EA95" s="3"/>
      <c r="EB95" s="3"/>
      <c r="EC95" s="3"/>
      <c r="ED95" s="3"/>
      <c r="EE95" s="3"/>
      <c r="EF95" s="3"/>
      <c r="EG95" s="3"/>
      <c r="EH95" s="3"/>
      <c r="EI95" s="3"/>
      <c r="EJ95" s="3"/>
      <c r="EK95" s="3"/>
      <c r="EL95" s="3"/>
      <c r="EM95" s="3"/>
      <c r="EN95" s="3"/>
      <c r="EO95" s="3"/>
      <c r="EP95" s="3"/>
      <c r="EQ95" s="3"/>
      <c r="ER95" s="3"/>
      <c r="ES95" s="3"/>
      <c r="ET95" s="3"/>
      <c r="EU95" s="3"/>
      <c r="EV95" s="3"/>
      <c r="EW95" s="3"/>
      <c r="EX95" s="3"/>
      <c r="EY95" s="3"/>
      <c r="EZ95" s="3"/>
      <c r="FA95" s="3"/>
      <c r="FB95" s="3"/>
      <c r="FC95" s="3"/>
      <c r="FD95" s="3"/>
      <c r="FE95" s="3"/>
      <c r="FF95" s="3"/>
      <c r="FG95" s="3"/>
      <c r="FH95" s="3"/>
      <c r="FI95" s="3"/>
      <c r="FJ95" s="3"/>
      <c r="FK95" s="3"/>
      <c r="FL95" s="3"/>
      <c r="FM95" s="3"/>
      <c r="FN95" s="3"/>
      <c r="FO95" s="3"/>
      <c r="FP95" s="3"/>
      <c r="FQ95" s="3"/>
      <c r="FR95" s="3"/>
      <c r="FS95" s="3"/>
      <c r="FT95" s="3"/>
      <c r="FU95" s="3"/>
      <c r="FV95" s="3"/>
      <c r="FW95" s="3"/>
      <c r="FX95" s="3"/>
      <c r="FY95" s="3"/>
      <c r="FZ95" s="3"/>
      <c r="GA95" s="3"/>
      <c r="GB95" s="3"/>
      <c r="GC95" s="3"/>
      <c r="GD95" s="3"/>
      <c r="GE95" s="3"/>
      <c r="GF95" s="3"/>
      <c r="GG95" s="3"/>
      <c r="GH95" s="3"/>
      <c r="GI95" s="3"/>
      <c r="GJ95" s="3"/>
      <c r="GK95" s="3"/>
      <c r="GL95" s="3"/>
      <c r="GM95" s="3"/>
      <c r="GN95" s="3"/>
      <c r="GO95" s="3"/>
      <c r="GP95" s="3"/>
      <c r="GQ95" s="3"/>
      <c r="GR95" s="3"/>
      <c r="GS95" s="3"/>
      <c r="GT95" s="3"/>
      <c r="GU95" s="3"/>
      <c r="GV95" s="3"/>
      <c r="GW95" s="3"/>
      <c r="GX95" s="3"/>
      <c r="GY95" s="3"/>
      <c r="GZ95" s="3"/>
      <c r="HA95" s="3"/>
      <c r="HB95" s="3"/>
      <c r="HC95" s="3"/>
      <c r="HD95" s="3"/>
      <c r="HE95" s="3"/>
      <c r="HF95" s="3"/>
    </row>
    <row r="96" spans="5:214" x14ac:dyDescent="0.25">
      <c r="E96" s="9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  <c r="CV96" s="3"/>
      <c r="CW96" s="3"/>
      <c r="CX96" s="3"/>
      <c r="CY96" s="3"/>
      <c r="CZ96" s="3"/>
      <c r="DA96" s="3"/>
      <c r="DB96" s="3"/>
      <c r="DC96" s="3"/>
      <c r="DD96" s="3"/>
      <c r="DE96" s="3"/>
      <c r="DF96" s="3"/>
      <c r="DG96" s="3"/>
      <c r="DH96" s="3"/>
      <c r="DI96" s="3"/>
      <c r="DJ96" s="3"/>
      <c r="DK96" s="3"/>
      <c r="DL96" s="3"/>
      <c r="DM96" s="3"/>
      <c r="DN96" s="3"/>
      <c r="DO96" s="3"/>
      <c r="DP96" s="3"/>
      <c r="DQ96" s="3"/>
      <c r="DR96" s="3"/>
      <c r="DS96" s="3"/>
      <c r="DT96" s="3"/>
      <c r="DU96" s="3"/>
      <c r="DV96" s="3"/>
      <c r="DW96" s="3"/>
      <c r="DX96" s="3"/>
      <c r="DY96" s="3"/>
      <c r="DZ96" s="3"/>
      <c r="EA96" s="3"/>
      <c r="EB96" s="3"/>
      <c r="EC96" s="3"/>
      <c r="ED96" s="3"/>
      <c r="EE96" s="3"/>
      <c r="EF96" s="3"/>
      <c r="EG96" s="3"/>
      <c r="EH96" s="3"/>
      <c r="EI96" s="3"/>
      <c r="EJ96" s="3"/>
      <c r="EK96" s="3"/>
      <c r="EL96" s="3"/>
      <c r="EM96" s="3"/>
      <c r="EN96" s="3"/>
      <c r="EO96" s="3"/>
      <c r="EP96" s="3"/>
      <c r="EQ96" s="3"/>
      <c r="ER96" s="3"/>
      <c r="ES96" s="3"/>
      <c r="ET96" s="3"/>
      <c r="EU96" s="3"/>
      <c r="EV96" s="3"/>
      <c r="EW96" s="3"/>
      <c r="EX96" s="3"/>
      <c r="EY96" s="3"/>
      <c r="EZ96" s="3"/>
      <c r="FA96" s="3"/>
      <c r="FB96" s="3"/>
      <c r="FC96" s="3"/>
      <c r="FD96" s="3"/>
      <c r="FE96" s="3"/>
      <c r="FF96" s="3"/>
      <c r="FG96" s="3"/>
      <c r="FH96" s="3"/>
      <c r="FI96" s="3"/>
      <c r="FJ96" s="3"/>
      <c r="FK96" s="3"/>
      <c r="FL96" s="3"/>
      <c r="FM96" s="3"/>
      <c r="FN96" s="3"/>
      <c r="FO96" s="3"/>
      <c r="FP96" s="3"/>
      <c r="FQ96" s="3"/>
      <c r="FR96" s="3"/>
      <c r="FS96" s="3"/>
      <c r="FT96" s="3"/>
      <c r="FU96" s="3"/>
      <c r="FV96" s="3"/>
      <c r="FW96" s="3"/>
      <c r="FX96" s="3"/>
      <c r="FY96" s="3"/>
      <c r="FZ96" s="3"/>
      <c r="GA96" s="3"/>
      <c r="GB96" s="3"/>
      <c r="GC96" s="3"/>
      <c r="GD96" s="3"/>
      <c r="GE96" s="3"/>
      <c r="GF96" s="3"/>
      <c r="GG96" s="3"/>
      <c r="GH96" s="3"/>
      <c r="GI96" s="3"/>
      <c r="GJ96" s="3"/>
      <c r="GK96" s="3"/>
      <c r="GL96" s="3"/>
      <c r="GM96" s="3"/>
      <c r="GN96" s="3"/>
      <c r="GO96" s="3"/>
      <c r="GP96" s="3"/>
      <c r="GQ96" s="3"/>
      <c r="GR96" s="3"/>
      <c r="GS96" s="3"/>
      <c r="GT96" s="3"/>
      <c r="GU96" s="3"/>
      <c r="GV96" s="3"/>
      <c r="GW96" s="3"/>
      <c r="GX96" s="3"/>
      <c r="GY96" s="3"/>
      <c r="GZ96" s="3"/>
      <c r="HA96" s="3"/>
      <c r="HB96" s="3"/>
      <c r="HC96" s="3"/>
      <c r="HD96" s="3"/>
      <c r="HE96" s="3"/>
      <c r="HF96" s="3"/>
    </row>
    <row r="97" spans="1:214" x14ac:dyDescent="0.25">
      <c r="E97" s="9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3"/>
      <c r="CQ97" s="3"/>
      <c r="CR97" s="3"/>
      <c r="CS97" s="3"/>
      <c r="CT97" s="3"/>
      <c r="CU97" s="3"/>
      <c r="CV97" s="3"/>
      <c r="CW97" s="3"/>
      <c r="CX97" s="3"/>
      <c r="CY97" s="3"/>
      <c r="CZ97" s="3"/>
      <c r="DA97" s="3"/>
      <c r="DB97" s="3"/>
      <c r="DC97" s="3"/>
      <c r="DD97" s="3"/>
      <c r="DE97" s="3"/>
      <c r="DF97" s="3"/>
      <c r="DG97" s="3"/>
      <c r="DH97" s="3"/>
      <c r="DI97" s="3"/>
      <c r="DJ97" s="3"/>
      <c r="DK97" s="3"/>
      <c r="DL97" s="3"/>
      <c r="DM97" s="3"/>
      <c r="DN97" s="3"/>
      <c r="DO97" s="3"/>
      <c r="DP97" s="3"/>
      <c r="DQ97" s="3"/>
      <c r="DR97" s="3"/>
      <c r="DS97" s="3"/>
      <c r="DT97" s="3"/>
      <c r="DU97" s="3"/>
      <c r="DV97" s="3"/>
      <c r="DW97" s="3"/>
      <c r="DX97" s="3"/>
      <c r="DY97" s="3"/>
      <c r="DZ97" s="3"/>
      <c r="EA97" s="3"/>
      <c r="EB97" s="3"/>
      <c r="EC97" s="3"/>
      <c r="ED97" s="3"/>
      <c r="EE97" s="3"/>
      <c r="EF97" s="3"/>
      <c r="EG97" s="3"/>
      <c r="EH97" s="3"/>
      <c r="EI97" s="3"/>
      <c r="EJ97" s="3"/>
      <c r="EK97" s="3"/>
      <c r="EL97" s="3"/>
      <c r="EM97" s="3"/>
      <c r="EN97" s="3"/>
      <c r="EO97" s="3"/>
      <c r="EP97" s="3"/>
      <c r="EQ97" s="3"/>
      <c r="ER97" s="3"/>
      <c r="ES97" s="3"/>
      <c r="ET97" s="3"/>
      <c r="EU97" s="3"/>
      <c r="EV97" s="3"/>
      <c r="EW97" s="3"/>
      <c r="EX97" s="3"/>
      <c r="EY97" s="3"/>
      <c r="EZ97" s="3"/>
      <c r="FA97" s="3"/>
      <c r="FB97" s="3"/>
      <c r="FC97" s="3"/>
      <c r="FD97" s="3"/>
      <c r="FE97" s="3"/>
      <c r="FF97" s="3"/>
      <c r="FG97" s="3"/>
      <c r="FH97" s="3"/>
      <c r="FI97" s="3"/>
      <c r="FJ97" s="3"/>
      <c r="FK97" s="3"/>
      <c r="FL97" s="3"/>
      <c r="FM97" s="3"/>
      <c r="FN97" s="3"/>
      <c r="FO97" s="3"/>
      <c r="FP97" s="3"/>
      <c r="FQ97" s="3"/>
      <c r="FR97" s="3"/>
      <c r="FS97" s="3"/>
      <c r="FT97" s="3"/>
      <c r="FU97" s="3"/>
      <c r="FV97" s="3"/>
      <c r="FW97" s="3"/>
      <c r="FX97" s="3"/>
      <c r="FY97" s="3"/>
      <c r="FZ97" s="3"/>
      <c r="GA97" s="3"/>
      <c r="GB97" s="3"/>
      <c r="GC97" s="3"/>
      <c r="GD97" s="3"/>
      <c r="GE97" s="3"/>
      <c r="GF97" s="3"/>
      <c r="GG97" s="3"/>
      <c r="GH97" s="3"/>
      <c r="GI97" s="3"/>
      <c r="GJ97" s="3"/>
      <c r="GK97" s="3"/>
      <c r="GL97" s="3"/>
      <c r="GM97" s="3"/>
      <c r="GN97" s="3"/>
      <c r="GO97" s="3"/>
      <c r="GP97" s="3"/>
      <c r="GQ97" s="3"/>
      <c r="GR97" s="3"/>
      <c r="GS97" s="3"/>
      <c r="GT97" s="3"/>
      <c r="GU97" s="3"/>
      <c r="GV97" s="3"/>
      <c r="GW97" s="3"/>
      <c r="GX97" s="3"/>
      <c r="GY97" s="3"/>
      <c r="GZ97" s="3"/>
      <c r="HA97" s="3"/>
      <c r="HB97" s="3"/>
      <c r="HC97" s="3"/>
      <c r="HD97" s="3"/>
      <c r="HE97" s="3"/>
      <c r="HF97" s="3"/>
    </row>
    <row r="98" spans="1:214" x14ac:dyDescent="0.25"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  <c r="CK98" s="3"/>
      <c r="CL98" s="3"/>
      <c r="CM98" s="3"/>
      <c r="CN98" s="3"/>
      <c r="CO98" s="3"/>
      <c r="CP98" s="3"/>
      <c r="CQ98" s="3"/>
      <c r="CR98" s="3"/>
      <c r="CS98" s="3"/>
      <c r="CT98" s="3"/>
      <c r="CU98" s="3"/>
      <c r="CV98" s="3"/>
      <c r="CW98" s="3"/>
      <c r="CX98" s="3"/>
      <c r="CY98" s="3"/>
      <c r="CZ98" s="3"/>
      <c r="DA98" s="3"/>
      <c r="DB98" s="3"/>
      <c r="DC98" s="3"/>
      <c r="DD98" s="3"/>
      <c r="DE98" s="3"/>
      <c r="DF98" s="3"/>
      <c r="DG98" s="3"/>
      <c r="DH98" s="3"/>
      <c r="DI98" s="3"/>
      <c r="DJ98" s="3"/>
      <c r="DK98" s="3"/>
      <c r="DL98" s="3"/>
      <c r="DM98" s="3"/>
      <c r="DN98" s="3"/>
      <c r="DO98" s="3"/>
      <c r="DP98" s="3"/>
      <c r="DQ98" s="3"/>
      <c r="DR98" s="3"/>
      <c r="DS98" s="3"/>
      <c r="DT98" s="3"/>
      <c r="DU98" s="3"/>
      <c r="DV98" s="3"/>
      <c r="DW98" s="3"/>
      <c r="DX98" s="3"/>
      <c r="DY98" s="3"/>
      <c r="DZ98" s="3"/>
      <c r="EA98" s="3"/>
      <c r="EB98" s="3"/>
      <c r="EC98" s="3"/>
      <c r="ED98" s="3"/>
      <c r="EE98" s="3"/>
      <c r="EF98" s="3"/>
      <c r="EG98" s="3"/>
      <c r="EH98" s="3"/>
      <c r="EI98" s="3"/>
      <c r="EJ98" s="3"/>
      <c r="EK98" s="3"/>
      <c r="EL98" s="3"/>
      <c r="EM98" s="3"/>
      <c r="EN98" s="3"/>
      <c r="EO98" s="3"/>
      <c r="EP98" s="3"/>
      <c r="EQ98" s="3"/>
      <c r="ER98" s="3"/>
      <c r="ES98" s="3"/>
      <c r="ET98" s="3"/>
      <c r="EU98" s="3"/>
      <c r="EV98" s="3"/>
      <c r="EW98" s="3"/>
      <c r="EX98" s="3"/>
      <c r="EY98" s="3"/>
      <c r="EZ98" s="3"/>
      <c r="FA98" s="3"/>
      <c r="FB98" s="3"/>
      <c r="FC98" s="3"/>
      <c r="FD98" s="3"/>
      <c r="FE98" s="3"/>
      <c r="FF98" s="3"/>
      <c r="FG98" s="3"/>
      <c r="FH98" s="3"/>
      <c r="FI98" s="3"/>
      <c r="FJ98" s="3"/>
      <c r="FK98" s="3"/>
      <c r="FL98" s="3"/>
      <c r="FM98" s="3"/>
      <c r="FN98" s="3"/>
      <c r="FO98" s="3"/>
      <c r="FP98" s="3"/>
      <c r="FQ98" s="3"/>
      <c r="FR98" s="3"/>
      <c r="FS98" s="3"/>
      <c r="FT98" s="3"/>
      <c r="FU98" s="3"/>
      <c r="FV98" s="3"/>
      <c r="FW98" s="3"/>
      <c r="FX98" s="3"/>
      <c r="FY98" s="3"/>
      <c r="FZ98" s="3"/>
      <c r="GA98" s="3"/>
      <c r="GB98" s="3"/>
      <c r="GC98" s="3"/>
      <c r="GD98" s="3"/>
      <c r="GE98" s="3"/>
      <c r="GF98" s="3"/>
      <c r="GG98" s="3"/>
      <c r="GH98" s="3"/>
      <c r="GI98" s="3"/>
      <c r="GJ98" s="3"/>
      <c r="GK98" s="3"/>
      <c r="GL98" s="3"/>
      <c r="GM98" s="3"/>
      <c r="GN98" s="3"/>
      <c r="GO98" s="3"/>
      <c r="GP98" s="3"/>
      <c r="GQ98" s="3"/>
      <c r="GR98" s="3"/>
      <c r="GS98" s="3"/>
      <c r="GT98" s="3"/>
      <c r="GU98" s="3"/>
      <c r="GV98" s="3"/>
      <c r="GW98" s="3"/>
      <c r="GX98" s="3"/>
      <c r="GY98" s="3"/>
      <c r="GZ98" s="3"/>
      <c r="HA98" s="3"/>
      <c r="HB98" s="3"/>
      <c r="HC98" s="3"/>
      <c r="HD98" s="3"/>
      <c r="HE98" s="3"/>
      <c r="HF98" s="3"/>
    </row>
    <row r="99" spans="1:214" x14ac:dyDescent="0.25">
      <c r="A99" s="8" t="s">
        <v>10</v>
      </c>
      <c r="B99" s="8" t="s">
        <v>8</v>
      </c>
      <c r="C99" s="8" t="s">
        <v>9</v>
      </c>
      <c r="D99" s="8" t="s">
        <v>7</v>
      </c>
      <c r="E99" s="8" t="s">
        <v>11</v>
      </c>
      <c r="F99" s="8" t="s">
        <v>12</v>
      </c>
      <c r="G99" s="8" t="s">
        <v>18</v>
      </c>
      <c r="H99" s="8" t="s">
        <v>16</v>
      </c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  <c r="CK99" s="3"/>
      <c r="CL99" s="3"/>
      <c r="CM99" s="3"/>
      <c r="CN99" s="3"/>
      <c r="CO99" s="3"/>
      <c r="CP99" s="3"/>
      <c r="CQ99" s="3"/>
      <c r="CR99" s="3"/>
      <c r="CS99" s="3"/>
      <c r="CT99" s="3"/>
      <c r="CU99" s="3"/>
      <c r="CV99" s="3"/>
      <c r="CW99" s="3"/>
      <c r="CX99" s="3"/>
      <c r="CY99" s="3"/>
      <c r="CZ99" s="3"/>
      <c r="DA99" s="3"/>
      <c r="DB99" s="3"/>
      <c r="DC99" s="3"/>
      <c r="DD99" s="3"/>
      <c r="DE99" s="3"/>
      <c r="DF99" s="3"/>
      <c r="DG99" s="3"/>
      <c r="DH99" s="3"/>
      <c r="DI99" s="3"/>
      <c r="DJ99" s="3"/>
      <c r="DK99" s="3"/>
      <c r="DL99" s="3"/>
      <c r="DM99" s="3"/>
      <c r="DN99" s="3"/>
      <c r="DO99" s="3"/>
      <c r="DP99" s="3"/>
      <c r="DQ99" s="3"/>
      <c r="DR99" s="3"/>
      <c r="DS99" s="3"/>
      <c r="DT99" s="3"/>
      <c r="DU99" s="3"/>
      <c r="DV99" s="3"/>
      <c r="DW99" s="3"/>
      <c r="DX99" s="3"/>
      <c r="DY99" s="3"/>
      <c r="DZ99" s="3"/>
      <c r="EA99" s="3"/>
      <c r="EB99" s="3"/>
      <c r="EC99" s="3"/>
      <c r="ED99" s="3"/>
      <c r="EE99" s="3"/>
      <c r="EF99" s="3"/>
      <c r="EG99" s="3"/>
      <c r="EH99" s="3"/>
      <c r="EI99" s="3"/>
      <c r="EJ99" s="3"/>
      <c r="EK99" s="3"/>
      <c r="EL99" s="3"/>
      <c r="EM99" s="3"/>
      <c r="EN99" s="3"/>
      <c r="EO99" s="3"/>
      <c r="EP99" s="3"/>
      <c r="EQ99" s="3"/>
      <c r="ER99" s="3"/>
      <c r="ES99" s="3"/>
      <c r="ET99" s="3"/>
      <c r="EU99" s="3"/>
      <c r="EV99" s="3"/>
      <c r="EW99" s="3"/>
      <c r="EX99" s="3"/>
      <c r="EY99" s="3"/>
      <c r="EZ99" s="3"/>
      <c r="FA99" s="3"/>
      <c r="FB99" s="3"/>
      <c r="FC99" s="3"/>
      <c r="FD99" s="3"/>
      <c r="FE99" s="3"/>
      <c r="FF99" s="3"/>
      <c r="FG99" s="3"/>
      <c r="FH99" s="3"/>
      <c r="FI99" s="3"/>
      <c r="FJ99" s="3"/>
      <c r="FK99" s="3"/>
      <c r="FL99" s="3"/>
      <c r="FM99" s="3"/>
      <c r="FN99" s="3"/>
      <c r="FO99" s="3"/>
      <c r="FP99" s="3"/>
      <c r="FQ99" s="3"/>
      <c r="FR99" s="3"/>
      <c r="FS99" s="3"/>
      <c r="FT99" s="3"/>
      <c r="FU99" s="3"/>
      <c r="FV99" s="3"/>
      <c r="FW99" s="3"/>
      <c r="FX99" s="3"/>
      <c r="FY99" s="3"/>
      <c r="FZ99" s="3"/>
      <c r="GA99" s="3"/>
      <c r="GB99" s="3"/>
      <c r="GC99" s="3"/>
      <c r="GD99" s="3"/>
      <c r="GE99" s="3"/>
      <c r="GF99" s="3"/>
      <c r="GG99" s="3"/>
      <c r="GH99" s="3"/>
      <c r="GI99" s="3"/>
      <c r="GJ99" s="3"/>
      <c r="GK99" s="3"/>
      <c r="GL99" s="3"/>
      <c r="GM99" s="3"/>
      <c r="GN99" s="3"/>
      <c r="GO99" s="3"/>
      <c r="GP99" s="3"/>
      <c r="GQ99" s="3"/>
      <c r="GR99" s="3"/>
      <c r="GS99" s="3"/>
      <c r="GT99" s="3"/>
      <c r="GU99" s="3"/>
      <c r="GV99" s="3"/>
      <c r="GW99" s="3"/>
      <c r="GX99" s="3"/>
      <c r="GY99" s="3"/>
      <c r="GZ99" s="3"/>
      <c r="HA99" s="3"/>
      <c r="HB99" s="3"/>
      <c r="HC99" s="3"/>
      <c r="HD99" s="3"/>
      <c r="HE99" s="3"/>
      <c r="HF99" s="3"/>
    </row>
    <row r="100" spans="1:214" x14ac:dyDescent="0.25">
      <c r="A100" t="s">
        <v>41</v>
      </c>
      <c r="B100">
        <f>COUNTA(A1:HA1)</f>
        <v>2</v>
      </c>
      <c r="C100">
        <f>COUNTA(A1:A95)</f>
        <v>23</v>
      </c>
      <c r="D100">
        <f>SUM(E100,H100)</f>
        <v>24133</v>
      </c>
      <c r="E100">
        <f>SUM(B12:B95)</f>
        <v>20000</v>
      </c>
      <c r="F100">
        <f>SUM(C12:C95)</f>
        <v>9503</v>
      </c>
      <c r="G100">
        <v>5370</v>
      </c>
      <c r="H100">
        <f>F100-G100</f>
        <v>4133</v>
      </c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  <c r="CK100" s="3"/>
      <c r="CL100" s="3"/>
      <c r="CM100" s="3"/>
      <c r="CN100" s="3"/>
      <c r="CO100" s="3"/>
      <c r="CP100" s="3"/>
      <c r="CQ100" s="3"/>
      <c r="CR100" s="3"/>
      <c r="CS100" s="3"/>
      <c r="CT100" s="3"/>
      <c r="CU100" s="3"/>
      <c r="CV100" s="3"/>
      <c r="CW100" s="3"/>
      <c r="CX100" s="3"/>
      <c r="CY100" s="3"/>
      <c r="CZ100" s="3"/>
      <c r="DA100" s="3"/>
      <c r="DB100" s="3"/>
      <c r="DC100" s="3"/>
      <c r="DD100" s="3"/>
      <c r="DE100" s="3"/>
      <c r="DF100" s="3"/>
      <c r="DG100" s="3"/>
      <c r="DH100" s="3"/>
      <c r="DI100" s="3"/>
      <c r="DJ100" s="3"/>
      <c r="DK100" s="3"/>
      <c r="DL100" s="3"/>
      <c r="DM100" s="3"/>
      <c r="DN100" s="3"/>
      <c r="DO100" s="3"/>
      <c r="DP100" s="3"/>
      <c r="DQ100" s="3"/>
      <c r="DR100" s="3"/>
      <c r="DS100" s="3"/>
      <c r="DT100" s="3"/>
      <c r="DU100" s="3"/>
      <c r="DV100" s="3"/>
      <c r="DW100" s="3"/>
      <c r="DX100" s="3"/>
      <c r="DY100" s="3"/>
      <c r="DZ100" s="3"/>
      <c r="EA100" s="3"/>
      <c r="EB100" s="3"/>
      <c r="EC100" s="3"/>
      <c r="ED100" s="3"/>
      <c r="EE100" s="3"/>
      <c r="EF100" s="3"/>
      <c r="EG100" s="3"/>
      <c r="EH100" s="3"/>
      <c r="EI100" s="3"/>
      <c r="EJ100" s="3"/>
      <c r="EK100" s="3"/>
      <c r="EL100" s="3"/>
      <c r="EM100" s="3"/>
      <c r="EN100" s="3"/>
      <c r="EO100" s="3"/>
      <c r="EP100" s="3"/>
      <c r="EQ100" s="3"/>
      <c r="ER100" s="3"/>
      <c r="ES100" s="3"/>
      <c r="ET100" s="3"/>
      <c r="EU100" s="3"/>
      <c r="EV100" s="3"/>
      <c r="EW100" s="3"/>
      <c r="EX100" s="3"/>
      <c r="EY100" s="3"/>
      <c r="EZ100" s="3"/>
      <c r="FA100" s="3"/>
      <c r="FB100" s="3"/>
      <c r="FC100" s="3"/>
      <c r="FD100" s="3"/>
      <c r="FE100" s="3"/>
      <c r="FF100" s="3"/>
      <c r="FG100" s="3"/>
      <c r="FH100" s="3"/>
      <c r="FI100" s="3"/>
      <c r="FJ100" s="3"/>
      <c r="FK100" s="3"/>
      <c r="FL100" s="3"/>
      <c r="FM100" s="3"/>
      <c r="FN100" s="3"/>
      <c r="FO100" s="3"/>
      <c r="FP100" s="3"/>
      <c r="FQ100" s="3"/>
      <c r="FR100" s="3"/>
      <c r="FS100" s="3"/>
      <c r="FT100" s="3"/>
      <c r="FU100" s="3"/>
      <c r="FV100" s="3"/>
      <c r="FW100" s="3"/>
      <c r="FX100" s="3"/>
      <c r="FY100" s="3"/>
      <c r="FZ100" s="3"/>
      <c r="GA100" s="3"/>
      <c r="GB100" s="3"/>
      <c r="GC100" s="3"/>
      <c r="GD100" s="3"/>
      <c r="GE100" s="3"/>
      <c r="GF100" s="3"/>
      <c r="GG100" s="3"/>
      <c r="GH100" s="3"/>
      <c r="GI100" s="3"/>
      <c r="GJ100" s="3"/>
      <c r="GK100" s="3"/>
      <c r="GL100" s="3"/>
      <c r="GM100" s="3"/>
      <c r="GN100" s="3"/>
      <c r="GO100" s="3"/>
      <c r="GP100" s="3"/>
      <c r="GQ100" s="3"/>
      <c r="GR100" s="3"/>
      <c r="GS100" s="3"/>
      <c r="GT100" s="3"/>
      <c r="GU100" s="3"/>
      <c r="GV100" s="3"/>
      <c r="GW100" s="3"/>
      <c r="GX100" s="3"/>
      <c r="GY100" s="3"/>
      <c r="GZ100" s="3"/>
      <c r="HA100" s="3"/>
      <c r="HB100" s="3"/>
      <c r="HC100" s="3"/>
      <c r="HD100" s="3"/>
      <c r="HE100" s="3"/>
      <c r="HF100" s="3"/>
    </row>
    <row r="101" spans="1:214" x14ac:dyDescent="0.25">
      <c r="A101" t="s">
        <v>42</v>
      </c>
      <c r="C101">
        <f>COUNTA(E1:E95)</f>
        <v>4</v>
      </c>
      <c r="D101">
        <f>SUM(E101,H101)</f>
        <v>1457236.5649305559</v>
      </c>
      <c r="E101">
        <f>SUM(F12:F95)</f>
        <v>1439039.5649305559</v>
      </c>
      <c r="F101">
        <f>SUM(G12:G95)</f>
        <v>22007</v>
      </c>
      <c r="G101">
        <v>3810</v>
      </c>
      <c r="H101">
        <f>F101-G101</f>
        <v>18197</v>
      </c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  <c r="CK101" s="3"/>
      <c r="CL101" s="3"/>
      <c r="CM101" s="3"/>
      <c r="CN101" s="3"/>
      <c r="CO101" s="3"/>
      <c r="CP101" s="3"/>
      <c r="CQ101" s="3"/>
      <c r="CR101" s="3"/>
      <c r="CS101" s="3"/>
      <c r="CT101" s="3"/>
      <c r="CU101" s="3"/>
      <c r="CV101" s="3"/>
      <c r="CW101" s="3"/>
      <c r="CX101" s="3"/>
      <c r="CY101" s="3"/>
      <c r="CZ101" s="3"/>
      <c r="DA101" s="3"/>
      <c r="DB101" s="3"/>
      <c r="DC101" s="3"/>
      <c r="DD101" s="3"/>
      <c r="DE101" s="3"/>
      <c r="DF101" s="3"/>
      <c r="DG101" s="3"/>
      <c r="DH101" s="3"/>
      <c r="DI101" s="3"/>
      <c r="DJ101" s="3"/>
      <c r="DK101" s="3"/>
      <c r="DL101" s="3"/>
      <c r="DM101" s="3"/>
      <c r="DN101" s="3"/>
      <c r="DO101" s="3"/>
      <c r="DP101" s="3"/>
      <c r="DQ101" s="3"/>
      <c r="DR101" s="3"/>
      <c r="DS101" s="3"/>
      <c r="DT101" s="3"/>
      <c r="DU101" s="3"/>
      <c r="DV101" s="3"/>
      <c r="DW101" s="3"/>
      <c r="DX101" s="3"/>
      <c r="DY101" s="3"/>
      <c r="DZ101" s="3"/>
      <c r="EA101" s="3"/>
      <c r="EB101" s="3"/>
      <c r="EC101" s="3"/>
      <c r="ED101" s="3"/>
      <c r="EE101" s="3"/>
      <c r="EF101" s="3"/>
      <c r="EG101" s="3"/>
      <c r="EH101" s="3"/>
      <c r="EI101" s="3"/>
      <c r="EJ101" s="3"/>
      <c r="EK101" s="3"/>
      <c r="EL101" s="3"/>
      <c r="EM101" s="3"/>
      <c r="EN101" s="3"/>
      <c r="EO101" s="3"/>
      <c r="EP101" s="3"/>
      <c r="EQ101" s="3"/>
      <c r="ER101" s="3"/>
      <c r="ES101" s="3"/>
      <c r="ET101" s="3"/>
      <c r="EU101" s="3"/>
      <c r="EV101" s="3"/>
      <c r="EW101" s="3"/>
      <c r="EX101" s="3"/>
      <c r="EY101" s="3"/>
      <c r="EZ101" s="3"/>
      <c r="FA101" s="3"/>
      <c r="FB101" s="3"/>
      <c r="FC101" s="3"/>
      <c r="FD101" s="3"/>
      <c r="FE101" s="3"/>
      <c r="FF101" s="3"/>
      <c r="FG101" s="3"/>
      <c r="FH101" s="3"/>
      <c r="FI101" s="3"/>
      <c r="FJ101" s="3"/>
      <c r="FK101" s="3"/>
      <c r="FL101" s="3"/>
      <c r="FM101" s="3"/>
      <c r="FN101" s="3"/>
      <c r="FO101" s="3"/>
      <c r="FP101" s="3"/>
      <c r="FQ101" s="3"/>
      <c r="FR101" s="3"/>
      <c r="FS101" s="3"/>
      <c r="FT101" s="3"/>
      <c r="FU101" s="3"/>
      <c r="FV101" s="3"/>
      <c r="FW101" s="3"/>
      <c r="FX101" s="3"/>
      <c r="FY101" s="3"/>
      <c r="FZ101" s="3"/>
      <c r="GA101" s="3"/>
      <c r="GB101" s="3"/>
      <c r="GC101" s="3"/>
      <c r="GD101" s="3"/>
      <c r="GE101" s="3"/>
      <c r="GF101" s="3"/>
      <c r="GG101" s="3"/>
      <c r="GH101" s="3"/>
      <c r="GI101" s="3"/>
      <c r="GJ101" s="3"/>
      <c r="GK101" s="3"/>
      <c r="GL101" s="3"/>
      <c r="GM101" s="3"/>
      <c r="GN101" s="3"/>
      <c r="GO101" s="3"/>
      <c r="GP101" s="3"/>
      <c r="GQ101" s="3"/>
      <c r="GR101" s="3"/>
      <c r="GS101" s="3"/>
      <c r="GT101" s="3"/>
      <c r="GU101" s="3"/>
      <c r="GV101" s="3"/>
      <c r="GW101" s="3"/>
      <c r="GX101" s="3"/>
      <c r="GY101" s="3"/>
      <c r="GZ101" s="3"/>
      <c r="HA101" s="3"/>
      <c r="HB101" s="3"/>
      <c r="HC101" s="3"/>
      <c r="HD101" s="3"/>
      <c r="HE101" s="3"/>
      <c r="HF101" s="3"/>
    </row>
    <row r="102" spans="1:214" x14ac:dyDescent="0.25">
      <c r="A102" t="s">
        <v>82</v>
      </c>
      <c r="C102">
        <f>COUNTA(I1:I95)</f>
        <v>12</v>
      </c>
      <c r="D102">
        <f>SUM(E102,H102)</f>
        <v>7731</v>
      </c>
      <c r="E102">
        <f>SUM(J3:J95)</f>
        <v>7720</v>
      </c>
      <c r="F102">
        <f>SUM(K3:K95)</f>
        <v>11</v>
      </c>
      <c r="H102">
        <f>F102-G102</f>
        <v>11</v>
      </c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  <c r="CK102" s="3"/>
      <c r="CL102" s="3"/>
      <c r="CM102" s="3"/>
      <c r="CN102" s="3"/>
      <c r="CO102" s="3"/>
      <c r="CP102" s="3"/>
      <c r="CQ102" s="3"/>
      <c r="CR102" s="3"/>
      <c r="CS102" s="3"/>
      <c r="CT102" s="3"/>
      <c r="CU102" s="3"/>
      <c r="CV102" s="3"/>
      <c r="CW102" s="3"/>
      <c r="CX102" s="3"/>
      <c r="CY102" s="3"/>
      <c r="CZ102" s="3"/>
      <c r="DA102" s="3"/>
      <c r="DB102" s="3"/>
      <c r="DC102" s="3"/>
      <c r="DD102" s="3"/>
      <c r="DE102" s="3"/>
      <c r="DF102" s="3"/>
      <c r="DG102" s="3"/>
      <c r="DH102" s="3"/>
      <c r="DI102" s="3"/>
      <c r="DJ102" s="3"/>
      <c r="DK102" s="3"/>
      <c r="DL102" s="3"/>
      <c r="DM102" s="3"/>
      <c r="DN102" s="3"/>
      <c r="DO102" s="3"/>
      <c r="DP102" s="3"/>
      <c r="DQ102" s="3"/>
      <c r="DR102" s="3"/>
      <c r="DS102" s="3"/>
      <c r="DT102" s="3"/>
      <c r="DU102" s="3"/>
      <c r="DV102" s="3"/>
      <c r="DW102" s="3"/>
      <c r="DX102" s="3"/>
      <c r="DY102" s="3"/>
      <c r="DZ102" s="3"/>
      <c r="EA102" s="3"/>
      <c r="EB102" s="3"/>
      <c r="EC102" s="3"/>
      <c r="ED102" s="3"/>
      <c r="EE102" s="3"/>
      <c r="EF102" s="3"/>
      <c r="EG102" s="3"/>
      <c r="EH102" s="3"/>
      <c r="EI102" s="3"/>
      <c r="EJ102" s="3"/>
      <c r="EK102" s="3"/>
      <c r="EL102" s="3"/>
      <c r="EM102" s="3"/>
      <c r="EN102" s="3"/>
      <c r="EO102" s="3"/>
      <c r="EP102" s="3"/>
      <c r="EQ102" s="3"/>
      <c r="ER102" s="3"/>
      <c r="ES102" s="3"/>
      <c r="ET102" s="3"/>
      <c r="EU102" s="3"/>
      <c r="EV102" s="3"/>
      <c r="EW102" s="3"/>
      <c r="EX102" s="3"/>
      <c r="EY102" s="3"/>
      <c r="EZ102" s="3"/>
      <c r="FA102" s="3"/>
      <c r="FB102" s="3"/>
      <c r="FC102" s="3"/>
      <c r="FD102" s="3"/>
      <c r="FE102" s="3"/>
      <c r="FF102" s="3"/>
      <c r="FG102" s="3"/>
      <c r="FH102" s="3"/>
      <c r="FI102" s="3"/>
      <c r="FJ102" s="3"/>
      <c r="FK102" s="3"/>
      <c r="FL102" s="3"/>
      <c r="FM102" s="3"/>
      <c r="FN102" s="3"/>
      <c r="FO102" s="3"/>
      <c r="FP102" s="3"/>
      <c r="FQ102" s="3"/>
      <c r="FR102" s="3"/>
      <c r="FS102" s="3"/>
      <c r="FT102" s="3"/>
      <c r="FU102" s="3"/>
      <c r="FV102" s="3"/>
      <c r="FW102" s="3"/>
      <c r="FX102" s="3"/>
      <c r="FY102" s="3"/>
      <c r="FZ102" s="3"/>
      <c r="GA102" s="3"/>
      <c r="GB102" s="3"/>
      <c r="GC102" s="3"/>
      <c r="GD102" s="3"/>
      <c r="GE102" s="3"/>
      <c r="GF102" s="3"/>
      <c r="GG102" s="3"/>
      <c r="GH102" s="3"/>
      <c r="GI102" s="3"/>
      <c r="GJ102" s="3"/>
      <c r="GK102" s="3"/>
      <c r="GL102" s="3"/>
      <c r="GM102" s="3"/>
      <c r="GN102" s="3"/>
      <c r="GO102" s="3"/>
      <c r="GP102" s="3"/>
      <c r="GQ102" s="3"/>
      <c r="GR102" s="3"/>
      <c r="GS102" s="3"/>
      <c r="GT102" s="3"/>
      <c r="GU102" s="3"/>
      <c r="GV102" s="3"/>
      <c r="GW102" s="3"/>
      <c r="GX102" s="3"/>
      <c r="GY102" s="3"/>
      <c r="GZ102" s="3"/>
      <c r="HA102" s="3"/>
      <c r="HB102" s="3"/>
      <c r="HC102" s="3"/>
      <c r="HD102" s="3"/>
      <c r="HE102" s="3"/>
      <c r="HF102" s="3"/>
    </row>
    <row r="103" spans="1:214" x14ac:dyDescent="0.25">
      <c r="A103" t="s">
        <v>83</v>
      </c>
      <c r="C103">
        <f>COUNTA(M1:M95)</f>
        <v>1</v>
      </c>
      <c r="D103">
        <f>SUM(E103,H103)</f>
        <v>29</v>
      </c>
      <c r="E103">
        <f>SUM(N3:N95)</f>
        <v>14</v>
      </c>
      <c r="F103">
        <f>SUM(O3:O95)</f>
        <v>15</v>
      </c>
      <c r="H103">
        <f>F103-G103</f>
        <v>15</v>
      </c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  <c r="CK103" s="3"/>
      <c r="CL103" s="3"/>
      <c r="CM103" s="3"/>
      <c r="CN103" s="3"/>
      <c r="CO103" s="3"/>
      <c r="CP103" s="3"/>
      <c r="CQ103" s="3"/>
      <c r="CR103" s="3"/>
      <c r="CS103" s="3"/>
      <c r="CT103" s="3"/>
      <c r="CU103" s="3"/>
      <c r="CV103" s="3"/>
      <c r="CW103" s="3"/>
      <c r="CX103" s="3"/>
      <c r="CY103" s="3"/>
      <c r="CZ103" s="3"/>
      <c r="DA103" s="3"/>
      <c r="DB103" s="3"/>
      <c r="DC103" s="3"/>
      <c r="DD103" s="3"/>
      <c r="DE103" s="3"/>
      <c r="DF103" s="3"/>
      <c r="DG103" s="3"/>
      <c r="DH103" s="3"/>
      <c r="DI103" s="3"/>
      <c r="DJ103" s="3"/>
      <c r="DK103" s="3"/>
      <c r="DL103" s="3"/>
      <c r="DM103" s="3"/>
      <c r="DN103" s="3"/>
      <c r="DO103" s="3"/>
      <c r="DP103" s="3"/>
      <c r="DQ103" s="3"/>
      <c r="DR103" s="3"/>
      <c r="DS103" s="3"/>
      <c r="DT103" s="3"/>
      <c r="DU103" s="3"/>
      <c r="DV103" s="3"/>
      <c r="DW103" s="3"/>
      <c r="DX103" s="3"/>
      <c r="DY103" s="3"/>
      <c r="DZ103" s="3"/>
      <c r="EA103" s="3"/>
      <c r="EB103" s="3"/>
      <c r="EC103" s="3"/>
      <c r="ED103" s="3"/>
      <c r="EE103" s="3"/>
      <c r="EF103" s="3"/>
      <c r="EG103" s="3"/>
      <c r="EH103" s="3"/>
      <c r="EI103" s="3"/>
      <c r="EJ103" s="3"/>
      <c r="EK103" s="3"/>
      <c r="EL103" s="3"/>
      <c r="EM103" s="3"/>
      <c r="EN103" s="3"/>
      <c r="EO103" s="3"/>
      <c r="EP103" s="3"/>
      <c r="EQ103" s="3"/>
      <c r="ER103" s="3"/>
      <c r="ES103" s="3"/>
      <c r="ET103" s="3"/>
      <c r="EU103" s="3"/>
      <c r="EV103" s="3"/>
      <c r="EW103" s="3"/>
      <c r="EX103" s="3"/>
      <c r="EY103" s="3"/>
      <c r="EZ103" s="3"/>
      <c r="FA103" s="3"/>
      <c r="FB103" s="3"/>
      <c r="FC103" s="3"/>
      <c r="FD103" s="3"/>
      <c r="FE103" s="3"/>
      <c r="FF103" s="3"/>
      <c r="FG103" s="3"/>
      <c r="FH103" s="3"/>
      <c r="FI103" s="3"/>
      <c r="FJ103" s="3"/>
      <c r="FK103" s="3"/>
      <c r="FL103" s="3"/>
      <c r="FM103" s="3"/>
      <c r="FN103" s="3"/>
      <c r="FO103" s="3"/>
      <c r="FP103" s="3"/>
      <c r="FQ103" s="3"/>
      <c r="FR103" s="3"/>
      <c r="FS103" s="3"/>
      <c r="FT103" s="3"/>
      <c r="FU103" s="3"/>
      <c r="FV103" s="3"/>
      <c r="FW103" s="3"/>
      <c r="FX103" s="3"/>
      <c r="FY103" s="3"/>
      <c r="FZ103" s="3"/>
      <c r="GA103" s="3"/>
      <c r="GB103" s="3"/>
      <c r="GC103" s="3"/>
      <c r="GD103" s="3"/>
      <c r="GE103" s="3"/>
      <c r="GF103" s="3"/>
      <c r="GG103" s="3"/>
      <c r="GH103" s="3"/>
      <c r="GI103" s="3"/>
      <c r="GJ103" s="3"/>
      <c r="GK103" s="3"/>
      <c r="GL103" s="3"/>
      <c r="GM103" s="3"/>
      <c r="GN103" s="3"/>
      <c r="GO103" s="3"/>
      <c r="GP103" s="3"/>
      <c r="GQ103" s="3"/>
      <c r="GR103" s="3"/>
      <c r="GS103" s="3"/>
      <c r="GT103" s="3"/>
      <c r="GU103" s="3"/>
      <c r="GV103" s="3"/>
      <c r="GW103" s="3"/>
      <c r="GX103" s="3"/>
      <c r="GY103" s="3"/>
      <c r="GZ103" s="3"/>
      <c r="HA103" s="3"/>
      <c r="HB103" s="3"/>
      <c r="HC103" s="3"/>
      <c r="HD103" s="3"/>
      <c r="HE103" s="3"/>
      <c r="HF103" s="3"/>
    </row>
    <row r="104" spans="1:214" x14ac:dyDescent="0.25">
      <c r="A104" t="s">
        <v>84</v>
      </c>
      <c r="C104">
        <f>COUNTA(Q1:Q95)</f>
        <v>1</v>
      </c>
      <c r="D104">
        <f t="shared" ref="D104:D148" si="1">SUM(E104,H104)</f>
        <v>37</v>
      </c>
      <c r="E104">
        <f>SUM(R3:R95)</f>
        <v>18</v>
      </c>
      <c r="F104">
        <f>SUM(S3:S95)</f>
        <v>19</v>
      </c>
      <c r="H104">
        <f t="shared" ref="H104:H130" si="2">F104-G104</f>
        <v>19</v>
      </c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  <c r="CK104" s="3"/>
      <c r="CL104" s="3"/>
      <c r="CM104" s="3"/>
      <c r="CN104" s="3"/>
      <c r="CO104" s="3"/>
      <c r="CP104" s="3"/>
      <c r="CQ104" s="3"/>
      <c r="CR104" s="3"/>
      <c r="CS104" s="3"/>
      <c r="CT104" s="3"/>
      <c r="CU104" s="3"/>
      <c r="CV104" s="3"/>
      <c r="CW104" s="3"/>
      <c r="CX104" s="3"/>
      <c r="CY104" s="3"/>
      <c r="CZ104" s="3"/>
      <c r="DA104" s="3"/>
      <c r="DB104" s="3"/>
      <c r="DC104" s="3"/>
      <c r="DD104" s="3"/>
      <c r="DE104" s="3"/>
      <c r="DF104" s="3"/>
      <c r="DG104" s="3"/>
      <c r="DH104" s="3"/>
      <c r="DI104" s="3"/>
      <c r="DJ104" s="3"/>
      <c r="DK104" s="3"/>
      <c r="DL104" s="3"/>
      <c r="DM104" s="3"/>
      <c r="DN104" s="3"/>
      <c r="DO104" s="3"/>
      <c r="DP104" s="3"/>
      <c r="DQ104" s="3"/>
      <c r="DR104" s="3"/>
      <c r="DS104" s="3"/>
      <c r="DT104" s="3"/>
      <c r="DU104" s="3"/>
      <c r="DV104" s="3"/>
      <c r="DW104" s="3"/>
      <c r="DX104" s="3"/>
      <c r="DY104" s="3"/>
      <c r="DZ104" s="3"/>
      <c r="EA104" s="3"/>
      <c r="EB104" s="3"/>
      <c r="EC104" s="3"/>
      <c r="ED104" s="3"/>
      <c r="EE104" s="3"/>
      <c r="EF104" s="3"/>
      <c r="EG104" s="3"/>
      <c r="EH104" s="3"/>
      <c r="EI104" s="3"/>
      <c r="EJ104" s="3"/>
      <c r="EK104" s="3"/>
      <c r="EL104" s="3"/>
      <c r="EM104" s="3"/>
      <c r="EN104" s="3"/>
      <c r="EO104" s="3"/>
      <c r="EP104" s="3"/>
      <c r="EQ104" s="3"/>
      <c r="ER104" s="3"/>
      <c r="ES104" s="3"/>
      <c r="ET104" s="3"/>
      <c r="EU104" s="3"/>
      <c r="EV104" s="3"/>
      <c r="EW104" s="3"/>
      <c r="EX104" s="3"/>
      <c r="EY104" s="3"/>
      <c r="EZ104" s="3"/>
      <c r="FA104" s="3"/>
      <c r="FB104" s="3"/>
      <c r="FC104" s="3"/>
      <c r="FD104" s="3"/>
      <c r="FE104" s="3"/>
      <c r="FF104" s="3"/>
      <c r="FG104" s="3"/>
      <c r="FH104" s="3"/>
      <c r="FI104" s="3"/>
      <c r="FJ104" s="3"/>
      <c r="FK104" s="3"/>
      <c r="FL104" s="3"/>
      <c r="FM104" s="3"/>
      <c r="FN104" s="3"/>
      <c r="FO104" s="3"/>
      <c r="FP104" s="3"/>
      <c r="FQ104" s="3"/>
      <c r="FR104" s="3"/>
      <c r="FS104" s="3"/>
      <c r="FT104" s="3"/>
      <c r="FU104" s="3"/>
      <c r="FV104" s="3"/>
      <c r="FW104" s="3"/>
      <c r="FX104" s="3"/>
      <c r="FY104" s="3"/>
      <c r="FZ104" s="3"/>
      <c r="GA104" s="3"/>
      <c r="GB104" s="3"/>
      <c r="GC104" s="3"/>
      <c r="GD104" s="3"/>
      <c r="GE104" s="3"/>
      <c r="GF104" s="3"/>
      <c r="GG104" s="3"/>
      <c r="GH104" s="3"/>
      <c r="GI104" s="3"/>
      <c r="GJ104" s="3"/>
      <c r="GK104" s="3"/>
      <c r="GL104" s="3"/>
      <c r="GM104" s="3"/>
      <c r="GN104" s="3"/>
      <c r="GO104" s="3"/>
      <c r="GP104" s="3"/>
      <c r="GQ104" s="3"/>
      <c r="GR104" s="3"/>
      <c r="GS104" s="3"/>
      <c r="GT104" s="3"/>
      <c r="GU104" s="3"/>
      <c r="GV104" s="3"/>
      <c r="GW104" s="3"/>
      <c r="GX104" s="3"/>
      <c r="GY104" s="3"/>
      <c r="GZ104" s="3"/>
      <c r="HA104" s="3"/>
      <c r="HB104" s="3"/>
      <c r="HC104" s="3"/>
      <c r="HD104" s="3"/>
      <c r="HE104" s="3"/>
      <c r="HF104" s="3"/>
    </row>
    <row r="105" spans="1:214" x14ac:dyDescent="0.25">
      <c r="C105">
        <f>COUNTA(U1:U95)</f>
        <v>1</v>
      </c>
      <c r="D105">
        <f>SUM(E105,H105)</f>
        <v>45</v>
      </c>
      <c r="E105">
        <f>SUM(V3:V95)</f>
        <v>22</v>
      </c>
      <c r="F105">
        <f>SUM(W3:W95)</f>
        <v>23</v>
      </c>
      <c r="H105">
        <f t="shared" si="2"/>
        <v>23</v>
      </c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  <c r="CK105" s="3"/>
      <c r="CL105" s="3"/>
      <c r="CM105" s="3"/>
      <c r="CN105" s="3"/>
      <c r="CO105" s="3"/>
      <c r="CP105" s="3"/>
      <c r="CQ105" s="3"/>
      <c r="CR105" s="3"/>
      <c r="CS105" s="3"/>
      <c r="CT105" s="3"/>
      <c r="CU105" s="3"/>
      <c r="CV105" s="3"/>
      <c r="CW105" s="3"/>
      <c r="CX105" s="3"/>
      <c r="CY105" s="3"/>
      <c r="CZ105" s="3"/>
      <c r="DA105" s="3"/>
      <c r="DB105" s="3"/>
      <c r="DC105" s="3"/>
      <c r="DD105" s="3"/>
      <c r="DE105" s="3"/>
      <c r="DF105" s="3"/>
      <c r="DG105" s="3"/>
      <c r="DH105" s="3"/>
      <c r="DI105" s="3"/>
      <c r="DJ105" s="3"/>
      <c r="DK105" s="3"/>
      <c r="DL105" s="3"/>
      <c r="DM105" s="3"/>
      <c r="DN105" s="3"/>
      <c r="DO105" s="3"/>
      <c r="DP105" s="3"/>
      <c r="DQ105" s="3"/>
      <c r="DR105" s="3"/>
      <c r="DS105" s="3"/>
      <c r="DT105" s="3"/>
      <c r="DU105" s="3"/>
      <c r="DV105" s="3"/>
      <c r="DW105" s="3"/>
      <c r="DX105" s="3"/>
      <c r="DY105" s="3"/>
      <c r="DZ105" s="3"/>
      <c r="EA105" s="3"/>
      <c r="EB105" s="3"/>
      <c r="EC105" s="3"/>
      <c r="ED105" s="3"/>
      <c r="EE105" s="3"/>
      <c r="EF105" s="3"/>
      <c r="EG105" s="3"/>
      <c r="EH105" s="3"/>
      <c r="EI105" s="3"/>
      <c r="EJ105" s="3"/>
      <c r="EK105" s="3"/>
      <c r="EL105" s="3"/>
      <c r="EM105" s="3"/>
      <c r="EN105" s="3"/>
      <c r="EO105" s="3"/>
      <c r="EP105" s="3"/>
      <c r="EQ105" s="3"/>
      <c r="ER105" s="3"/>
      <c r="ES105" s="3"/>
      <c r="ET105" s="3"/>
      <c r="EU105" s="3"/>
      <c r="EV105" s="3"/>
      <c r="EW105" s="3"/>
      <c r="EX105" s="3"/>
      <c r="EY105" s="3"/>
      <c r="EZ105" s="3"/>
      <c r="FA105" s="3"/>
      <c r="FB105" s="3"/>
      <c r="FC105" s="3"/>
      <c r="FD105" s="3"/>
      <c r="FE105" s="3"/>
      <c r="FF105" s="3"/>
      <c r="FG105" s="3"/>
      <c r="FH105" s="3"/>
      <c r="FI105" s="3"/>
      <c r="FJ105" s="3"/>
      <c r="FK105" s="3"/>
      <c r="FL105" s="3"/>
      <c r="FM105" s="3"/>
      <c r="FN105" s="3"/>
      <c r="FO105" s="3"/>
      <c r="FP105" s="3"/>
      <c r="FQ105" s="3"/>
      <c r="FR105" s="3"/>
      <c r="FS105" s="3"/>
      <c r="FT105" s="3"/>
      <c r="FU105" s="3"/>
      <c r="FV105" s="3"/>
      <c r="FW105" s="3"/>
      <c r="FX105" s="3"/>
      <c r="FY105" s="3"/>
      <c r="FZ105" s="3"/>
      <c r="GA105" s="3"/>
      <c r="GB105" s="3"/>
      <c r="GC105" s="3"/>
      <c r="GD105" s="3"/>
      <c r="GE105" s="3"/>
      <c r="GF105" s="3"/>
      <c r="GG105" s="3"/>
      <c r="GH105" s="3"/>
      <c r="GI105" s="3"/>
      <c r="GJ105" s="3"/>
      <c r="GK105" s="3"/>
      <c r="GL105" s="3"/>
      <c r="GM105" s="3"/>
      <c r="GN105" s="3"/>
      <c r="GO105" s="3"/>
      <c r="GP105" s="3"/>
      <c r="GQ105" s="3"/>
      <c r="GR105" s="3"/>
      <c r="GS105" s="3"/>
      <c r="GT105" s="3"/>
      <c r="GU105" s="3"/>
      <c r="GV105" s="3"/>
      <c r="GW105" s="3"/>
      <c r="GX105" s="3"/>
      <c r="GY105" s="3"/>
      <c r="GZ105" s="3"/>
      <c r="HA105" s="3"/>
      <c r="HB105" s="3"/>
      <c r="HC105" s="3"/>
      <c r="HD105" s="3"/>
      <c r="HE105" s="3"/>
      <c r="HF105" s="3"/>
    </row>
    <row r="106" spans="1:214" x14ac:dyDescent="0.25">
      <c r="C106">
        <f>COUNTA(Y1:Y95)</f>
        <v>1</v>
      </c>
      <c r="D106">
        <f t="shared" si="1"/>
        <v>53</v>
      </c>
      <c r="E106">
        <f>SUM(Z3:Z95)</f>
        <v>26</v>
      </c>
      <c r="F106">
        <f>SUM(AA3:AA95)</f>
        <v>27</v>
      </c>
      <c r="H106">
        <f t="shared" si="2"/>
        <v>27</v>
      </c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  <c r="CK106" s="3"/>
      <c r="CL106" s="3"/>
      <c r="CM106" s="3"/>
      <c r="CN106" s="3"/>
      <c r="CO106" s="3"/>
      <c r="CP106" s="3"/>
      <c r="CQ106" s="3"/>
      <c r="CR106" s="3"/>
      <c r="CS106" s="3"/>
      <c r="CT106" s="3"/>
      <c r="CU106" s="3"/>
      <c r="CV106" s="3"/>
      <c r="CW106" s="3"/>
      <c r="CX106" s="3"/>
      <c r="CY106" s="3"/>
      <c r="CZ106" s="3"/>
      <c r="DA106" s="3"/>
      <c r="DB106" s="3"/>
      <c r="DC106" s="3"/>
      <c r="DD106" s="3"/>
      <c r="DE106" s="3"/>
      <c r="DF106" s="3"/>
      <c r="DG106" s="3"/>
      <c r="DH106" s="3"/>
      <c r="DI106" s="3"/>
      <c r="DJ106" s="3"/>
      <c r="DK106" s="3"/>
      <c r="DL106" s="3"/>
      <c r="DM106" s="3"/>
      <c r="DN106" s="3"/>
      <c r="DO106" s="3"/>
      <c r="DP106" s="3"/>
      <c r="DQ106" s="3"/>
      <c r="DR106" s="3"/>
      <c r="DS106" s="3"/>
      <c r="DT106" s="3"/>
      <c r="DU106" s="3"/>
      <c r="DV106" s="3"/>
      <c r="DW106" s="3"/>
      <c r="DX106" s="3"/>
      <c r="DY106" s="3"/>
      <c r="DZ106" s="3"/>
      <c r="EA106" s="3"/>
      <c r="EB106" s="3"/>
      <c r="EC106" s="3"/>
      <c r="ED106" s="3"/>
      <c r="EE106" s="3"/>
      <c r="EF106" s="3"/>
      <c r="EG106" s="3"/>
      <c r="EH106" s="3"/>
      <c r="EI106" s="3"/>
      <c r="EJ106" s="3"/>
      <c r="EK106" s="3"/>
      <c r="EL106" s="3"/>
      <c r="EM106" s="3"/>
      <c r="EN106" s="3"/>
      <c r="EO106" s="3"/>
      <c r="EP106" s="3"/>
      <c r="EQ106" s="3"/>
      <c r="ER106" s="3"/>
      <c r="ES106" s="3"/>
      <c r="ET106" s="3"/>
      <c r="EU106" s="3"/>
      <c r="EV106" s="3"/>
      <c r="EW106" s="3"/>
      <c r="EX106" s="3"/>
      <c r="EY106" s="3"/>
      <c r="EZ106" s="3"/>
      <c r="FA106" s="3"/>
      <c r="FB106" s="3"/>
      <c r="FC106" s="3"/>
      <c r="FD106" s="3"/>
      <c r="FE106" s="3"/>
      <c r="FF106" s="3"/>
      <c r="FG106" s="3"/>
      <c r="FH106" s="3"/>
      <c r="FI106" s="3"/>
      <c r="FJ106" s="3"/>
      <c r="FK106" s="3"/>
      <c r="FL106" s="3"/>
      <c r="FM106" s="3"/>
      <c r="FN106" s="3"/>
      <c r="FO106" s="3"/>
      <c r="FP106" s="3"/>
      <c r="FQ106" s="3"/>
      <c r="FR106" s="3"/>
      <c r="FS106" s="3"/>
      <c r="FT106" s="3"/>
      <c r="FU106" s="3"/>
      <c r="FV106" s="3"/>
      <c r="FW106" s="3"/>
      <c r="FX106" s="3"/>
      <c r="FY106" s="3"/>
      <c r="FZ106" s="3"/>
      <c r="GA106" s="3"/>
      <c r="GB106" s="3"/>
      <c r="GC106" s="3"/>
      <c r="GD106" s="3"/>
      <c r="GE106" s="3"/>
      <c r="GF106" s="3"/>
      <c r="GG106" s="3"/>
      <c r="GH106" s="3"/>
      <c r="GI106" s="3"/>
      <c r="GJ106" s="3"/>
      <c r="GK106" s="3"/>
      <c r="GL106" s="3"/>
      <c r="GM106" s="3"/>
      <c r="GN106" s="3"/>
      <c r="GO106" s="3"/>
      <c r="GP106" s="3"/>
      <c r="GQ106" s="3"/>
      <c r="GR106" s="3"/>
      <c r="GS106" s="3"/>
      <c r="GT106" s="3"/>
      <c r="GU106" s="3"/>
      <c r="GV106" s="3"/>
      <c r="GW106" s="3"/>
      <c r="GX106" s="3"/>
      <c r="GY106" s="3"/>
      <c r="GZ106" s="3"/>
      <c r="HA106" s="3"/>
      <c r="HB106" s="3"/>
      <c r="HC106" s="3"/>
      <c r="HD106" s="3"/>
      <c r="HE106" s="3"/>
      <c r="HF106" s="3"/>
    </row>
    <row r="107" spans="1:214" x14ac:dyDescent="0.25">
      <c r="C107">
        <f>COUNTA(AC1:AC95)</f>
        <v>1</v>
      </c>
      <c r="D107">
        <f t="shared" si="1"/>
        <v>61</v>
      </c>
      <c r="E107">
        <f>SUM(AD3:AD95)</f>
        <v>30</v>
      </c>
      <c r="F107">
        <f>SUM(AE3:AE95)</f>
        <v>31</v>
      </c>
      <c r="H107">
        <f t="shared" si="2"/>
        <v>31</v>
      </c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  <c r="CK107" s="3"/>
      <c r="CL107" s="3"/>
      <c r="CM107" s="3"/>
      <c r="CN107" s="3"/>
      <c r="CO107" s="3"/>
      <c r="CP107" s="3"/>
      <c r="CQ107" s="3"/>
      <c r="CR107" s="3"/>
      <c r="CS107" s="3"/>
      <c r="CT107" s="3"/>
      <c r="CU107" s="3"/>
      <c r="CV107" s="3"/>
      <c r="CW107" s="3"/>
      <c r="CX107" s="3"/>
      <c r="CY107" s="3"/>
      <c r="CZ107" s="3"/>
      <c r="DA107" s="3"/>
      <c r="DB107" s="3"/>
      <c r="DC107" s="3"/>
      <c r="DD107" s="3"/>
      <c r="DE107" s="3"/>
      <c r="DF107" s="3"/>
      <c r="DG107" s="3"/>
      <c r="DH107" s="3"/>
      <c r="DI107" s="3"/>
      <c r="DJ107" s="3"/>
      <c r="DK107" s="3"/>
      <c r="DL107" s="3"/>
      <c r="DM107" s="3"/>
      <c r="DN107" s="3"/>
      <c r="DO107" s="3"/>
      <c r="DP107" s="3"/>
      <c r="DQ107" s="3"/>
      <c r="DR107" s="3"/>
      <c r="DS107" s="3"/>
      <c r="DT107" s="3"/>
      <c r="DU107" s="3"/>
      <c r="DV107" s="3"/>
      <c r="DW107" s="3"/>
      <c r="DX107" s="3"/>
      <c r="DY107" s="3"/>
      <c r="DZ107" s="3"/>
      <c r="EA107" s="3"/>
      <c r="EB107" s="3"/>
      <c r="EC107" s="3"/>
      <c r="ED107" s="3"/>
      <c r="EE107" s="3"/>
      <c r="EF107" s="3"/>
      <c r="EG107" s="3"/>
      <c r="EH107" s="3"/>
      <c r="EI107" s="3"/>
      <c r="EJ107" s="3"/>
      <c r="EK107" s="3"/>
      <c r="EL107" s="3"/>
      <c r="EM107" s="3"/>
      <c r="EN107" s="3"/>
      <c r="EO107" s="3"/>
      <c r="EP107" s="3"/>
      <c r="EQ107" s="3"/>
      <c r="ER107" s="3"/>
      <c r="ES107" s="3"/>
      <c r="ET107" s="3"/>
      <c r="EU107" s="3"/>
      <c r="EV107" s="3"/>
      <c r="EW107" s="3"/>
      <c r="EX107" s="3"/>
      <c r="EY107" s="3"/>
      <c r="EZ107" s="3"/>
      <c r="FA107" s="3"/>
      <c r="FB107" s="3"/>
      <c r="FC107" s="3"/>
      <c r="FD107" s="3"/>
      <c r="FE107" s="3"/>
      <c r="FF107" s="3"/>
      <c r="FG107" s="3"/>
      <c r="FH107" s="3"/>
      <c r="FI107" s="3"/>
      <c r="FJ107" s="3"/>
      <c r="FK107" s="3"/>
      <c r="FL107" s="3"/>
      <c r="FM107" s="3"/>
      <c r="FN107" s="3"/>
      <c r="FO107" s="3"/>
      <c r="FP107" s="3"/>
      <c r="FQ107" s="3"/>
      <c r="FR107" s="3"/>
      <c r="FS107" s="3"/>
      <c r="FT107" s="3"/>
      <c r="FU107" s="3"/>
      <c r="FV107" s="3"/>
      <c r="FW107" s="3"/>
      <c r="FX107" s="3"/>
      <c r="FY107" s="3"/>
      <c r="FZ107" s="3"/>
      <c r="GA107" s="3"/>
      <c r="GB107" s="3"/>
      <c r="GC107" s="3"/>
      <c r="GD107" s="3"/>
      <c r="GE107" s="3"/>
      <c r="GF107" s="3"/>
      <c r="GG107" s="3"/>
      <c r="GH107" s="3"/>
      <c r="GI107" s="3"/>
      <c r="GJ107" s="3"/>
      <c r="GK107" s="3"/>
      <c r="GL107" s="3"/>
      <c r="GM107" s="3"/>
      <c r="GN107" s="3"/>
      <c r="GO107" s="3"/>
      <c r="GP107" s="3"/>
      <c r="GQ107" s="3"/>
      <c r="GR107" s="3"/>
      <c r="GS107" s="3"/>
      <c r="GT107" s="3"/>
      <c r="GU107" s="3"/>
      <c r="GV107" s="3"/>
      <c r="GW107" s="3"/>
      <c r="GX107" s="3"/>
      <c r="GY107" s="3"/>
      <c r="GZ107" s="3"/>
      <c r="HA107" s="3"/>
      <c r="HB107" s="3"/>
      <c r="HC107" s="3"/>
      <c r="HD107" s="3"/>
      <c r="HE107" s="3"/>
      <c r="HF107" s="3"/>
    </row>
    <row r="108" spans="1:214" x14ac:dyDescent="0.25">
      <c r="C108">
        <f>COUNTA(AG1:AG95)</f>
        <v>1</v>
      </c>
      <c r="D108">
        <f t="shared" si="1"/>
        <v>69</v>
      </c>
      <c r="E108">
        <f>SUM(AH3:AH95)</f>
        <v>34</v>
      </c>
      <c r="F108">
        <f>SUM(AI3:AI95)</f>
        <v>35</v>
      </c>
      <c r="H108">
        <f t="shared" si="2"/>
        <v>35</v>
      </c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  <c r="CK108" s="3"/>
      <c r="CL108" s="3"/>
      <c r="CM108" s="3"/>
      <c r="CN108" s="3"/>
      <c r="CO108" s="3"/>
      <c r="CP108" s="3"/>
      <c r="CQ108" s="3"/>
      <c r="CR108" s="3"/>
      <c r="CS108" s="3"/>
      <c r="CT108" s="3"/>
      <c r="CU108" s="3"/>
      <c r="CV108" s="3"/>
      <c r="CW108" s="3"/>
      <c r="CX108" s="3"/>
      <c r="CY108" s="3"/>
      <c r="CZ108" s="3"/>
      <c r="DA108" s="3"/>
      <c r="DB108" s="3"/>
      <c r="DC108" s="3"/>
      <c r="DD108" s="3"/>
      <c r="DE108" s="3"/>
      <c r="DF108" s="3"/>
      <c r="DG108" s="3"/>
      <c r="DH108" s="3"/>
      <c r="DI108" s="3"/>
      <c r="DJ108" s="3"/>
      <c r="DK108" s="3"/>
      <c r="DL108" s="3"/>
      <c r="DM108" s="3"/>
      <c r="DN108" s="3"/>
      <c r="DO108" s="3"/>
      <c r="DP108" s="3"/>
      <c r="DQ108" s="3"/>
      <c r="DR108" s="3"/>
      <c r="DS108" s="3"/>
      <c r="DT108" s="3"/>
      <c r="DU108" s="3"/>
      <c r="DV108" s="3"/>
      <c r="DW108" s="3"/>
      <c r="DX108" s="3"/>
      <c r="DY108" s="3"/>
      <c r="DZ108" s="3"/>
      <c r="EA108" s="3"/>
      <c r="EB108" s="3"/>
      <c r="EC108" s="3"/>
      <c r="ED108" s="3"/>
      <c r="EE108" s="3"/>
      <c r="EF108" s="3"/>
      <c r="EG108" s="3"/>
      <c r="EH108" s="3"/>
      <c r="EI108" s="3"/>
      <c r="EJ108" s="3"/>
      <c r="EK108" s="3"/>
      <c r="EL108" s="3"/>
      <c r="EM108" s="3"/>
      <c r="EN108" s="3"/>
      <c r="EO108" s="3"/>
      <c r="EP108" s="3"/>
      <c r="EQ108" s="3"/>
      <c r="ER108" s="3"/>
      <c r="ES108" s="3"/>
      <c r="ET108" s="3"/>
      <c r="EU108" s="3"/>
      <c r="EV108" s="3"/>
      <c r="EW108" s="3"/>
      <c r="EX108" s="3"/>
      <c r="EY108" s="3"/>
      <c r="EZ108" s="3"/>
      <c r="FA108" s="3"/>
      <c r="FB108" s="3"/>
      <c r="FC108" s="3"/>
      <c r="FD108" s="3"/>
      <c r="FE108" s="3"/>
      <c r="FF108" s="3"/>
      <c r="FG108" s="3"/>
      <c r="FH108" s="3"/>
      <c r="FI108" s="3"/>
      <c r="FJ108" s="3"/>
      <c r="FK108" s="3"/>
      <c r="FL108" s="3"/>
      <c r="FM108" s="3"/>
      <c r="FN108" s="3"/>
      <c r="FO108" s="3"/>
      <c r="FP108" s="3"/>
      <c r="FQ108" s="3"/>
      <c r="FR108" s="3"/>
      <c r="FS108" s="3"/>
      <c r="FT108" s="3"/>
      <c r="FU108" s="3"/>
      <c r="FV108" s="3"/>
      <c r="FW108" s="3"/>
      <c r="FX108" s="3"/>
      <c r="FY108" s="3"/>
      <c r="FZ108" s="3"/>
      <c r="GA108" s="3"/>
      <c r="GB108" s="3"/>
      <c r="GC108" s="3"/>
      <c r="GD108" s="3"/>
      <c r="GE108" s="3"/>
      <c r="GF108" s="3"/>
      <c r="GG108" s="3"/>
      <c r="GH108" s="3"/>
      <c r="GI108" s="3"/>
      <c r="GJ108" s="3"/>
      <c r="GK108" s="3"/>
      <c r="GL108" s="3"/>
      <c r="GM108" s="3"/>
      <c r="GN108" s="3"/>
      <c r="GO108" s="3"/>
      <c r="GP108" s="3"/>
      <c r="GQ108" s="3"/>
      <c r="GR108" s="3"/>
      <c r="GS108" s="3"/>
      <c r="GT108" s="3"/>
      <c r="GU108" s="3"/>
      <c r="GV108" s="3"/>
      <c r="GW108" s="3"/>
      <c r="GX108" s="3"/>
      <c r="GY108" s="3"/>
      <c r="GZ108" s="3"/>
      <c r="HA108" s="3"/>
      <c r="HB108" s="3"/>
      <c r="HC108" s="3"/>
      <c r="HD108" s="3"/>
      <c r="HE108" s="3"/>
      <c r="HF108" s="3"/>
    </row>
    <row r="109" spans="1:214" x14ac:dyDescent="0.25">
      <c r="C109">
        <f>COUNTA(AK1:AK95)</f>
        <v>1</v>
      </c>
      <c r="D109">
        <f t="shared" si="1"/>
        <v>77</v>
      </c>
      <c r="E109">
        <f>SUM(AL3:AL95)</f>
        <v>38</v>
      </c>
      <c r="F109">
        <f>SUM(AM3:AM95)</f>
        <v>39</v>
      </c>
      <c r="H109">
        <f t="shared" si="2"/>
        <v>39</v>
      </c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  <c r="CK109" s="3"/>
      <c r="CL109" s="3"/>
      <c r="CM109" s="3"/>
      <c r="CN109" s="3"/>
      <c r="CO109" s="3"/>
      <c r="CP109" s="3"/>
      <c r="CQ109" s="3"/>
      <c r="CR109" s="3"/>
      <c r="CS109" s="3"/>
      <c r="CT109" s="3"/>
      <c r="CU109" s="3"/>
      <c r="CV109" s="3"/>
      <c r="CW109" s="3"/>
      <c r="CX109" s="3"/>
      <c r="CY109" s="3"/>
      <c r="CZ109" s="3"/>
      <c r="DA109" s="3"/>
      <c r="DB109" s="3"/>
      <c r="DC109" s="3"/>
      <c r="DD109" s="3"/>
      <c r="DE109" s="3"/>
      <c r="DF109" s="3"/>
      <c r="DG109" s="3"/>
      <c r="DH109" s="3"/>
      <c r="DI109" s="3"/>
      <c r="DJ109" s="3"/>
      <c r="DK109" s="3"/>
      <c r="DL109" s="3"/>
      <c r="DM109" s="3"/>
      <c r="DN109" s="3"/>
      <c r="DO109" s="3"/>
      <c r="DP109" s="3"/>
      <c r="DQ109" s="3"/>
      <c r="DR109" s="3"/>
      <c r="DS109" s="3"/>
      <c r="DT109" s="3"/>
      <c r="DU109" s="3"/>
      <c r="DV109" s="3"/>
      <c r="DW109" s="3"/>
      <c r="DX109" s="3"/>
      <c r="DY109" s="3"/>
      <c r="DZ109" s="3"/>
      <c r="EA109" s="3"/>
      <c r="EB109" s="3"/>
      <c r="EC109" s="3"/>
      <c r="ED109" s="3"/>
      <c r="EE109" s="3"/>
      <c r="EF109" s="3"/>
      <c r="EG109" s="3"/>
      <c r="EH109" s="3"/>
      <c r="EI109" s="3"/>
      <c r="EJ109" s="3"/>
      <c r="EK109" s="3"/>
      <c r="EL109" s="3"/>
      <c r="EM109" s="3"/>
      <c r="EN109" s="3"/>
      <c r="EO109" s="3"/>
      <c r="EP109" s="3"/>
      <c r="EQ109" s="3"/>
      <c r="ER109" s="3"/>
      <c r="ES109" s="3"/>
      <c r="ET109" s="3"/>
      <c r="EU109" s="3"/>
      <c r="EV109" s="3"/>
      <c r="EW109" s="3"/>
      <c r="EX109" s="3"/>
      <c r="EY109" s="3"/>
      <c r="EZ109" s="3"/>
      <c r="FA109" s="3"/>
      <c r="FB109" s="3"/>
      <c r="FC109" s="3"/>
      <c r="FD109" s="3"/>
      <c r="FE109" s="3"/>
      <c r="FF109" s="3"/>
      <c r="FG109" s="3"/>
      <c r="FH109" s="3"/>
      <c r="FI109" s="3"/>
      <c r="FJ109" s="3"/>
      <c r="FK109" s="3"/>
      <c r="FL109" s="3"/>
      <c r="FM109" s="3"/>
      <c r="FN109" s="3"/>
      <c r="FO109" s="3"/>
      <c r="FP109" s="3"/>
      <c r="FQ109" s="3"/>
      <c r="FR109" s="3"/>
      <c r="FS109" s="3"/>
      <c r="FT109" s="3"/>
      <c r="FU109" s="3"/>
      <c r="FV109" s="3"/>
      <c r="FW109" s="3"/>
      <c r="FX109" s="3"/>
      <c r="FY109" s="3"/>
      <c r="FZ109" s="3"/>
      <c r="GA109" s="3"/>
      <c r="GB109" s="3"/>
      <c r="GC109" s="3"/>
      <c r="GD109" s="3"/>
      <c r="GE109" s="3"/>
      <c r="GF109" s="3"/>
      <c r="GG109" s="3"/>
      <c r="GH109" s="3"/>
      <c r="GI109" s="3"/>
      <c r="GJ109" s="3"/>
      <c r="GK109" s="3"/>
      <c r="GL109" s="3"/>
      <c r="GM109" s="3"/>
      <c r="GN109" s="3"/>
      <c r="GO109" s="3"/>
      <c r="GP109" s="3"/>
      <c r="GQ109" s="3"/>
      <c r="GR109" s="3"/>
      <c r="GS109" s="3"/>
      <c r="GT109" s="3"/>
      <c r="GU109" s="3"/>
      <c r="GV109" s="3"/>
      <c r="GW109" s="3"/>
      <c r="GX109" s="3"/>
      <c r="GY109" s="3"/>
      <c r="GZ109" s="3"/>
      <c r="HA109" s="3"/>
      <c r="HB109" s="3"/>
      <c r="HC109" s="3"/>
      <c r="HD109" s="3"/>
      <c r="HE109" s="3"/>
      <c r="HF109" s="3"/>
    </row>
    <row r="110" spans="1:214" x14ac:dyDescent="0.25">
      <c r="C110">
        <f>COUNTA(AO1:AO95)</f>
        <v>1</v>
      </c>
      <c r="D110">
        <f t="shared" si="1"/>
        <v>85</v>
      </c>
      <c r="E110">
        <f>SUM(AP3:AP95)</f>
        <v>42</v>
      </c>
      <c r="F110">
        <f>SUM(AQ3:AQ95)</f>
        <v>43</v>
      </c>
      <c r="H110">
        <f t="shared" si="2"/>
        <v>43</v>
      </c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  <c r="CK110" s="3"/>
      <c r="CL110" s="3"/>
      <c r="CM110" s="3"/>
      <c r="CN110" s="3"/>
      <c r="CO110" s="3"/>
      <c r="CP110" s="3"/>
      <c r="CQ110" s="3"/>
      <c r="CR110" s="3"/>
      <c r="CS110" s="3"/>
      <c r="CT110" s="3"/>
      <c r="CU110" s="3"/>
      <c r="CV110" s="3"/>
      <c r="CW110" s="3"/>
      <c r="CX110" s="3"/>
      <c r="CY110" s="3"/>
      <c r="CZ110" s="3"/>
      <c r="DA110" s="3"/>
      <c r="DB110" s="3"/>
      <c r="DC110" s="3"/>
      <c r="DD110" s="3"/>
      <c r="DE110" s="3"/>
      <c r="DF110" s="3"/>
      <c r="DG110" s="3"/>
      <c r="DH110" s="3"/>
      <c r="DI110" s="3"/>
      <c r="DJ110" s="3"/>
      <c r="DK110" s="3"/>
      <c r="DL110" s="3"/>
      <c r="DM110" s="3"/>
      <c r="DN110" s="3"/>
      <c r="DO110" s="3"/>
      <c r="DP110" s="3"/>
      <c r="DQ110" s="3"/>
      <c r="DR110" s="3"/>
      <c r="DS110" s="3"/>
      <c r="DT110" s="3"/>
      <c r="DU110" s="3"/>
      <c r="DV110" s="3"/>
      <c r="DW110" s="3"/>
      <c r="DX110" s="3"/>
      <c r="DY110" s="3"/>
      <c r="DZ110" s="3"/>
      <c r="EA110" s="3"/>
      <c r="EB110" s="3"/>
      <c r="EC110" s="3"/>
      <c r="ED110" s="3"/>
      <c r="EE110" s="3"/>
      <c r="EF110" s="3"/>
      <c r="EG110" s="3"/>
      <c r="EH110" s="3"/>
      <c r="EI110" s="3"/>
      <c r="EJ110" s="3"/>
      <c r="EK110" s="3"/>
      <c r="EL110" s="3"/>
      <c r="EM110" s="3"/>
      <c r="EN110" s="3"/>
      <c r="EO110" s="3"/>
      <c r="EP110" s="3"/>
      <c r="EQ110" s="3"/>
      <c r="ER110" s="3"/>
      <c r="ES110" s="3"/>
      <c r="ET110" s="3"/>
      <c r="EU110" s="3"/>
      <c r="EV110" s="3"/>
      <c r="EW110" s="3"/>
      <c r="EX110" s="3"/>
      <c r="EY110" s="3"/>
      <c r="EZ110" s="3"/>
      <c r="FA110" s="3"/>
      <c r="FB110" s="3"/>
      <c r="FC110" s="3"/>
      <c r="FD110" s="3"/>
      <c r="FE110" s="3"/>
      <c r="FF110" s="3"/>
      <c r="FG110" s="3"/>
      <c r="FH110" s="3"/>
      <c r="FI110" s="3"/>
      <c r="FJ110" s="3"/>
      <c r="FK110" s="3"/>
      <c r="FL110" s="3"/>
      <c r="FM110" s="3"/>
      <c r="FN110" s="3"/>
      <c r="FO110" s="3"/>
      <c r="FP110" s="3"/>
      <c r="FQ110" s="3"/>
      <c r="FR110" s="3"/>
      <c r="FS110" s="3"/>
      <c r="FT110" s="3"/>
      <c r="FU110" s="3"/>
      <c r="FV110" s="3"/>
      <c r="FW110" s="3"/>
      <c r="FX110" s="3"/>
      <c r="FY110" s="3"/>
      <c r="FZ110" s="3"/>
      <c r="GA110" s="3"/>
      <c r="GB110" s="3"/>
      <c r="GC110" s="3"/>
      <c r="GD110" s="3"/>
      <c r="GE110" s="3"/>
      <c r="GF110" s="3"/>
      <c r="GG110" s="3"/>
      <c r="GH110" s="3"/>
      <c r="GI110" s="3"/>
      <c r="GJ110" s="3"/>
      <c r="GK110" s="3"/>
      <c r="GL110" s="3"/>
      <c r="GM110" s="3"/>
      <c r="GN110" s="3"/>
      <c r="GO110" s="3"/>
      <c r="GP110" s="3"/>
      <c r="GQ110" s="3"/>
      <c r="GR110" s="3"/>
      <c r="GS110" s="3"/>
      <c r="GT110" s="3"/>
      <c r="GU110" s="3"/>
      <c r="GV110" s="3"/>
      <c r="GW110" s="3"/>
      <c r="GX110" s="3"/>
      <c r="GY110" s="3"/>
      <c r="GZ110" s="3"/>
      <c r="HA110" s="3"/>
      <c r="HB110" s="3"/>
      <c r="HC110" s="3"/>
      <c r="HD110" s="3"/>
      <c r="HE110" s="3"/>
      <c r="HF110" s="3"/>
    </row>
    <row r="111" spans="1:214" x14ac:dyDescent="0.25">
      <c r="C111">
        <f>COUNTA(AS1:AS95)</f>
        <v>1</v>
      </c>
      <c r="D111">
        <f t="shared" si="1"/>
        <v>93</v>
      </c>
      <c r="E111">
        <f>SUM(AT3:AT95)</f>
        <v>46</v>
      </c>
      <c r="F111">
        <f>SUM(AU3:AU95)</f>
        <v>47</v>
      </c>
      <c r="H111">
        <f t="shared" si="2"/>
        <v>47</v>
      </c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  <c r="CK111" s="3"/>
      <c r="CL111" s="3"/>
      <c r="CM111" s="3"/>
      <c r="CN111" s="3"/>
      <c r="CO111" s="3"/>
      <c r="CP111" s="3"/>
      <c r="CQ111" s="3"/>
      <c r="CR111" s="3"/>
      <c r="CS111" s="3"/>
      <c r="CT111" s="3"/>
      <c r="CU111" s="3"/>
      <c r="CV111" s="3"/>
      <c r="CW111" s="3"/>
      <c r="CX111" s="3"/>
      <c r="CY111" s="3"/>
      <c r="CZ111" s="3"/>
      <c r="DA111" s="3"/>
      <c r="DB111" s="3"/>
      <c r="DC111" s="3"/>
      <c r="DD111" s="3"/>
      <c r="DE111" s="3"/>
      <c r="DF111" s="3"/>
      <c r="DG111" s="3"/>
      <c r="DH111" s="3"/>
      <c r="DI111" s="3"/>
      <c r="DJ111" s="3"/>
      <c r="DK111" s="3"/>
      <c r="DL111" s="3"/>
      <c r="DM111" s="3"/>
      <c r="DN111" s="3"/>
      <c r="DO111" s="3"/>
      <c r="DP111" s="3"/>
      <c r="DQ111" s="3"/>
      <c r="DR111" s="3"/>
      <c r="DS111" s="3"/>
      <c r="DT111" s="3"/>
      <c r="DU111" s="3"/>
      <c r="DV111" s="3"/>
      <c r="DW111" s="3"/>
      <c r="DX111" s="3"/>
      <c r="DY111" s="3"/>
      <c r="DZ111" s="3"/>
      <c r="EA111" s="3"/>
      <c r="EB111" s="3"/>
      <c r="EC111" s="3"/>
      <c r="ED111" s="3"/>
      <c r="EE111" s="3"/>
      <c r="EF111" s="3"/>
      <c r="EG111" s="3"/>
      <c r="EH111" s="3"/>
      <c r="EI111" s="3"/>
      <c r="EJ111" s="3"/>
      <c r="EK111" s="3"/>
      <c r="EL111" s="3"/>
      <c r="EM111" s="3"/>
      <c r="EN111" s="3"/>
      <c r="EO111" s="3"/>
      <c r="EP111" s="3"/>
      <c r="EQ111" s="3"/>
      <c r="ER111" s="3"/>
      <c r="ES111" s="3"/>
      <c r="ET111" s="3"/>
      <c r="EU111" s="3"/>
      <c r="EV111" s="3"/>
      <c r="EW111" s="3"/>
      <c r="EX111" s="3"/>
      <c r="EY111" s="3"/>
      <c r="EZ111" s="3"/>
      <c r="FA111" s="3"/>
      <c r="FB111" s="3"/>
      <c r="FC111" s="3"/>
      <c r="FD111" s="3"/>
      <c r="FE111" s="3"/>
      <c r="FF111" s="3"/>
      <c r="FG111" s="3"/>
      <c r="FH111" s="3"/>
      <c r="FI111" s="3"/>
      <c r="FJ111" s="3"/>
      <c r="FK111" s="3"/>
      <c r="FL111" s="3"/>
      <c r="FM111" s="3"/>
      <c r="FN111" s="3"/>
      <c r="FO111" s="3"/>
      <c r="FP111" s="3"/>
      <c r="FQ111" s="3"/>
      <c r="FR111" s="3"/>
      <c r="FS111" s="3"/>
      <c r="FT111" s="3"/>
      <c r="FU111" s="3"/>
      <c r="FV111" s="3"/>
      <c r="FW111" s="3"/>
      <c r="FX111" s="3"/>
      <c r="FY111" s="3"/>
      <c r="FZ111" s="3"/>
      <c r="GA111" s="3"/>
      <c r="GB111" s="3"/>
      <c r="GC111" s="3"/>
      <c r="GD111" s="3"/>
      <c r="GE111" s="3"/>
      <c r="GF111" s="3"/>
      <c r="GG111" s="3"/>
      <c r="GH111" s="3"/>
      <c r="GI111" s="3"/>
      <c r="GJ111" s="3"/>
      <c r="GK111" s="3"/>
      <c r="GL111" s="3"/>
      <c r="GM111" s="3"/>
      <c r="GN111" s="3"/>
      <c r="GO111" s="3"/>
      <c r="GP111" s="3"/>
      <c r="GQ111" s="3"/>
      <c r="GR111" s="3"/>
      <c r="GS111" s="3"/>
      <c r="GT111" s="3"/>
      <c r="GU111" s="3"/>
      <c r="GV111" s="3"/>
      <c r="GW111" s="3"/>
      <c r="GX111" s="3"/>
      <c r="GY111" s="3"/>
      <c r="GZ111" s="3"/>
      <c r="HA111" s="3"/>
      <c r="HB111" s="3"/>
      <c r="HC111" s="3"/>
      <c r="HD111" s="3"/>
      <c r="HE111" s="3"/>
      <c r="HF111" s="3"/>
    </row>
    <row r="112" spans="1:214" x14ac:dyDescent="0.25">
      <c r="C112">
        <f>COUNTA(AW1:AW95)</f>
        <v>1</v>
      </c>
      <c r="D112">
        <f t="shared" si="1"/>
        <v>101</v>
      </c>
      <c r="E112">
        <f>SUM(AX3:AX95)</f>
        <v>50</v>
      </c>
      <c r="F112">
        <f>SUM(AY3:AY95)</f>
        <v>51</v>
      </c>
      <c r="H112">
        <f t="shared" si="2"/>
        <v>51</v>
      </c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  <c r="CK112" s="3"/>
      <c r="CL112" s="3"/>
      <c r="CM112" s="3"/>
      <c r="CN112" s="3"/>
      <c r="CO112" s="3"/>
      <c r="CP112" s="3"/>
      <c r="CQ112" s="3"/>
      <c r="CR112" s="3"/>
      <c r="CS112" s="3"/>
      <c r="CT112" s="3"/>
      <c r="CU112" s="3"/>
      <c r="CV112" s="3"/>
      <c r="CW112" s="3"/>
      <c r="CX112" s="3"/>
      <c r="CY112" s="3"/>
      <c r="CZ112" s="3"/>
      <c r="DA112" s="3"/>
      <c r="DB112" s="3"/>
      <c r="DC112" s="3"/>
      <c r="DD112" s="3"/>
      <c r="DE112" s="3"/>
      <c r="DF112" s="3"/>
      <c r="DG112" s="3"/>
      <c r="DH112" s="3"/>
      <c r="DI112" s="3"/>
      <c r="DJ112" s="3"/>
      <c r="DK112" s="3"/>
      <c r="DL112" s="3"/>
      <c r="DM112" s="3"/>
      <c r="DN112" s="3"/>
      <c r="DO112" s="3"/>
      <c r="DP112" s="3"/>
      <c r="DQ112" s="3"/>
      <c r="DR112" s="3"/>
      <c r="DS112" s="3"/>
      <c r="DT112" s="3"/>
      <c r="DU112" s="3"/>
      <c r="DV112" s="3"/>
      <c r="DW112" s="3"/>
      <c r="DX112" s="3"/>
      <c r="DY112" s="3"/>
      <c r="DZ112" s="3"/>
      <c r="EA112" s="3"/>
      <c r="EB112" s="3"/>
      <c r="EC112" s="3"/>
      <c r="ED112" s="3"/>
      <c r="EE112" s="3"/>
      <c r="EF112" s="3"/>
      <c r="EG112" s="3"/>
      <c r="EH112" s="3"/>
      <c r="EI112" s="3"/>
      <c r="EJ112" s="3"/>
      <c r="EK112" s="3"/>
      <c r="EL112" s="3"/>
      <c r="EM112" s="3"/>
      <c r="EN112" s="3"/>
      <c r="EO112" s="3"/>
      <c r="EP112" s="3"/>
      <c r="EQ112" s="3"/>
      <c r="ER112" s="3"/>
      <c r="ES112" s="3"/>
      <c r="ET112" s="3"/>
      <c r="EU112" s="3"/>
      <c r="EV112" s="3"/>
      <c r="EW112" s="3"/>
      <c r="EX112" s="3"/>
      <c r="EY112" s="3"/>
      <c r="EZ112" s="3"/>
      <c r="FA112" s="3"/>
      <c r="FB112" s="3"/>
      <c r="FC112" s="3"/>
      <c r="FD112" s="3"/>
      <c r="FE112" s="3"/>
      <c r="FF112" s="3"/>
      <c r="FG112" s="3"/>
      <c r="FH112" s="3"/>
      <c r="FI112" s="3"/>
      <c r="FJ112" s="3"/>
      <c r="FK112" s="3"/>
      <c r="FL112" s="3"/>
      <c r="FM112" s="3"/>
      <c r="FN112" s="3"/>
      <c r="FO112" s="3"/>
      <c r="FP112" s="3"/>
      <c r="FQ112" s="3"/>
      <c r="FR112" s="3"/>
      <c r="FS112" s="3"/>
      <c r="FT112" s="3"/>
      <c r="FU112" s="3"/>
      <c r="FV112" s="3"/>
      <c r="FW112" s="3"/>
      <c r="FX112" s="3"/>
      <c r="FY112" s="3"/>
      <c r="FZ112" s="3"/>
      <c r="GA112" s="3"/>
      <c r="GB112" s="3"/>
      <c r="GC112" s="3"/>
      <c r="GD112" s="3"/>
      <c r="GE112" s="3"/>
      <c r="GF112" s="3"/>
      <c r="GG112" s="3"/>
      <c r="GH112" s="3"/>
      <c r="GI112" s="3"/>
      <c r="GJ112" s="3"/>
      <c r="GK112" s="3"/>
      <c r="GL112" s="3"/>
      <c r="GM112" s="3"/>
      <c r="GN112" s="3"/>
      <c r="GO112" s="3"/>
      <c r="GP112" s="3"/>
      <c r="GQ112" s="3"/>
      <c r="GR112" s="3"/>
      <c r="GS112" s="3"/>
      <c r="GT112" s="3"/>
      <c r="GU112" s="3"/>
      <c r="GV112" s="3"/>
      <c r="GW112" s="3"/>
      <c r="GX112" s="3"/>
      <c r="GY112" s="3"/>
      <c r="GZ112" s="3"/>
      <c r="HA112" s="3"/>
      <c r="HB112" s="3"/>
      <c r="HC112" s="3"/>
      <c r="HD112" s="3"/>
      <c r="HE112" s="3"/>
      <c r="HF112" s="3"/>
    </row>
    <row r="113" spans="3:214" x14ac:dyDescent="0.25">
      <c r="C113">
        <f>COUNTA(BA1:BA95)</f>
        <v>1</v>
      </c>
      <c r="D113">
        <f t="shared" si="1"/>
        <v>109</v>
      </c>
      <c r="E113">
        <f>SUM(BB3:BB95)</f>
        <v>54</v>
      </c>
      <c r="F113">
        <f>SUM(BC3:BC95)</f>
        <v>55</v>
      </c>
      <c r="H113">
        <f t="shared" si="2"/>
        <v>55</v>
      </c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  <c r="CK113" s="3"/>
      <c r="CL113" s="3"/>
      <c r="CM113" s="3"/>
      <c r="CN113" s="3"/>
      <c r="CO113" s="3"/>
      <c r="CP113" s="3"/>
      <c r="CQ113" s="3"/>
      <c r="CR113" s="3"/>
      <c r="CS113" s="3"/>
      <c r="CT113" s="3"/>
      <c r="CU113" s="3"/>
      <c r="CV113" s="3"/>
      <c r="CW113" s="3"/>
      <c r="CX113" s="3"/>
      <c r="CY113" s="3"/>
      <c r="CZ113" s="3"/>
      <c r="DA113" s="3"/>
      <c r="DB113" s="3"/>
      <c r="DC113" s="3"/>
      <c r="DD113" s="3"/>
      <c r="DE113" s="3"/>
      <c r="DF113" s="3"/>
      <c r="DG113" s="3"/>
      <c r="DH113" s="3"/>
      <c r="DI113" s="3"/>
      <c r="DJ113" s="3"/>
      <c r="DK113" s="3"/>
      <c r="DL113" s="3"/>
      <c r="DM113" s="3"/>
      <c r="DN113" s="3"/>
      <c r="DO113" s="3"/>
      <c r="DP113" s="3"/>
      <c r="DQ113" s="3"/>
      <c r="DR113" s="3"/>
      <c r="DS113" s="3"/>
      <c r="DT113" s="3"/>
      <c r="DU113" s="3"/>
      <c r="DV113" s="3"/>
      <c r="DW113" s="3"/>
      <c r="DX113" s="3"/>
      <c r="DY113" s="3"/>
      <c r="DZ113" s="3"/>
      <c r="EA113" s="3"/>
      <c r="EB113" s="3"/>
      <c r="EC113" s="3"/>
      <c r="ED113" s="3"/>
      <c r="EE113" s="3"/>
      <c r="EF113" s="3"/>
      <c r="EG113" s="3"/>
      <c r="EH113" s="3"/>
      <c r="EI113" s="3"/>
      <c r="EJ113" s="3"/>
      <c r="EK113" s="3"/>
      <c r="EL113" s="3"/>
      <c r="EM113" s="3"/>
      <c r="EN113" s="3"/>
      <c r="EO113" s="3"/>
      <c r="EP113" s="3"/>
      <c r="EQ113" s="3"/>
      <c r="ER113" s="3"/>
      <c r="ES113" s="3"/>
      <c r="ET113" s="3"/>
      <c r="EU113" s="3"/>
      <c r="EV113" s="3"/>
      <c r="EW113" s="3"/>
      <c r="EX113" s="3"/>
      <c r="EY113" s="3"/>
      <c r="EZ113" s="3"/>
      <c r="FA113" s="3"/>
      <c r="FB113" s="3"/>
      <c r="FC113" s="3"/>
      <c r="FD113" s="3"/>
      <c r="FE113" s="3"/>
      <c r="FF113" s="3"/>
      <c r="FG113" s="3"/>
      <c r="FH113" s="3"/>
      <c r="FI113" s="3"/>
      <c r="FJ113" s="3"/>
      <c r="FK113" s="3"/>
      <c r="FL113" s="3"/>
      <c r="FM113" s="3"/>
      <c r="FN113" s="3"/>
      <c r="FO113" s="3"/>
      <c r="FP113" s="3"/>
      <c r="FQ113" s="3"/>
      <c r="FR113" s="3"/>
      <c r="FS113" s="3"/>
      <c r="FT113" s="3"/>
      <c r="FU113" s="3"/>
      <c r="FV113" s="3"/>
      <c r="FW113" s="3"/>
      <c r="FX113" s="3"/>
      <c r="FY113" s="3"/>
      <c r="FZ113" s="3"/>
      <c r="GA113" s="3"/>
      <c r="GB113" s="3"/>
      <c r="GC113" s="3"/>
      <c r="GD113" s="3"/>
      <c r="GE113" s="3"/>
      <c r="GF113" s="3"/>
      <c r="GG113" s="3"/>
      <c r="GH113" s="3"/>
      <c r="GI113" s="3"/>
      <c r="GJ113" s="3"/>
      <c r="GK113" s="3"/>
      <c r="GL113" s="3"/>
      <c r="GM113" s="3"/>
      <c r="GN113" s="3"/>
      <c r="GO113" s="3"/>
      <c r="GP113" s="3"/>
      <c r="GQ113" s="3"/>
      <c r="GR113" s="3"/>
      <c r="GS113" s="3"/>
      <c r="GT113" s="3"/>
      <c r="GU113" s="3"/>
      <c r="GV113" s="3"/>
      <c r="GW113" s="3"/>
      <c r="GX113" s="3"/>
      <c r="GY113" s="3"/>
      <c r="GZ113" s="3"/>
      <c r="HA113" s="3"/>
      <c r="HB113" s="3"/>
      <c r="HC113" s="3"/>
      <c r="HD113" s="3"/>
      <c r="HE113" s="3"/>
      <c r="HF113" s="3"/>
    </row>
    <row r="114" spans="3:214" x14ac:dyDescent="0.25">
      <c r="C114">
        <f>COUNTA(BE1:BE95)</f>
        <v>1</v>
      </c>
      <c r="D114">
        <f t="shared" si="1"/>
        <v>117</v>
      </c>
      <c r="E114">
        <f>SUM(BF3:BF95)</f>
        <v>58</v>
      </c>
      <c r="F114">
        <f>SUM(BG3:BG95)</f>
        <v>59</v>
      </c>
      <c r="H114">
        <f t="shared" si="2"/>
        <v>59</v>
      </c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  <c r="CK114" s="3"/>
      <c r="CL114" s="3"/>
      <c r="CM114" s="3"/>
      <c r="CN114" s="3"/>
      <c r="CO114" s="3"/>
      <c r="CP114" s="3"/>
      <c r="CQ114" s="3"/>
      <c r="CR114" s="3"/>
      <c r="CS114" s="3"/>
      <c r="CT114" s="3"/>
      <c r="CU114" s="3"/>
      <c r="CV114" s="3"/>
      <c r="CW114" s="3"/>
      <c r="CX114" s="3"/>
      <c r="CY114" s="3"/>
      <c r="CZ114" s="3"/>
      <c r="DA114" s="3"/>
      <c r="DB114" s="3"/>
      <c r="DC114" s="3"/>
      <c r="DD114" s="3"/>
      <c r="DE114" s="3"/>
      <c r="DF114" s="3"/>
      <c r="DG114" s="3"/>
      <c r="DH114" s="3"/>
      <c r="DI114" s="3"/>
      <c r="DJ114" s="3"/>
      <c r="DK114" s="3"/>
      <c r="DL114" s="3"/>
      <c r="DM114" s="3"/>
      <c r="DN114" s="3"/>
      <c r="DO114" s="3"/>
      <c r="DP114" s="3"/>
      <c r="DQ114" s="3"/>
      <c r="DR114" s="3"/>
      <c r="DS114" s="3"/>
      <c r="DT114" s="3"/>
      <c r="DU114" s="3"/>
      <c r="DV114" s="3"/>
      <c r="DW114" s="3"/>
      <c r="DX114" s="3"/>
      <c r="DY114" s="3"/>
      <c r="DZ114" s="3"/>
      <c r="EA114" s="3"/>
      <c r="EB114" s="3"/>
      <c r="EC114" s="3"/>
      <c r="ED114" s="3"/>
      <c r="EE114" s="3"/>
      <c r="EF114" s="3"/>
      <c r="EG114" s="3"/>
      <c r="EH114" s="3"/>
      <c r="EI114" s="3"/>
      <c r="EJ114" s="3"/>
      <c r="EK114" s="3"/>
      <c r="EL114" s="3"/>
      <c r="EM114" s="3"/>
      <c r="EN114" s="3"/>
      <c r="EO114" s="3"/>
      <c r="EP114" s="3"/>
      <c r="EQ114" s="3"/>
      <c r="ER114" s="3"/>
      <c r="ES114" s="3"/>
      <c r="ET114" s="3"/>
      <c r="EU114" s="3"/>
      <c r="EV114" s="3"/>
      <c r="EW114" s="3"/>
      <c r="EX114" s="3"/>
      <c r="EY114" s="3"/>
      <c r="EZ114" s="3"/>
      <c r="FA114" s="3"/>
      <c r="FB114" s="3"/>
      <c r="FC114" s="3"/>
      <c r="FD114" s="3"/>
      <c r="FE114" s="3"/>
      <c r="FF114" s="3"/>
      <c r="FG114" s="3"/>
      <c r="FH114" s="3"/>
      <c r="FI114" s="3"/>
      <c r="FJ114" s="3"/>
      <c r="FK114" s="3"/>
      <c r="FL114" s="3"/>
      <c r="FM114" s="3"/>
      <c r="FN114" s="3"/>
      <c r="FO114" s="3"/>
      <c r="FP114" s="3"/>
      <c r="FQ114" s="3"/>
      <c r="FR114" s="3"/>
      <c r="FS114" s="3"/>
      <c r="FT114" s="3"/>
      <c r="FU114" s="3"/>
      <c r="FV114" s="3"/>
      <c r="FW114" s="3"/>
      <c r="FX114" s="3"/>
      <c r="FY114" s="3"/>
      <c r="FZ114" s="3"/>
      <c r="GA114" s="3"/>
      <c r="GB114" s="3"/>
      <c r="GC114" s="3"/>
      <c r="GD114" s="3"/>
      <c r="GE114" s="3"/>
      <c r="GF114" s="3"/>
      <c r="GG114" s="3"/>
      <c r="GH114" s="3"/>
      <c r="GI114" s="3"/>
      <c r="GJ114" s="3"/>
      <c r="GK114" s="3"/>
      <c r="GL114" s="3"/>
      <c r="GM114" s="3"/>
      <c r="GN114" s="3"/>
      <c r="GO114" s="3"/>
      <c r="GP114" s="3"/>
      <c r="GQ114" s="3"/>
      <c r="GR114" s="3"/>
      <c r="GS114" s="3"/>
      <c r="GT114" s="3"/>
      <c r="GU114" s="3"/>
      <c r="GV114" s="3"/>
      <c r="GW114" s="3"/>
      <c r="GX114" s="3"/>
      <c r="GY114" s="3"/>
      <c r="GZ114" s="3"/>
      <c r="HA114" s="3"/>
      <c r="HB114" s="3"/>
      <c r="HC114" s="3"/>
      <c r="HD114" s="3"/>
      <c r="HE114" s="3"/>
      <c r="HF114" s="3"/>
    </row>
    <row r="115" spans="3:214" x14ac:dyDescent="0.25">
      <c r="C115">
        <f>COUNTA(BI1:BI95)</f>
        <v>1</v>
      </c>
      <c r="D115">
        <f t="shared" si="1"/>
        <v>125</v>
      </c>
      <c r="E115">
        <f>SUM(BJ3:BJ95)</f>
        <v>62</v>
      </c>
      <c r="F115">
        <f>SUM(BK3:BK95)</f>
        <v>63</v>
      </c>
      <c r="H115">
        <f t="shared" si="2"/>
        <v>63</v>
      </c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  <c r="CK115" s="3"/>
      <c r="CL115" s="3"/>
      <c r="CM115" s="3"/>
      <c r="CN115" s="3"/>
      <c r="CO115" s="3"/>
      <c r="CP115" s="3"/>
      <c r="CQ115" s="3"/>
      <c r="CR115" s="3"/>
      <c r="CS115" s="3"/>
      <c r="CT115" s="3"/>
      <c r="CU115" s="3"/>
      <c r="CV115" s="3"/>
      <c r="CW115" s="3"/>
      <c r="CX115" s="3"/>
      <c r="CY115" s="3"/>
      <c r="CZ115" s="3"/>
      <c r="DA115" s="3"/>
      <c r="DB115" s="3"/>
      <c r="DC115" s="3"/>
      <c r="DD115" s="3"/>
      <c r="DE115" s="3"/>
      <c r="DF115" s="3"/>
      <c r="DG115" s="3"/>
      <c r="DH115" s="3"/>
      <c r="DI115" s="3"/>
      <c r="DJ115" s="3"/>
      <c r="DK115" s="3"/>
      <c r="DL115" s="3"/>
      <c r="DM115" s="3"/>
      <c r="DN115" s="3"/>
      <c r="DO115" s="3"/>
      <c r="DP115" s="3"/>
      <c r="DQ115" s="3"/>
      <c r="DR115" s="3"/>
      <c r="DS115" s="3"/>
      <c r="DT115" s="3"/>
      <c r="DU115" s="3"/>
      <c r="DV115" s="3"/>
      <c r="DW115" s="3"/>
      <c r="DX115" s="3"/>
      <c r="DY115" s="3"/>
      <c r="DZ115" s="3"/>
      <c r="EA115" s="3"/>
      <c r="EB115" s="3"/>
      <c r="EC115" s="3"/>
      <c r="ED115" s="3"/>
      <c r="EE115" s="3"/>
      <c r="EF115" s="3"/>
      <c r="EG115" s="3"/>
      <c r="EH115" s="3"/>
      <c r="EI115" s="3"/>
      <c r="EJ115" s="3"/>
      <c r="EK115" s="3"/>
      <c r="EL115" s="3"/>
      <c r="EM115" s="3"/>
      <c r="EN115" s="3"/>
      <c r="EO115" s="3"/>
      <c r="EP115" s="3"/>
      <c r="EQ115" s="3"/>
      <c r="ER115" s="3"/>
      <c r="ES115" s="3"/>
      <c r="ET115" s="3"/>
      <c r="EU115" s="3"/>
      <c r="EV115" s="3"/>
      <c r="EW115" s="3"/>
      <c r="EX115" s="3"/>
      <c r="EY115" s="3"/>
      <c r="EZ115" s="3"/>
      <c r="FA115" s="3"/>
      <c r="FB115" s="3"/>
      <c r="FC115" s="3"/>
      <c r="FD115" s="3"/>
      <c r="FE115" s="3"/>
      <c r="FF115" s="3"/>
      <c r="FG115" s="3"/>
      <c r="FH115" s="3"/>
      <c r="FI115" s="3"/>
      <c r="FJ115" s="3"/>
      <c r="FK115" s="3"/>
      <c r="FL115" s="3"/>
      <c r="FM115" s="3"/>
      <c r="FN115" s="3"/>
      <c r="FO115" s="3"/>
      <c r="FP115" s="3"/>
      <c r="FQ115" s="3"/>
      <c r="FR115" s="3"/>
      <c r="FS115" s="3"/>
      <c r="FT115" s="3"/>
      <c r="FU115" s="3"/>
      <c r="FV115" s="3"/>
      <c r="FW115" s="3"/>
      <c r="FX115" s="3"/>
      <c r="FY115" s="3"/>
      <c r="FZ115" s="3"/>
      <c r="GA115" s="3"/>
      <c r="GB115" s="3"/>
      <c r="GC115" s="3"/>
      <c r="GD115" s="3"/>
      <c r="GE115" s="3"/>
      <c r="GF115" s="3"/>
      <c r="GG115" s="3"/>
      <c r="GH115" s="3"/>
      <c r="GI115" s="3"/>
      <c r="GJ115" s="3"/>
      <c r="GK115" s="3"/>
      <c r="GL115" s="3"/>
      <c r="GM115" s="3"/>
      <c r="GN115" s="3"/>
      <c r="GO115" s="3"/>
      <c r="GP115" s="3"/>
      <c r="GQ115" s="3"/>
      <c r="GR115" s="3"/>
      <c r="GS115" s="3"/>
      <c r="GT115" s="3"/>
      <c r="GU115" s="3"/>
      <c r="GV115" s="3"/>
      <c r="GW115" s="3"/>
      <c r="GX115" s="3"/>
      <c r="GY115" s="3"/>
      <c r="GZ115" s="3"/>
      <c r="HA115" s="3"/>
      <c r="HB115" s="3"/>
      <c r="HC115" s="3"/>
      <c r="HD115" s="3"/>
      <c r="HE115" s="3"/>
      <c r="HF115" s="3"/>
    </row>
    <row r="116" spans="3:214" x14ac:dyDescent="0.25">
      <c r="C116">
        <f>COUNTA(BM1:BM95)</f>
        <v>1</v>
      </c>
      <c r="D116">
        <f t="shared" si="1"/>
        <v>133</v>
      </c>
      <c r="E116">
        <f>SUM(BN3:BN95)</f>
        <v>66</v>
      </c>
      <c r="F116">
        <f>SUM(BO3:BO95)</f>
        <v>67</v>
      </c>
      <c r="H116">
        <f t="shared" si="2"/>
        <v>67</v>
      </c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  <c r="CK116" s="3"/>
      <c r="CL116" s="3"/>
      <c r="CM116" s="3"/>
      <c r="CN116" s="3"/>
      <c r="CO116" s="3"/>
      <c r="CP116" s="3"/>
      <c r="CQ116" s="3"/>
      <c r="CR116" s="3"/>
      <c r="CS116" s="3"/>
      <c r="CT116" s="3"/>
      <c r="CU116" s="3"/>
      <c r="CV116" s="3"/>
      <c r="CW116" s="3"/>
      <c r="CX116" s="3"/>
      <c r="CY116" s="3"/>
      <c r="CZ116" s="3"/>
      <c r="DA116" s="3"/>
      <c r="DB116" s="3"/>
      <c r="DC116" s="3"/>
      <c r="DD116" s="3"/>
      <c r="DE116" s="3"/>
      <c r="DF116" s="3"/>
      <c r="DG116" s="3"/>
      <c r="DH116" s="3"/>
      <c r="DI116" s="3"/>
      <c r="DJ116" s="3"/>
      <c r="DK116" s="3"/>
      <c r="DL116" s="3"/>
      <c r="DM116" s="3"/>
      <c r="DN116" s="3"/>
      <c r="DO116" s="3"/>
      <c r="DP116" s="3"/>
      <c r="DQ116" s="3"/>
      <c r="DR116" s="3"/>
      <c r="DS116" s="3"/>
      <c r="DT116" s="3"/>
      <c r="DU116" s="3"/>
      <c r="DV116" s="3"/>
      <c r="DW116" s="3"/>
      <c r="DX116" s="3"/>
      <c r="DY116" s="3"/>
      <c r="DZ116" s="3"/>
      <c r="EA116" s="3"/>
      <c r="EB116" s="3"/>
      <c r="EC116" s="3"/>
      <c r="ED116" s="3"/>
      <c r="EE116" s="3"/>
      <c r="EF116" s="3"/>
      <c r="EG116" s="3"/>
      <c r="EH116" s="3"/>
      <c r="EI116" s="3"/>
      <c r="EJ116" s="3"/>
      <c r="EK116" s="3"/>
      <c r="EL116" s="3"/>
      <c r="EM116" s="3"/>
      <c r="EN116" s="3"/>
      <c r="EO116" s="3"/>
      <c r="EP116" s="3"/>
      <c r="EQ116" s="3"/>
      <c r="ER116" s="3"/>
      <c r="ES116" s="3"/>
      <c r="ET116" s="3"/>
      <c r="EU116" s="3"/>
      <c r="EV116" s="3"/>
      <c r="EW116" s="3"/>
      <c r="EX116" s="3"/>
      <c r="EY116" s="3"/>
      <c r="EZ116" s="3"/>
      <c r="FA116" s="3"/>
      <c r="FB116" s="3"/>
      <c r="FC116" s="3"/>
      <c r="FD116" s="3"/>
      <c r="FE116" s="3"/>
      <c r="FF116" s="3"/>
      <c r="FG116" s="3"/>
      <c r="FH116" s="3"/>
      <c r="FI116" s="3"/>
      <c r="FJ116" s="3"/>
      <c r="FK116" s="3"/>
      <c r="FL116" s="3"/>
      <c r="FM116" s="3"/>
      <c r="FN116" s="3"/>
      <c r="FO116" s="3"/>
      <c r="FP116" s="3"/>
      <c r="FQ116" s="3"/>
      <c r="FR116" s="3"/>
      <c r="FS116" s="3"/>
      <c r="FT116" s="3"/>
      <c r="FU116" s="3"/>
      <c r="FV116" s="3"/>
      <c r="FW116" s="3"/>
      <c r="FX116" s="3"/>
      <c r="FY116" s="3"/>
      <c r="FZ116" s="3"/>
      <c r="GA116" s="3"/>
      <c r="GB116" s="3"/>
      <c r="GC116" s="3"/>
      <c r="GD116" s="3"/>
      <c r="GE116" s="3"/>
      <c r="GF116" s="3"/>
      <c r="GG116" s="3"/>
      <c r="GH116" s="3"/>
      <c r="GI116" s="3"/>
      <c r="GJ116" s="3"/>
      <c r="GK116" s="3"/>
      <c r="GL116" s="3"/>
      <c r="GM116" s="3"/>
      <c r="GN116" s="3"/>
      <c r="GO116" s="3"/>
      <c r="GP116" s="3"/>
      <c r="GQ116" s="3"/>
      <c r="GR116" s="3"/>
      <c r="GS116" s="3"/>
      <c r="GT116" s="3"/>
      <c r="GU116" s="3"/>
      <c r="GV116" s="3"/>
      <c r="GW116" s="3"/>
      <c r="GX116" s="3"/>
      <c r="GY116" s="3"/>
      <c r="GZ116" s="3"/>
      <c r="HA116" s="3"/>
      <c r="HB116" s="3"/>
      <c r="HC116" s="3"/>
      <c r="HD116" s="3"/>
      <c r="HE116" s="3"/>
      <c r="HF116" s="3"/>
    </row>
    <row r="117" spans="3:214" x14ac:dyDescent="0.25">
      <c r="C117">
        <f>COUNTA(BQ1:BQ95)</f>
        <v>1</v>
      </c>
      <c r="D117">
        <f t="shared" si="1"/>
        <v>141</v>
      </c>
      <c r="E117">
        <f>SUM(BR3:BR95)</f>
        <v>70</v>
      </c>
      <c r="F117">
        <f>SUM(BS3:BS95)</f>
        <v>71</v>
      </c>
      <c r="H117">
        <f t="shared" si="2"/>
        <v>71</v>
      </c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FL117" s="3"/>
      <c r="FM117" s="3"/>
      <c r="FN117" s="3"/>
      <c r="FO117" s="3"/>
      <c r="FP117" s="3"/>
      <c r="FQ117" s="3"/>
      <c r="FR117" s="3"/>
      <c r="FS117" s="3"/>
      <c r="FT117" s="3"/>
      <c r="FU117" s="3"/>
      <c r="FV117" s="3"/>
      <c r="FW117" s="3"/>
      <c r="FX117" s="3"/>
      <c r="FY117" s="3"/>
      <c r="FZ117" s="3"/>
      <c r="GA117" s="3"/>
      <c r="GB117" s="3"/>
      <c r="GC117" s="3"/>
      <c r="GD117" s="3"/>
      <c r="GE117" s="3"/>
      <c r="GF117" s="3"/>
      <c r="GG117" s="3"/>
      <c r="GH117" s="3"/>
      <c r="GI117" s="3"/>
      <c r="GJ117" s="3"/>
      <c r="GK117" s="3"/>
      <c r="GL117" s="3"/>
      <c r="GM117" s="3"/>
      <c r="GN117" s="3"/>
      <c r="GO117" s="3"/>
      <c r="GP117" s="3"/>
      <c r="GQ117" s="3"/>
      <c r="GR117" s="3"/>
      <c r="GS117" s="3"/>
      <c r="GT117" s="3"/>
      <c r="GU117" s="3"/>
      <c r="GV117" s="3"/>
      <c r="GW117" s="3"/>
      <c r="GX117" s="3"/>
      <c r="GY117" s="3"/>
      <c r="GZ117" s="3"/>
      <c r="HA117" s="3"/>
      <c r="HB117" s="3"/>
      <c r="HC117" s="3"/>
      <c r="HD117" s="3"/>
      <c r="HE117" s="3"/>
      <c r="HF117" s="3"/>
    </row>
    <row r="118" spans="3:214" x14ac:dyDescent="0.25">
      <c r="C118">
        <f>COUNTA(BU1:BU95)</f>
        <v>1</v>
      </c>
      <c r="D118">
        <f t="shared" si="1"/>
        <v>149</v>
      </c>
      <c r="E118">
        <f>SUM(BV3:BV95)</f>
        <v>74</v>
      </c>
      <c r="F118">
        <f>SUM(BW3:BW95)</f>
        <v>75</v>
      </c>
      <c r="H118">
        <f t="shared" si="2"/>
        <v>75</v>
      </c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FL118" s="3"/>
      <c r="FM118" s="3"/>
      <c r="FN118" s="3"/>
      <c r="FO118" s="3"/>
      <c r="FP118" s="3"/>
      <c r="FQ118" s="3"/>
      <c r="FR118" s="3"/>
      <c r="FS118" s="3"/>
      <c r="FT118" s="3"/>
      <c r="FU118" s="3"/>
      <c r="FV118" s="3"/>
      <c r="FW118" s="3"/>
      <c r="FX118" s="3"/>
      <c r="FY118" s="3"/>
      <c r="FZ118" s="3"/>
      <c r="GA118" s="3"/>
      <c r="GB118" s="3"/>
      <c r="GC118" s="3"/>
      <c r="GD118" s="3"/>
      <c r="GE118" s="3"/>
      <c r="GF118" s="3"/>
      <c r="GG118" s="3"/>
      <c r="GH118" s="3"/>
      <c r="GI118" s="3"/>
      <c r="GJ118" s="3"/>
      <c r="GK118" s="3"/>
      <c r="GL118" s="3"/>
      <c r="GM118" s="3"/>
      <c r="GN118" s="3"/>
      <c r="GO118" s="3"/>
      <c r="GP118" s="3"/>
      <c r="GQ118" s="3"/>
      <c r="GR118" s="3"/>
      <c r="GS118" s="3"/>
      <c r="GT118" s="3"/>
      <c r="GU118" s="3"/>
      <c r="GV118" s="3"/>
      <c r="GW118" s="3"/>
      <c r="GX118" s="3"/>
      <c r="GY118" s="3"/>
      <c r="GZ118" s="3"/>
      <c r="HA118" s="3"/>
      <c r="HB118" s="3"/>
      <c r="HC118" s="3"/>
      <c r="HD118" s="3"/>
      <c r="HE118" s="3"/>
      <c r="HF118" s="3"/>
    </row>
    <row r="119" spans="3:214" x14ac:dyDescent="0.25">
      <c r="C119">
        <f>COUNTA(BY1:BY95)</f>
        <v>1</v>
      </c>
      <c r="D119">
        <f t="shared" si="1"/>
        <v>157</v>
      </c>
      <c r="E119">
        <f>SUM(BZ3:BZ95)</f>
        <v>78</v>
      </c>
      <c r="F119">
        <f>SUM(CA3:CA95)</f>
        <v>79</v>
      </c>
      <c r="H119">
        <f t="shared" si="2"/>
        <v>79</v>
      </c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FL119" s="3"/>
      <c r="FM119" s="3"/>
      <c r="FN119" s="3"/>
      <c r="FO119" s="3"/>
      <c r="FP119" s="3"/>
      <c r="FQ119" s="3"/>
      <c r="FR119" s="3"/>
      <c r="FS119" s="3"/>
      <c r="FT119" s="3"/>
      <c r="FU119" s="3"/>
      <c r="FV119" s="3"/>
      <c r="FW119" s="3"/>
      <c r="FX119" s="3"/>
      <c r="FY119" s="3"/>
      <c r="FZ119" s="3"/>
      <c r="GA119" s="3"/>
      <c r="GB119" s="3"/>
      <c r="GC119" s="3"/>
      <c r="GD119" s="3"/>
      <c r="GE119" s="3"/>
      <c r="GF119" s="3"/>
      <c r="GG119" s="3"/>
      <c r="GH119" s="3"/>
      <c r="GI119" s="3"/>
      <c r="GJ119" s="3"/>
      <c r="GK119" s="3"/>
      <c r="GL119" s="3"/>
      <c r="GM119" s="3"/>
      <c r="GN119" s="3"/>
      <c r="GO119" s="3"/>
      <c r="GP119" s="3"/>
      <c r="GQ119" s="3"/>
      <c r="GR119" s="3"/>
      <c r="GS119" s="3"/>
      <c r="GT119" s="3"/>
      <c r="GU119" s="3"/>
      <c r="GV119" s="3"/>
      <c r="GW119" s="3"/>
      <c r="GX119" s="3"/>
      <c r="GY119" s="3"/>
      <c r="GZ119" s="3"/>
      <c r="HA119" s="3"/>
      <c r="HB119" s="3"/>
      <c r="HC119" s="3"/>
      <c r="HD119" s="3"/>
      <c r="HE119" s="3"/>
      <c r="HF119" s="3"/>
    </row>
    <row r="120" spans="3:214" x14ac:dyDescent="0.25">
      <c r="C120">
        <f>COUNTA(CC1:CC95)</f>
        <v>1</v>
      </c>
      <c r="D120">
        <f t="shared" si="1"/>
        <v>165</v>
      </c>
      <c r="E120">
        <f>SUM(CD3:CD95)</f>
        <v>82</v>
      </c>
      <c r="F120">
        <f>SUM(CE3:CE95)</f>
        <v>83</v>
      </c>
      <c r="H120">
        <f t="shared" si="2"/>
        <v>83</v>
      </c>
      <c r="FL120" s="3"/>
      <c r="FM120" s="3"/>
      <c r="FN120" s="3"/>
      <c r="FO120" s="3"/>
      <c r="FP120" s="3"/>
      <c r="FQ120" s="3"/>
      <c r="FR120" s="3"/>
      <c r="FS120" s="3"/>
      <c r="FT120" s="3"/>
      <c r="FU120" s="3"/>
      <c r="FV120" s="3"/>
      <c r="FW120" s="3"/>
      <c r="FX120" s="3"/>
      <c r="FY120" s="3"/>
      <c r="FZ120" s="3"/>
      <c r="GA120" s="3"/>
      <c r="GB120" s="3"/>
      <c r="GC120" s="3"/>
      <c r="GD120" s="3"/>
      <c r="GE120" s="3"/>
      <c r="GF120" s="3"/>
      <c r="GG120" s="3"/>
      <c r="GH120" s="3"/>
      <c r="GI120" s="3"/>
      <c r="GJ120" s="3"/>
      <c r="GK120" s="3"/>
      <c r="GL120" s="3"/>
      <c r="GM120" s="3"/>
      <c r="GN120" s="3"/>
      <c r="GO120" s="3"/>
      <c r="GP120" s="3"/>
      <c r="GQ120" s="3"/>
      <c r="GR120" s="3"/>
      <c r="GS120" s="3"/>
      <c r="GT120" s="3"/>
      <c r="GU120" s="3"/>
      <c r="GV120" s="3"/>
      <c r="GW120" s="3"/>
      <c r="GX120" s="3"/>
      <c r="GY120" s="3"/>
      <c r="GZ120" s="3"/>
      <c r="HA120" s="3"/>
      <c r="HB120" s="3"/>
      <c r="HC120" s="3"/>
      <c r="HD120" s="3"/>
      <c r="HE120" s="3"/>
      <c r="HF120" s="3"/>
    </row>
    <row r="121" spans="3:214" x14ac:dyDescent="0.25">
      <c r="C121">
        <f>COUNTA(CG1:CG95)</f>
        <v>1</v>
      </c>
      <c r="D121">
        <f t="shared" si="1"/>
        <v>173</v>
      </c>
      <c r="E121">
        <f>SUM(CH3:CH95)</f>
        <v>86</v>
      </c>
      <c r="F121">
        <f>SUM(CI3:CI95)</f>
        <v>87</v>
      </c>
      <c r="H121">
        <f t="shared" si="2"/>
        <v>87</v>
      </c>
      <c r="FL121" s="3"/>
      <c r="FM121" s="3"/>
      <c r="FN121" s="3"/>
      <c r="FO121" s="3"/>
      <c r="FP121" s="3"/>
      <c r="FQ121" s="3"/>
      <c r="FR121" s="3"/>
      <c r="FS121" s="3"/>
      <c r="FT121" s="3"/>
      <c r="FU121" s="3"/>
      <c r="FV121" s="3"/>
      <c r="FW121" s="3"/>
      <c r="FX121" s="3"/>
      <c r="FY121" s="3"/>
      <c r="FZ121" s="3"/>
      <c r="GA121" s="3"/>
      <c r="GB121" s="3"/>
      <c r="GC121" s="3"/>
      <c r="GD121" s="3"/>
      <c r="GE121" s="3"/>
      <c r="GF121" s="3"/>
      <c r="GG121" s="3"/>
      <c r="GH121" s="3"/>
      <c r="GI121" s="3"/>
      <c r="GJ121" s="3"/>
      <c r="GK121" s="3"/>
      <c r="GL121" s="3"/>
      <c r="GM121" s="3"/>
      <c r="GN121" s="3"/>
      <c r="GO121" s="3"/>
      <c r="GP121" s="3"/>
      <c r="GQ121" s="3"/>
      <c r="GR121" s="3"/>
      <c r="GS121" s="3"/>
      <c r="GT121" s="3"/>
      <c r="GU121" s="3"/>
      <c r="GV121" s="3"/>
      <c r="GW121" s="3"/>
      <c r="GX121" s="3"/>
      <c r="GY121" s="3"/>
      <c r="GZ121" s="3"/>
      <c r="HA121" s="3"/>
      <c r="HB121" s="3"/>
      <c r="HC121" s="3"/>
      <c r="HD121" s="3"/>
      <c r="HE121" s="3"/>
      <c r="HF121" s="3"/>
    </row>
    <row r="122" spans="3:214" x14ac:dyDescent="0.25">
      <c r="C122">
        <f>COUNTA(CK1:CK95)</f>
        <v>1</v>
      </c>
      <c r="D122">
        <f t="shared" si="1"/>
        <v>181</v>
      </c>
      <c r="E122">
        <f>SUM(CL3:CL95)</f>
        <v>90</v>
      </c>
      <c r="F122">
        <f>SUM(CM3:CM95)</f>
        <v>91</v>
      </c>
      <c r="H122">
        <f t="shared" si="2"/>
        <v>91</v>
      </c>
      <c r="FL122" s="3"/>
      <c r="FM122" s="3"/>
      <c r="FN122" s="3"/>
      <c r="FO122" s="3"/>
      <c r="FP122" s="3"/>
      <c r="FQ122" s="3"/>
      <c r="FR122" s="3"/>
      <c r="FS122" s="3"/>
      <c r="FT122" s="3"/>
      <c r="FU122" s="3"/>
      <c r="FV122" s="3"/>
      <c r="FW122" s="3"/>
      <c r="FX122" s="3"/>
      <c r="FY122" s="3"/>
      <c r="FZ122" s="3"/>
      <c r="GA122" s="3"/>
      <c r="GB122" s="3"/>
      <c r="GC122" s="3"/>
      <c r="GD122" s="3"/>
      <c r="GE122" s="3"/>
      <c r="GF122" s="3"/>
      <c r="GG122" s="3"/>
      <c r="GH122" s="3"/>
      <c r="GI122" s="3"/>
      <c r="GJ122" s="3"/>
      <c r="GK122" s="3"/>
      <c r="GL122" s="3"/>
      <c r="GM122" s="3"/>
      <c r="GN122" s="3"/>
      <c r="GO122" s="3"/>
      <c r="GP122" s="3"/>
      <c r="GQ122" s="3"/>
      <c r="GR122" s="3"/>
      <c r="GS122" s="3"/>
      <c r="GT122" s="3"/>
      <c r="GU122" s="3"/>
      <c r="GV122" s="3"/>
      <c r="GW122" s="3"/>
      <c r="GX122" s="3"/>
      <c r="GY122" s="3"/>
      <c r="GZ122" s="3"/>
      <c r="HA122" s="3"/>
      <c r="HB122" s="3"/>
      <c r="HC122" s="3"/>
      <c r="HD122" s="3"/>
      <c r="HE122" s="3"/>
      <c r="HF122" s="3"/>
    </row>
    <row r="123" spans="3:214" x14ac:dyDescent="0.25">
      <c r="C123">
        <f>COUNTA(CO1:CO95)</f>
        <v>1</v>
      </c>
      <c r="D123">
        <f t="shared" si="1"/>
        <v>189</v>
      </c>
      <c r="E123">
        <f>SUM(CP3:CP95)</f>
        <v>94</v>
      </c>
      <c r="F123">
        <f>SUM(CQ3:CQ95)</f>
        <v>95</v>
      </c>
      <c r="H123">
        <f t="shared" si="2"/>
        <v>95</v>
      </c>
      <c r="FL123" s="3"/>
      <c r="FM123" s="3"/>
      <c r="FN123" s="3"/>
      <c r="FO123" s="3"/>
      <c r="FP123" s="3"/>
      <c r="FQ123" s="3"/>
      <c r="FR123" s="3"/>
      <c r="FS123" s="3"/>
      <c r="FT123" s="3"/>
      <c r="FU123" s="3"/>
      <c r="FV123" s="3"/>
      <c r="FW123" s="3"/>
      <c r="FX123" s="3"/>
      <c r="FY123" s="3"/>
      <c r="FZ123" s="3"/>
      <c r="GA123" s="3"/>
      <c r="GB123" s="3"/>
      <c r="GC123" s="3"/>
      <c r="GD123" s="3"/>
      <c r="GE123" s="3"/>
      <c r="GF123" s="3"/>
      <c r="GG123" s="3"/>
      <c r="GH123" s="3"/>
      <c r="GI123" s="3"/>
      <c r="GJ123" s="3"/>
      <c r="GK123" s="3"/>
      <c r="GL123" s="3"/>
      <c r="GM123" s="3"/>
      <c r="GN123" s="3"/>
      <c r="GO123" s="3"/>
      <c r="GP123" s="3"/>
      <c r="GQ123" s="3"/>
      <c r="GR123" s="3"/>
      <c r="GS123" s="3"/>
      <c r="GT123" s="3"/>
      <c r="GU123" s="3"/>
      <c r="GV123" s="3"/>
      <c r="GW123" s="3"/>
      <c r="GX123" s="3"/>
      <c r="GY123" s="3"/>
      <c r="GZ123" s="3"/>
      <c r="HA123" s="3"/>
      <c r="HB123" s="3"/>
      <c r="HC123" s="3"/>
      <c r="HD123" s="3"/>
      <c r="HE123" s="3"/>
      <c r="HF123" s="3"/>
    </row>
    <row r="124" spans="3:214" x14ac:dyDescent="0.25">
      <c r="C124">
        <f>COUNTA(CS1:CS95)</f>
        <v>1</v>
      </c>
      <c r="D124">
        <f t="shared" si="1"/>
        <v>197</v>
      </c>
      <c r="E124">
        <f>SUM(CT3:CT95)</f>
        <v>98</v>
      </c>
      <c r="F124">
        <f>SUM(CU3:CU95)</f>
        <v>99</v>
      </c>
      <c r="H124">
        <f t="shared" si="2"/>
        <v>99</v>
      </c>
      <c r="FL124" s="3"/>
      <c r="FM124" s="3"/>
      <c r="FN124" s="3"/>
      <c r="FO124" s="3"/>
      <c r="FP124" s="3"/>
      <c r="FQ124" s="3"/>
      <c r="FR124" s="3"/>
      <c r="FS124" s="3"/>
      <c r="FT124" s="3"/>
      <c r="FU124" s="3"/>
      <c r="FV124" s="3"/>
      <c r="FW124" s="3"/>
      <c r="FX124" s="3"/>
      <c r="FY124" s="3"/>
      <c r="FZ124" s="3"/>
      <c r="GA124" s="3"/>
      <c r="GB124" s="3"/>
      <c r="GC124" s="3"/>
      <c r="GD124" s="3"/>
      <c r="GE124" s="3"/>
      <c r="GF124" s="3"/>
      <c r="GG124" s="3"/>
      <c r="GH124" s="3"/>
      <c r="GI124" s="3"/>
      <c r="GJ124" s="3"/>
      <c r="GK124" s="3"/>
      <c r="GL124" s="3"/>
      <c r="GM124" s="3"/>
      <c r="GN124" s="3"/>
      <c r="GO124" s="3"/>
      <c r="GP124" s="3"/>
      <c r="GQ124" s="3"/>
      <c r="GR124" s="3"/>
      <c r="GS124" s="3"/>
      <c r="GT124" s="3"/>
      <c r="GU124" s="3"/>
      <c r="GV124" s="3"/>
      <c r="GW124" s="3"/>
      <c r="GX124" s="3"/>
      <c r="GY124" s="3"/>
      <c r="GZ124" s="3"/>
      <c r="HA124" s="3"/>
      <c r="HB124" s="3"/>
      <c r="HC124" s="3"/>
      <c r="HD124" s="3"/>
      <c r="HE124" s="3"/>
      <c r="HF124" s="3"/>
    </row>
    <row r="125" spans="3:214" x14ac:dyDescent="0.25">
      <c r="C125">
        <f>COUNTA(CW1:CW95)</f>
        <v>1</v>
      </c>
      <c r="D125">
        <f t="shared" si="1"/>
        <v>205</v>
      </c>
      <c r="E125">
        <f>SUM(CX3:CX95)</f>
        <v>102</v>
      </c>
      <c r="F125">
        <f>SUM(CY3:CY95)</f>
        <v>103</v>
      </c>
      <c r="H125">
        <f t="shared" si="2"/>
        <v>103</v>
      </c>
      <c r="FL125" s="3"/>
      <c r="FM125" s="3"/>
      <c r="FN125" s="3"/>
      <c r="FO125" s="3"/>
      <c r="FP125" s="3"/>
      <c r="FQ125" s="3"/>
      <c r="FR125" s="3"/>
      <c r="FS125" s="3"/>
      <c r="FT125" s="3"/>
      <c r="FU125" s="3"/>
      <c r="FV125" s="3"/>
      <c r="FW125" s="3"/>
      <c r="FX125" s="3"/>
      <c r="FY125" s="3"/>
      <c r="FZ125" s="3"/>
      <c r="GA125" s="3"/>
      <c r="GB125" s="3"/>
      <c r="GC125" s="3"/>
      <c r="GD125" s="3"/>
      <c r="GE125" s="3"/>
      <c r="GF125" s="3"/>
      <c r="GG125" s="3"/>
      <c r="GH125" s="3"/>
      <c r="GI125" s="3"/>
      <c r="GJ125" s="3"/>
      <c r="GK125" s="3"/>
      <c r="GL125" s="3"/>
      <c r="GM125" s="3"/>
      <c r="GN125" s="3"/>
      <c r="GO125" s="3"/>
      <c r="GP125" s="3"/>
      <c r="GQ125" s="3"/>
      <c r="GR125" s="3"/>
      <c r="GS125" s="3"/>
      <c r="GT125" s="3"/>
      <c r="GU125" s="3"/>
      <c r="GV125" s="3"/>
      <c r="GW125" s="3"/>
      <c r="GX125" s="3"/>
      <c r="GY125" s="3"/>
      <c r="GZ125" s="3"/>
      <c r="HA125" s="3"/>
      <c r="HB125" s="3"/>
      <c r="HC125" s="3"/>
      <c r="HD125" s="3"/>
      <c r="HE125" s="3"/>
      <c r="HF125" s="3"/>
    </row>
    <row r="126" spans="3:214" x14ac:dyDescent="0.25">
      <c r="C126">
        <f>COUNTA(DA1:DA95)</f>
        <v>1</v>
      </c>
      <c r="D126">
        <f t="shared" si="1"/>
        <v>213</v>
      </c>
      <c r="E126">
        <f>SUM(DB3:DB95)</f>
        <v>106</v>
      </c>
      <c r="F126">
        <f>SUM(DC3:DC95)</f>
        <v>107</v>
      </c>
      <c r="H126">
        <f t="shared" si="2"/>
        <v>107</v>
      </c>
      <c r="FL126" s="3"/>
      <c r="FM126" s="3"/>
      <c r="FN126" s="3"/>
      <c r="FO126" s="3"/>
      <c r="FP126" s="3"/>
      <c r="FQ126" s="3"/>
      <c r="FR126" s="3"/>
      <c r="FS126" s="3"/>
      <c r="FT126" s="3"/>
      <c r="FU126" s="3"/>
      <c r="FV126" s="3"/>
      <c r="FW126" s="3"/>
      <c r="FX126" s="3"/>
      <c r="FY126" s="3"/>
      <c r="FZ126" s="3"/>
      <c r="GA126" s="3"/>
      <c r="GB126" s="3"/>
      <c r="GC126" s="3"/>
      <c r="GD126" s="3"/>
      <c r="GE126" s="3"/>
      <c r="GF126" s="3"/>
      <c r="GG126" s="3"/>
      <c r="GH126" s="3"/>
      <c r="GI126" s="3"/>
      <c r="GJ126" s="3"/>
      <c r="GK126" s="3"/>
      <c r="GL126" s="3"/>
      <c r="GM126" s="3"/>
      <c r="GN126" s="3"/>
      <c r="GO126" s="3"/>
      <c r="GP126" s="3"/>
      <c r="GQ126" s="3"/>
      <c r="GR126" s="3"/>
      <c r="GS126" s="3"/>
      <c r="GT126" s="3"/>
      <c r="GU126" s="3"/>
      <c r="GV126" s="3"/>
      <c r="GW126" s="3"/>
      <c r="GX126" s="3"/>
      <c r="GY126" s="3"/>
      <c r="GZ126" s="3"/>
      <c r="HA126" s="3"/>
      <c r="HB126" s="3"/>
      <c r="HC126" s="3"/>
      <c r="HD126" s="3"/>
      <c r="HE126" s="3"/>
      <c r="HF126" s="3"/>
    </row>
    <row r="127" spans="3:214" x14ac:dyDescent="0.25">
      <c r="C127">
        <f>COUNTA(DE1:DE95)</f>
        <v>1</v>
      </c>
      <c r="D127">
        <f t="shared" si="1"/>
        <v>221</v>
      </c>
      <c r="E127">
        <f>SUM(DF3:DF95)</f>
        <v>110</v>
      </c>
      <c r="F127">
        <f>SUM(DG3:DG95)</f>
        <v>111</v>
      </c>
      <c r="H127">
        <f t="shared" si="2"/>
        <v>111</v>
      </c>
      <c r="FL127" s="3"/>
      <c r="FM127" s="3"/>
      <c r="FN127" s="3"/>
      <c r="FO127" s="3"/>
      <c r="FP127" s="3"/>
      <c r="FQ127" s="3"/>
      <c r="FR127" s="3"/>
      <c r="FS127" s="3"/>
      <c r="FT127" s="3"/>
      <c r="FU127" s="3"/>
      <c r="FV127" s="3"/>
      <c r="FW127" s="3"/>
      <c r="FX127" s="3"/>
      <c r="FY127" s="3"/>
      <c r="FZ127" s="3"/>
      <c r="GA127" s="3"/>
      <c r="GB127" s="3"/>
      <c r="GC127" s="3"/>
      <c r="GD127" s="3"/>
      <c r="GE127" s="3"/>
      <c r="GF127" s="3"/>
      <c r="GG127" s="3"/>
      <c r="GH127" s="3"/>
      <c r="GI127" s="3"/>
      <c r="GJ127" s="3"/>
      <c r="GK127" s="3"/>
      <c r="GL127" s="3"/>
      <c r="GM127" s="3"/>
      <c r="GN127" s="3"/>
      <c r="GO127" s="3"/>
      <c r="GP127" s="3"/>
      <c r="GQ127" s="3"/>
      <c r="GR127" s="3"/>
      <c r="GS127" s="3"/>
      <c r="GT127" s="3"/>
      <c r="GU127" s="3"/>
      <c r="GV127" s="3"/>
      <c r="GW127" s="3"/>
      <c r="GX127" s="3"/>
      <c r="GY127" s="3"/>
      <c r="GZ127" s="3"/>
      <c r="HA127" s="3"/>
      <c r="HB127" s="3"/>
      <c r="HC127" s="3"/>
      <c r="HD127" s="3"/>
      <c r="HE127" s="3"/>
      <c r="HF127" s="3"/>
    </row>
    <row r="128" spans="3:214" x14ac:dyDescent="0.25">
      <c r="C128">
        <f>COUNTA(DI1:DI95)</f>
        <v>1</v>
      </c>
      <c r="D128">
        <f t="shared" si="1"/>
        <v>229</v>
      </c>
      <c r="E128">
        <f>SUM(DJ3:DJ95)</f>
        <v>114</v>
      </c>
      <c r="F128">
        <f>SUM(DK3:DK95)</f>
        <v>115</v>
      </c>
      <c r="H128">
        <f t="shared" si="2"/>
        <v>115</v>
      </c>
      <c r="FL128" s="3"/>
      <c r="FM128" s="3"/>
      <c r="FN128" s="3"/>
      <c r="FO128" s="3"/>
      <c r="FP128" s="3"/>
      <c r="FQ128" s="3"/>
      <c r="FR128" s="3"/>
      <c r="FS128" s="3"/>
      <c r="FT128" s="3"/>
      <c r="FU128" s="3"/>
      <c r="FV128" s="3"/>
      <c r="FW128" s="3"/>
      <c r="FX128" s="3"/>
      <c r="FY128" s="3"/>
      <c r="FZ128" s="3"/>
      <c r="GA128" s="3"/>
      <c r="GB128" s="3"/>
      <c r="GC128" s="3"/>
      <c r="GD128" s="3"/>
      <c r="GE128" s="3"/>
      <c r="GF128" s="3"/>
      <c r="GG128" s="3"/>
      <c r="GH128" s="3"/>
      <c r="GI128" s="3"/>
      <c r="GJ128" s="3"/>
      <c r="GK128" s="3"/>
      <c r="GL128" s="3"/>
      <c r="GM128" s="3"/>
      <c r="GN128" s="3"/>
      <c r="GO128" s="3"/>
      <c r="GP128" s="3"/>
      <c r="GQ128" s="3"/>
      <c r="GR128" s="3"/>
      <c r="GS128" s="3"/>
      <c r="GT128" s="3"/>
      <c r="GU128" s="3"/>
      <c r="GV128" s="3"/>
      <c r="GW128" s="3"/>
      <c r="GX128" s="3"/>
      <c r="GY128" s="3"/>
      <c r="GZ128" s="3"/>
      <c r="HA128" s="3"/>
      <c r="HB128" s="3"/>
      <c r="HC128" s="3"/>
      <c r="HD128" s="3"/>
      <c r="HE128" s="3"/>
      <c r="HF128" s="3"/>
    </row>
    <row r="129" spans="3:214" x14ac:dyDescent="0.25">
      <c r="C129">
        <f>COUNTA(DM1:DM95)</f>
        <v>1</v>
      </c>
      <c r="D129">
        <f t="shared" si="1"/>
        <v>237</v>
      </c>
      <c r="E129">
        <f>SUM(DN3:DN95)</f>
        <v>118</v>
      </c>
      <c r="F129">
        <f>SUM(DO3:DO95)</f>
        <v>119</v>
      </c>
      <c r="H129">
        <f t="shared" si="2"/>
        <v>119</v>
      </c>
      <c r="FL129" s="3"/>
      <c r="FM129" s="3"/>
      <c r="FN129" s="3"/>
      <c r="FO129" s="3"/>
      <c r="FP129" s="3"/>
      <c r="FQ129" s="3"/>
      <c r="FR129" s="3"/>
      <c r="FS129" s="3"/>
      <c r="FT129" s="3"/>
      <c r="FU129" s="3"/>
      <c r="FV129" s="3"/>
      <c r="FW129" s="3"/>
      <c r="FX129" s="3"/>
      <c r="FY129" s="3"/>
      <c r="FZ129" s="3"/>
      <c r="GA129" s="3"/>
      <c r="GB129" s="3"/>
      <c r="GC129" s="3"/>
      <c r="GD129" s="3"/>
      <c r="GE129" s="3"/>
      <c r="GF129" s="3"/>
      <c r="GG129" s="3"/>
      <c r="GH129" s="3"/>
      <c r="GI129" s="3"/>
      <c r="GJ129" s="3"/>
      <c r="GK129" s="3"/>
      <c r="GL129" s="3"/>
      <c r="GM129" s="3"/>
      <c r="GN129" s="3"/>
      <c r="GO129" s="3"/>
      <c r="GP129" s="3"/>
      <c r="GQ129" s="3"/>
      <c r="GR129" s="3"/>
      <c r="GS129" s="3"/>
      <c r="GT129" s="3"/>
      <c r="GU129" s="3"/>
      <c r="GV129" s="3"/>
      <c r="GW129" s="3"/>
      <c r="GX129" s="3"/>
      <c r="GY129" s="3"/>
      <c r="GZ129" s="3"/>
      <c r="HA129" s="3"/>
      <c r="HB129" s="3"/>
      <c r="HC129" s="3"/>
      <c r="HD129" s="3"/>
      <c r="HE129" s="3"/>
      <c r="HF129" s="3"/>
    </row>
    <row r="130" spans="3:214" x14ac:dyDescent="0.25">
      <c r="C130">
        <f>COUNTA(DQ1:DQ95)</f>
        <v>1</v>
      </c>
      <c r="D130">
        <f t="shared" si="1"/>
        <v>245</v>
      </c>
      <c r="E130">
        <f>SUM(DR3:DR95)</f>
        <v>122</v>
      </c>
      <c r="F130">
        <f>SUM(DS3:DS95)</f>
        <v>123</v>
      </c>
      <c r="H130">
        <f t="shared" si="2"/>
        <v>123</v>
      </c>
      <c r="FL130" s="3"/>
      <c r="FM130" s="3"/>
      <c r="FN130" s="3"/>
      <c r="FO130" s="3"/>
      <c r="FP130" s="3"/>
      <c r="FQ130" s="3"/>
      <c r="FR130" s="3"/>
      <c r="FS130" s="3"/>
      <c r="FT130" s="3"/>
      <c r="FU130" s="3"/>
      <c r="FV130" s="3"/>
      <c r="FW130" s="3"/>
      <c r="FX130" s="3"/>
      <c r="FY130" s="3"/>
      <c r="FZ130" s="3"/>
      <c r="GA130" s="3"/>
      <c r="GB130" s="3"/>
      <c r="GC130" s="3"/>
      <c r="GD130" s="3"/>
      <c r="GE130" s="3"/>
      <c r="GF130" s="3"/>
      <c r="GG130" s="3"/>
      <c r="GH130" s="3"/>
      <c r="GI130" s="3"/>
      <c r="GJ130" s="3"/>
      <c r="GK130" s="3"/>
      <c r="GL130" s="3"/>
      <c r="GM130" s="3"/>
      <c r="GN130" s="3"/>
      <c r="GO130" s="3"/>
      <c r="GP130" s="3"/>
      <c r="GQ130" s="3"/>
      <c r="GR130" s="3"/>
      <c r="GS130" s="3"/>
      <c r="GT130" s="3"/>
      <c r="GU130" s="3"/>
      <c r="GV130" s="3"/>
      <c r="GW130" s="3"/>
      <c r="GX130" s="3"/>
      <c r="GY130" s="3"/>
      <c r="GZ130" s="3"/>
      <c r="HA130" s="3"/>
      <c r="HB130" s="3"/>
      <c r="HC130" s="3"/>
      <c r="HD130" s="3"/>
      <c r="HE130" s="3"/>
      <c r="HF130" s="3"/>
    </row>
    <row r="131" spans="3:214" x14ac:dyDescent="0.25">
      <c r="C131">
        <f>COUNTA(DU1:DU95)</f>
        <v>1</v>
      </c>
      <c r="D131">
        <f t="shared" si="1"/>
        <v>253</v>
      </c>
      <c r="E131">
        <f>SUM(DV3:DV95)</f>
        <v>126</v>
      </c>
      <c r="F131">
        <f>SUM(DW3:DW95)</f>
        <v>127</v>
      </c>
      <c r="H131">
        <f t="shared" ref="H131:H148" si="3">F131-G103</f>
        <v>127</v>
      </c>
      <c r="FL131" s="3"/>
      <c r="FM131" s="3"/>
      <c r="FN131" s="3"/>
      <c r="FO131" s="3"/>
      <c r="FP131" s="3"/>
      <c r="FQ131" s="3"/>
      <c r="FR131" s="3"/>
      <c r="FS131" s="3"/>
      <c r="FT131" s="3"/>
      <c r="FU131" s="3"/>
      <c r="FV131" s="3"/>
      <c r="FW131" s="3"/>
      <c r="FX131" s="3"/>
      <c r="FY131" s="3"/>
      <c r="FZ131" s="3"/>
      <c r="GA131" s="3"/>
      <c r="GB131" s="3"/>
      <c r="GC131" s="3"/>
      <c r="GD131" s="3"/>
      <c r="GE131" s="3"/>
      <c r="GF131" s="3"/>
      <c r="GG131" s="3"/>
      <c r="GH131" s="3"/>
      <c r="GI131" s="3"/>
      <c r="GJ131" s="3"/>
      <c r="GK131" s="3"/>
      <c r="GL131" s="3"/>
      <c r="GM131" s="3"/>
      <c r="GN131" s="3"/>
      <c r="GO131" s="3"/>
      <c r="GP131" s="3"/>
      <c r="GQ131" s="3"/>
      <c r="GR131" s="3"/>
      <c r="GS131" s="3"/>
      <c r="GT131" s="3"/>
      <c r="GU131" s="3"/>
      <c r="GV131" s="3"/>
      <c r="GW131" s="3"/>
      <c r="GX131" s="3"/>
      <c r="GY131" s="3"/>
      <c r="GZ131" s="3"/>
      <c r="HA131" s="3"/>
      <c r="HB131" s="3"/>
      <c r="HC131" s="3"/>
      <c r="HD131" s="3"/>
      <c r="HE131" s="3"/>
      <c r="HF131" s="3"/>
    </row>
    <row r="132" spans="3:214" x14ac:dyDescent="0.25">
      <c r="C132">
        <f>COUNTA(DY1:DY95)</f>
        <v>1</v>
      </c>
      <c r="D132">
        <f t="shared" si="1"/>
        <v>257</v>
      </c>
      <c r="E132">
        <f>SUM(DX3:DX95)</f>
        <v>128</v>
      </c>
      <c r="F132">
        <f>SUM(DY3:DY95)</f>
        <v>129</v>
      </c>
      <c r="H132">
        <f t="shared" si="3"/>
        <v>129</v>
      </c>
      <c r="FL132" s="3"/>
      <c r="FM132" s="3"/>
      <c r="FN132" s="3"/>
      <c r="FO132" s="3"/>
      <c r="FP132" s="3"/>
      <c r="FQ132" s="3"/>
      <c r="FR132" s="3"/>
      <c r="FS132" s="3"/>
      <c r="FT132" s="3"/>
      <c r="FU132" s="3"/>
      <c r="FV132" s="3"/>
      <c r="FW132" s="3"/>
      <c r="FX132" s="3"/>
      <c r="FY132" s="3"/>
      <c r="FZ132" s="3"/>
      <c r="GA132" s="3"/>
      <c r="GB132" s="3"/>
      <c r="GC132" s="3"/>
      <c r="GD132" s="3"/>
      <c r="GE132" s="3"/>
      <c r="GF132" s="3"/>
      <c r="GG132" s="3"/>
      <c r="GH132" s="3"/>
      <c r="GI132" s="3"/>
      <c r="GJ132" s="3"/>
      <c r="GK132" s="3"/>
      <c r="GL132" s="3"/>
      <c r="GM132" s="3"/>
      <c r="GN132" s="3"/>
      <c r="GO132" s="3"/>
      <c r="GP132" s="3"/>
      <c r="GQ132" s="3"/>
      <c r="GR132" s="3"/>
      <c r="GS132" s="3"/>
      <c r="GT132" s="3"/>
      <c r="GU132" s="3"/>
      <c r="GV132" s="3"/>
      <c r="GW132" s="3"/>
      <c r="GX132" s="3"/>
      <c r="GY132" s="3"/>
      <c r="GZ132" s="3"/>
      <c r="HA132" s="3"/>
      <c r="HB132" s="3"/>
      <c r="HC132" s="3"/>
      <c r="HD132" s="3"/>
      <c r="HE132" s="3"/>
      <c r="HF132" s="3"/>
    </row>
    <row r="133" spans="3:214" x14ac:dyDescent="0.25">
      <c r="C133">
        <f>COUNTA(EC1:EC95)</f>
        <v>1</v>
      </c>
      <c r="D133">
        <f t="shared" si="1"/>
        <v>269</v>
      </c>
      <c r="E133">
        <f>SUM(ED3:ED95)</f>
        <v>134</v>
      </c>
      <c r="F133">
        <f>SUM(EE3:EE95)</f>
        <v>135</v>
      </c>
      <c r="H133">
        <f t="shared" si="3"/>
        <v>135</v>
      </c>
      <c r="FL133" s="3"/>
      <c r="FM133" s="3"/>
      <c r="FN133" s="3"/>
      <c r="FO133" s="3"/>
      <c r="FP133" s="3"/>
      <c r="FQ133" s="3"/>
      <c r="FR133" s="3"/>
      <c r="FS133" s="3"/>
      <c r="FT133" s="3"/>
      <c r="FU133" s="3"/>
      <c r="FV133" s="3"/>
      <c r="FW133" s="3"/>
      <c r="FX133" s="3"/>
      <c r="FY133" s="3"/>
      <c r="FZ133" s="3"/>
      <c r="GA133" s="3"/>
      <c r="GB133" s="3"/>
      <c r="GC133" s="3"/>
      <c r="GD133" s="3"/>
      <c r="GE133" s="3"/>
      <c r="GF133" s="3"/>
      <c r="GG133" s="3"/>
      <c r="GH133" s="3"/>
      <c r="GI133" s="3"/>
      <c r="GJ133" s="3"/>
      <c r="GK133" s="3"/>
      <c r="GL133" s="3"/>
      <c r="GM133" s="3"/>
      <c r="GN133" s="3"/>
      <c r="GO133" s="3"/>
      <c r="GP133" s="3"/>
      <c r="GQ133" s="3"/>
      <c r="GR133" s="3"/>
      <c r="GS133" s="3"/>
      <c r="GT133" s="3"/>
      <c r="GU133" s="3"/>
      <c r="GV133" s="3"/>
      <c r="GW133" s="3"/>
      <c r="GX133" s="3"/>
      <c r="GY133" s="3"/>
      <c r="GZ133" s="3"/>
      <c r="HA133" s="3"/>
      <c r="HB133" s="3"/>
      <c r="HC133" s="3"/>
      <c r="HD133" s="3"/>
      <c r="HE133" s="3"/>
      <c r="HF133" s="3"/>
    </row>
    <row r="134" spans="3:214" x14ac:dyDescent="0.25">
      <c r="C134">
        <f>COUNTA(EG1:EG96)</f>
        <v>1</v>
      </c>
      <c r="D134">
        <f t="shared" si="1"/>
        <v>277</v>
      </c>
      <c r="E134">
        <f>SUM(EH3:EH95)</f>
        <v>138</v>
      </c>
      <c r="F134">
        <f>SUM(EI3:EI95)</f>
        <v>139</v>
      </c>
      <c r="H134">
        <f t="shared" si="3"/>
        <v>139</v>
      </c>
      <c r="FL134" s="3"/>
      <c r="FM134" s="3"/>
      <c r="FN134" s="3"/>
      <c r="FO134" s="3"/>
      <c r="FP134" s="3"/>
      <c r="FQ134" s="3"/>
      <c r="FR134" s="3"/>
      <c r="FS134" s="3"/>
      <c r="FT134" s="3"/>
      <c r="FU134" s="3"/>
      <c r="FV134" s="3"/>
      <c r="FW134" s="3"/>
      <c r="FX134" s="3"/>
      <c r="FY134" s="3"/>
      <c r="FZ134" s="3"/>
      <c r="GA134" s="3"/>
      <c r="GB134" s="3"/>
      <c r="GC134" s="3"/>
      <c r="GD134" s="3"/>
      <c r="GE134" s="3"/>
      <c r="GF134" s="3"/>
      <c r="GG134" s="3"/>
      <c r="GH134" s="3"/>
      <c r="GI134" s="3"/>
      <c r="GJ134" s="3"/>
      <c r="GK134" s="3"/>
      <c r="GL134" s="3"/>
      <c r="GM134" s="3"/>
      <c r="GN134" s="3"/>
      <c r="GO134" s="3"/>
      <c r="GP134" s="3"/>
      <c r="GQ134" s="3"/>
      <c r="GR134" s="3"/>
      <c r="GS134" s="3"/>
      <c r="GT134" s="3"/>
      <c r="GU134" s="3"/>
      <c r="GV134" s="3"/>
      <c r="GW134" s="3"/>
      <c r="GX134" s="3"/>
      <c r="GY134" s="3"/>
      <c r="GZ134" s="3"/>
      <c r="HA134" s="3"/>
      <c r="HB134" s="3"/>
      <c r="HC134" s="3"/>
      <c r="HD134" s="3"/>
      <c r="HE134" s="3"/>
      <c r="HF134" s="3"/>
    </row>
    <row r="135" spans="3:214" x14ac:dyDescent="0.25">
      <c r="C135">
        <f>COUNTA(EK1:EK95)</f>
        <v>1</v>
      </c>
      <c r="D135">
        <f t="shared" si="1"/>
        <v>285</v>
      </c>
      <c r="E135">
        <f>SUM(EL3:EL95)</f>
        <v>142</v>
      </c>
      <c r="F135">
        <f>SUM(EM3:EM95)</f>
        <v>143</v>
      </c>
      <c r="H135">
        <f t="shared" si="3"/>
        <v>143</v>
      </c>
      <c r="FL135" s="3"/>
      <c r="FM135" s="3"/>
      <c r="FN135" s="3"/>
      <c r="FO135" s="3"/>
      <c r="FP135" s="3"/>
      <c r="FQ135" s="3"/>
      <c r="FR135" s="3"/>
      <c r="FS135" s="3"/>
      <c r="FT135" s="3"/>
      <c r="FU135" s="3"/>
      <c r="FV135" s="3"/>
      <c r="FW135" s="3"/>
      <c r="FX135" s="3"/>
      <c r="FY135" s="3"/>
      <c r="FZ135" s="3"/>
      <c r="GA135" s="3"/>
      <c r="GB135" s="3"/>
      <c r="GC135" s="3"/>
      <c r="GD135" s="3"/>
      <c r="GE135" s="3"/>
      <c r="GF135" s="3"/>
      <c r="GG135" s="3"/>
      <c r="GH135" s="3"/>
      <c r="GI135" s="3"/>
      <c r="GJ135" s="3"/>
      <c r="GK135" s="3"/>
      <c r="GL135" s="3"/>
      <c r="GM135" s="3"/>
      <c r="GN135" s="3"/>
      <c r="GO135" s="3"/>
      <c r="GP135" s="3"/>
      <c r="GQ135" s="3"/>
      <c r="GR135" s="3"/>
      <c r="GS135" s="3"/>
      <c r="GT135" s="3"/>
      <c r="GU135" s="3"/>
      <c r="GV135" s="3"/>
      <c r="GW135" s="3"/>
      <c r="GX135" s="3"/>
      <c r="GY135" s="3"/>
      <c r="GZ135" s="3"/>
      <c r="HA135" s="3"/>
      <c r="HB135" s="3"/>
      <c r="HC135" s="3"/>
      <c r="HD135" s="3"/>
      <c r="HE135" s="3"/>
      <c r="HF135" s="3"/>
    </row>
    <row r="136" spans="3:214" x14ac:dyDescent="0.25">
      <c r="C136">
        <f>COUNTA(EO1:EO95)</f>
        <v>1</v>
      </c>
      <c r="D136">
        <f t="shared" si="1"/>
        <v>293</v>
      </c>
      <c r="E136">
        <f>SUM(EP3:EP95)</f>
        <v>146</v>
      </c>
      <c r="F136">
        <f>SUM(EQ3:EQ95)</f>
        <v>147</v>
      </c>
      <c r="H136">
        <f t="shared" si="3"/>
        <v>147</v>
      </c>
      <c r="FL136" s="3"/>
      <c r="FM136" s="3"/>
      <c r="FN136" s="3"/>
      <c r="FO136" s="3"/>
      <c r="FP136" s="3"/>
      <c r="FQ136" s="3"/>
      <c r="FR136" s="3"/>
      <c r="FS136" s="3"/>
      <c r="FT136" s="3"/>
      <c r="FU136" s="3"/>
      <c r="FV136" s="3"/>
      <c r="FW136" s="3"/>
      <c r="FX136" s="3"/>
      <c r="FY136" s="3"/>
      <c r="FZ136" s="3"/>
      <c r="GA136" s="3"/>
      <c r="GB136" s="3"/>
      <c r="GC136" s="3"/>
      <c r="GD136" s="3"/>
      <c r="GE136" s="3"/>
      <c r="GF136" s="3"/>
      <c r="GG136" s="3"/>
      <c r="GH136" s="3"/>
      <c r="GI136" s="3"/>
      <c r="GJ136" s="3"/>
      <c r="GK136" s="3"/>
      <c r="GL136" s="3"/>
      <c r="GM136" s="3"/>
      <c r="GN136" s="3"/>
      <c r="GO136" s="3"/>
      <c r="GP136" s="3"/>
      <c r="GQ136" s="3"/>
      <c r="GR136" s="3"/>
      <c r="GS136" s="3"/>
      <c r="GT136" s="3"/>
      <c r="GU136" s="3"/>
      <c r="GV136" s="3"/>
      <c r="GW136" s="3"/>
      <c r="GX136" s="3"/>
      <c r="GY136" s="3"/>
      <c r="GZ136" s="3"/>
      <c r="HA136" s="3"/>
      <c r="HB136" s="3"/>
      <c r="HC136" s="3"/>
      <c r="HD136" s="3"/>
      <c r="HE136" s="3"/>
      <c r="HF136" s="3"/>
    </row>
    <row r="137" spans="3:214" x14ac:dyDescent="0.25">
      <c r="C137">
        <f>COUNTA(ES1:ES95)</f>
        <v>1</v>
      </c>
      <c r="D137">
        <f t="shared" si="1"/>
        <v>301</v>
      </c>
      <c r="E137">
        <f>SUM(ET3:ET95)</f>
        <v>150</v>
      </c>
      <c r="F137">
        <f>SUM(EU3:EU95)</f>
        <v>151</v>
      </c>
      <c r="H137">
        <f t="shared" si="3"/>
        <v>151</v>
      </c>
      <c r="FL137" s="3"/>
      <c r="FM137" s="3"/>
      <c r="FN137" s="3"/>
      <c r="FO137" s="3"/>
      <c r="FP137" s="3"/>
      <c r="FQ137" s="3"/>
      <c r="FR137" s="3"/>
      <c r="FS137" s="3"/>
      <c r="FT137" s="3"/>
      <c r="FU137" s="3"/>
      <c r="FV137" s="3"/>
      <c r="FW137" s="3"/>
      <c r="FX137" s="3"/>
      <c r="FY137" s="3"/>
      <c r="FZ137" s="3"/>
      <c r="GA137" s="3"/>
      <c r="GB137" s="3"/>
      <c r="GC137" s="3"/>
      <c r="GD137" s="3"/>
      <c r="GE137" s="3"/>
      <c r="GF137" s="3"/>
      <c r="GG137" s="3"/>
      <c r="GH137" s="3"/>
      <c r="GI137" s="3"/>
      <c r="GJ137" s="3"/>
      <c r="GK137" s="3"/>
      <c r="GL137" s="3"/>
      <c r="GM137" s="3"/>
      <c r="GN137" s="3"/>
      <c r="GO137" s="3"/>
      <c r="GP137" s="3"/>
      <c r="GQ137" s="3"/>
      <c r="GR137" s="3"/>
      <c r="GS137" s="3"/>
      <c r="GT137" s="3"/>
      <c r="GU137" s="3"/>
      <c r="GV137" s="3"/>
      <c r="GW137" s="3"/>
      <c r="GX137" s="3"/>
      <c r="GY137" s="3"/>
      <c r="GZ137" s="3"/>
      <c r="HA137" s="3"/>
      <c r="HB137" s="3"/>
      <c r="HC137" s="3"/>
      <c r="HD137" s="3"/>
      <c r="HE137" s="3"/>
      <c r="HF137" s="3"/>
    </row>
    <row r="138" spans="3:214" x14ac:dyDescent="0.25">
      <c r="C138">
        <f>COUNTA(EW1:EW95)</f>
        <v>1</v>
      </c>
      <c r="D138">
        <f t="shared" si="1"/>
        <v>309</v>
      </c>
      <c r="E138">
        <f>SUM(EX3:EX95)</f>
        <v>154</v>
      </c>
      <c r="F138">
        <f>SUM(EY3:EY95)</f>
        <v>155</v>
      </c>
      <c r="H138">
        <f t="shared" si="3"/>
        <v>155</v>
      </c>
    </row>
    <row r="139" spans="3:214" x14ac:dyDescent="0.25">
      <c r="C139">
        <f>COUNTA(FA1:FA95)</f>
        <v>1</v>
      </c>
      <c r="D139">
        <f t="shared" si="1"/>
        <v>317</v>
      </c>
      <c r="E139">
        <f>SUM(FB3:FB95)</f>
        <v>158</v>
      </c>
      <c r="F139">
        <f>SUM(FC3:FC95)</f>
        <v>159</v>
      </c>
      <c r="H139">
        <f t="shared" si="3"/>
        <v>159</v>
      </c>
    </row>
    <row r="140" spans="3:214" x14ac:dyDescent="0.25">
      <c r="C140">
        <f>COUNTA(FE1:FE95)</f>
        <v>1</v>
      </c>
      <c r="D140">
        <f t="shared" si="1"/>
        <v>325</v>
      </c>
      <c r="E140">
        <f>SUM(FF3:FF95)</f>
        <v>162</v>
      </c>
      <c r="F140">
        <f>SUM(FG3:FG95)</f>
        <v>163</v>
      </c>
      <c r="H140">
        <f t="shared" si="3"/>
        <v>163</v>
      </c>
    </row>
    <row r="141" spans="3:214" x14ac:dyDescent="0.25">
      <c r="C141">
        <f>COUNTA(FI1:FI95)</f>
        <v>1</v>
      </c>
      <c r="D141">
        <f t="shared" si="1"/>
        <v>333</v>
      </c>
      <c r="E141">
        <f>SUM(FJ3:FJ95)</f>
        <v>166</v>
      </c>
      <c r="F141">
        <f>SUM(FK3:FK95)</f>
        <v>167</v>
      </c>
      <c r="H141">
        <f t="shared" si="3"/>
        <v>167</v>
      </c>
    </row>
    <row r="142" spans="3:214" x14ac:dyDescent="0.25">
      <c r="C142">
        <f>COUNTA(FM1:FM95)</f>
        <v>1</v>
      </c>
      <c r="D142">
        <f t="shared" si="1"/>
        <v>341</v>
      </c>
      <c r="E142">
        <f>SUM(FN3:FN95)</f>
        <v>170</v>
      </c>
      <c r="F142">
        <f>SUM(FO3:FO95)</f>
        <v>171</v>
      </c>
      <c r="H142">
        <f t="shared" si="3"/>
        <v>171</v>
      </c>
    </row>
    <row r="143" spans="3:214" x14ac:dyDescent="0.25">
      <c r="C143">
        <f>COUNTA(FQ1:FQ95)</f>
        <v>1</v>
      </c>
      <c r="D143">
        <f t="shared" si="1"/>
        <v>349</v>
      </c>
      <c r="E143">
        <f>SUM(FR3:FR95)</f>
        <v>174</v>
      </c>
      <c r="F143">
        <f>SUM(FS3:FS95)</f>
        <v>175</v>
      </c>
      <c r="H143">
        <f t="shared" si="3"/>
        <v>175</v>
      </c>
    </row>
    <row r="144" spans="3:214" x14ac:dyDescent="0.25">
      <c r="C144">
        <f>COUNTA(FU1:FU95)</f>
        <v>1</v>
      </c>
      <c r="D144">
        <f t="shared" si="1"/>
        <v>357</v>
      </c>
      <c r="E144">
        <f>SUM(FV3:FV95)</f>
        <v>178</v>
      </c>
      <c r="F144">
        <f>SUM(FW3:FW95)</f>
        <v>179</v>
      </c>
      <c r="H144">
        <f t="shared" si="3"/>
        <v>179</v>
      </c>
    </row>
    <row r="145" spans="3:8" x14ac:dyDescent="0.25">
      <c r="C145">
        <f>COUNTA(FY1:FY95)</f>
        <v>1</v>
      </c>
      <c r="D145">
        <f t="shared" si="1"/>
        <v>365</v>
      </c>
      <c r="E145">
        <f>SUM(FZ3:FZ95)</f>
        <v>182</v>
      </c>
      <c r="F145">
        <f>SUM(GA3:GA95)</f>
        <v>183</v>
      </c>
      <c r="H145">
        <f t="shared" si="3"/>
        <v>183</v>
      </c>
    </row>
    <row r="146" spans="3:8" x14ac:dyDescent="0.25">
      <c r="C146">
        <f>COUNTA(GC1:GC95)</f>
        <v>1</v>
      </c>
      <c r="D146">
        <f t="shared" si="1"/>
        <v>373</v>
      </c>
      <c r="E146">
        <f>SUM(GD3:GD95)</f>
        <v>186</v>
      </c>
      <c r="F146">
        <f>SUM(GE3:GE95)</f>
        <v>187</v>
      </c>
      <c r="H146">
        <f t="shared" si="3"/>
        <v>187</v>
      </c>
    </row>
    <row r="147" spans="3:8" x14ac:dyDescent="0.25">
      <c r="C147">
        <f>COUNTA(GG1:GG95)</f>
        <v>1</v>
      </c>
      <c r="D147">
        <f t="shared" si="1"/>
        <v>381</v>
      </c>
      <c r="E147">
        <f>SUM(GH3:GH95)</f>
        <v>190</v>
      </c>
      <c r="F147">
        <f>SUM(GI3:GI95)</f>
        <v>191</v>
      </c>
      <c r="H147">
        <f t="shared" si="3"/>
        <v>191</v>
      </c>
    </row>
    <row r="148" spans="3:8" x14ac:dyDescent="0.25">
      <c r="C148">
        <f>COUNTA(GK1:GK95)</f>
        <v>1</v>
      </c>
      <c r="D148">
        <f t="shared" si="1"/>
        <v>389</v>
      </c>
      <c r="E148">
        <f>SUM(GL3:GL95)</f>
        <v>194</v>
      </c>
      <c r="F148">
        <f>SUM(GM3:GM95)</f>
        <v>195</v>
      </c>
      <c r="H148">
        <f t="shared" si="3"/>
        <v>195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21"/>
  <sheetViews>
    <sheetView workbookViewId="0">
      <selection activeCell="U9" sqref="U9"/>
    </sheetView>
  </sheetViews>
  <sheetFormatPr defaultRowHeight="15" x14ac:dyDescent="0.25"/>
  <cols>
    <col min="1" max="1" width="2.85546875" customWidth="1"/>
    <col min="3" max="3" width="7" customWidth="1"/>
    <col min="7" max="7" width="5.28515625" customWidth="1"/>
    <col min="13" max="13" width="2.85546875" customWidth="1"/>
    <col min="15" max="15" width="2.85546875" customWidth="1"/>
    <col min="26" max="26" width="2.85546875" customWidth="1"/>
    <col min="28" max="28" width="2.85546875" customWidth="1"/>
    <col min="39" max="39" width="2.85546875" customWidth="1"/>
  </cols>
  <sheetData>
    <row r="1" spans="1:39" x14ac:dyDescent="0.25">
      <c r="A1" s="30"/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0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</row>
    <row r="2" spans="1:39" ht="15" customHeight="1" x14ac:dyDescent="0.25">
      <c r="A2" s="30"/>
      <c r="B2" s="14"/>
      <c r="C2" s="14"/>
      <c r="D2" s="14"/>
      <c r="E2" s="14"/>
      <c r="F2" s="259" t="s">
        <v>79</v>
      </c>
      <c r="G2" s="259"/>
      <c r="H2" s="259"/>
      <c r="I2" s="259"/>
      <c r="J2" s="259"/>
      <c r="K2" s="14"/>
      <c r="L2" s="14"/>
      <c r="M2" s="30"/>
      <c r="O2" s="30"/>
      <c r="P2" s="32"/>
      <c r="Q2" s="32"/>
      <c r="R2" s="226" t="s">
        <v>80</v>
      </c>
      <c r="S2" s="226"/>
      <c r="T2" s="226"/>
      <c r="U2" s="226"/>
      <c r="V2" s="226"/>
      <c r="W2" s="226"/>
      <c r="X2" s="32"/>
      <c r="Y2" s="32"/>
      <c r="Z2" s="30"/>
      <c r="AB2" s="73"/>
      <c r="AC2" s="32"/>
      <c r="AD2" s="32"/>
      <c r="AE2" s="226" t="s">
        <v>70</v>
      </c>
      <c r="AF2" s="226"/>
      <c r="AG2" s="226"/>
      <c r="AH2" s="226"/>
      <c r="AI2" s="226"/>
      <c r="AJ2" s="226"/>
      <c r="AK2" s="32"/>
      <c r="AL2" s="32"/>
      <c r="AM2" s="73"/>
    </row>
    <row r="3" spans="1:39" ht="15.75" customHeight="1" thickBot="1" x14ac:dyDescent="0.3">
      <c r="A3" s="30"/>
      <c r="B3" s="14"/>
      <c r="C3" s="14"/>
      <c r="D3" s="14"/>
      <c r="E3" s="14"/>
      <c r="F3" s="259"/>
      <c r="G3" s="259"/>
      <c r="H3" s="259"/>
      <c r="I3" s="259"/>
      <c r="J3" s="259"/>
      <c r="K3" s="14"/>
      <c r="L3" s="14"/>
      <c r="M3" s="30"/>
      <c r="O3" s="30"/>
      <c r="P3" s="32"/>
      <c r="Q3" s="32"/>
      <c r="R3" s="240"/>
      <c r="S3" s="240"/>
      <c r="T3" s="240"/>
      <c r="U3" s="240"/>
      <c r="V3" s="240"/>
      <c r="W3" s="240"/>
      <c r="X3" s="32"/>
      <c r="Y3" s="32"/>
      <c r="Z3" s="30"/>
      <c r="AB3" s="73"/>
      <c r="AC3" s="32"/>
      <c r="AD3" s="32"/>
      <c r="AE3" s="227"/>
      <c r="AF3" s="227"/>
      <c r="AG3" s="227"/>
      <c r="AH3" s="227"/>
      <c r="AI3" s="227"/>
      <c r="AJ3" s="227"/>
      <c r="AK3" s="32"/>
      <c r="AL3" s="32"/>
      <c r="AM3" s="73"/>
    </row>
    <row r="4" spans="1:39" ht="15" customHeight="1" x14ac:dyDescent="0.25">
      <c r="A4" s="30"/>
      <c r="B4" s="14"/>
      <c r="C4" s="14"/>
      <c r="D4" s="14"/>
      <c r="E4" s="14"/>
      <c r="F4" s="260">
        <f>U4+AH6+AH10</f>
        <v>2015000</v>
      </c>
      <c r="G4" s="261"/>
      <c r="H4" s="261"/>
      <c r="I4" s="261"/>
      <c r="J4" s="262"/>
      <c r="L4" s="14"/>
      <c r="M4" s="30"/>
      <c r="O4" s="30"/>
      <c r="P4" s="32"/>
      <c r="Q4" s="228" t="s">
        <v>59</v>
      </c>
      <c r="R4" s="229"/>
      <c r="S4" s="229"/>
      <c r="T4" s="230"/>
      <c r="U4" s="234">
        <f>U7 +U10</f>
        <v>935000</v>
      </c>
      <c r="V4" s="235"/>
      <c r="W4" s="235"/>
      <c r="X4" s="236"/>
      <c r="Y4" s="32"/>
      <c r="Z4" s="30"/>
      <c r="AB4" s="73"/>
      <c r="AC4" s="32"/>
      <c r="AD4" s="32"/>
      <c r="AE4" s="83"/>
      <c r="AF4" s="83"/>
      <c r="AG4" s="83"/>
      <c r="AH4" s="83"/>
      <c r="AI4" s="83"/>
      <c r="AJ4" s="83"/>
      <c r="AK4" s="32"/>
      <c r="AL4" s="32"/>
      <c r="AM4" s="73"/>
    </row>
    <row r="5" spans="1:39" ht="15.75" customHeight="1" thickBot="1" x14ac:dyDescent="0.3">
      <c r="A5" s="30"/>
      <c r="B5" s="14"/>
      <c r="C5" s="14"/>
      <c r="D5" s="14"/>
      <c r="E5" s="14"/>
      <c r="F5" s="263"/>
      <c r="G5" s="264"/>
      <c r="H5" s="264"/>
      <c r="I5" s="264"/>
      <c r="J5" s="265"/>
      <c r="K5" s="14"/>
      <c r="L5" s="14"/>
      <c r="M5" s="30"/>
      <c r="O5" s="30"/>
      <c r="P5" s="32"/>
      <c r="Q5" s="231"/>
      <c r="R5" s="232"/>
      <c r="S5" s="232"/>
      <c r="T5" s="233"/>
      <c r="U5" s="237"/>
      <c r="V5" s="238"/>
      <c r="W5" s="238"/>
      <c r="X5" s="239"/>
      <c r="Y5" s="32"/>
      <c r="Z5" s="30"/>
      <c r="AB5" s="73"/>
      <c r="AC5" s="32"/>
      <c r="AD5" s="32"/>
      <c r="AE5" s="83"/>
      <c r="AF5" s="83"/>
      <c r="AG5" s="83"/>
      <c r="AH5" s="83"/>
      <c r="AI5" s="83"/>
      <c r="AJ5" s="83"/>
      <c r="AK5" s="32"/>
      <c r="AL5" s="32"/>
      <c r="AM5" s="73"/>
    </row>
    <row r="6" spans="1:39" ht="15.75" thickBot="1" x14ac:dyDescent="0.3">
      <c r="A6" s="30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  <c r="M6" s="30"/>
      <c r="O6" s="30"/>
      <c r="P6" s="32"/>
      <c r="Q6" s="32"/>
      <c r="R6" s="32"/>
      <c r="S6" s="32"/>
      <c r="T6" s="32"/>
      <c r="U6" s="32"/>
      <c r="V6" s="273"/>
      <c r="W6" s="272"/>
      <c r="X6" s="32"/>
      <c r="Y6" s="32"/>
      <c r="Z6" s="30"/>
      <c r="AB6" s="73"/>
      <c r="AC6" s="32"/>
      <c r="AD6" s="228" t="s">
        <v>69</v>
      </c>
      <c r="AE6" s="229"/>
      <c r="AF6" s="229"/>
      <c r="AG6" s="230"/>
      <c r="AH6" s="234">
        <v>980000</v>
      </c>
      <c r="AI6" s="235"/>
      <c r="AJ6" s="235"/>
      <c r="AK6" s="236"/>
      <c r="AL6" s="32"/>
      <c r="AM6" s="73"/>
    </row>
    <row r="7" spans="1:39" ht="15.75" thickBot="1" x14ac:dyDescent="0.3">
      <c r="A7" s="30"/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30"/>
      <c r="O7" s="30"/>
      <c r="P7" s="32"/>
      <c r="Q7" s="266" t="s">
        <v>54</v>
      </c>
      <c r="R7" s="267"/>
      <c r="S7" s="267"/>
      <c r="T7" s="268"/>
      <c r="U7" s="234">
        <v>35000</v>
      </c>
      <c r="V7" s="235"/>
      <c r="W7" s="235"/>
      <c r="X7" s="236"/>
      <c r="Y7" s="32"/>
      <c r="Z7" s="30"/>
      <c r="AB7" s="73"/>
      <c r="AC7" s="32"/>
      <c r="AD7" s="231"/>
      <c r="AE7" s="232"/>
      <c r="AF7" s="232"/>
      <c r="AG7" s="233"/>
      <c r="AH7" s="237"/>
      <c r="AI7" s="238"/>
      <c r="AJ7" s="238"/>
      <c r="AK7" s="239"/>
      <c r="AL7" s="32"/>
      <c r="AM7" s="73"/>
    </row>
    <row r="8" spans="1:39" ht="15.75" thickBot="1" x14ac:dyDescent="0.3">
      <c r="A8" s="30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30"/>
      <c r="O8" s="30"/>
      <c r="P8" s="32"/>
      <c r="Q8" s="269"/>
      <c r="R8" s="270"/>
      <c r="S8" s="270"/>
      <c r="T8" s="271"/>
      <c r="U8" s="237"/>
      <c r="V8" s="238"/>
      <c r="W8" s="238"/>
      <c r="X8" s="239"/>
      <c r="Y8" s="32"/>
      <c r="Z8" s="30"/>
      <c r="AB8" s="73"/>
      <c r="AC8" s="32"/>
      <c r="AD8" s="32"/>
      <c r="AE8" s="32"/>
      <c r="AF8" s="32"/>
      <c r="AG8" s="32"/>
      <c r="AH8" s="32"/>
      <c r="AI8" s="32"/>
      <c r="AJ8" s="32"/>
      <c r="AK8" s="32"/>
      <c r="AL8" s="32"/>
      <c r="AM8" s="73"/>
    </row>
    <row r="9" spans="1:39" ht="15.75" thickBot="1" x14ac:dyDescent="0.3">
      <c r="A9" s="30"/>
      <c r="B9" s="14"/>
      <c r="C9" s="14"/>
      <c r="D9" s="14"/>
      <c r="E9" s="14"/>
      <c r="F9" s="14"/>
      <c r="G9" s="14"/>
      <c r="H9" s="14"/>
      <c r="I9" s="14"/>
      <c r="J9" s="14"/>
      <c r="K9" s="14"/>
      <c r="L9" s="14"/>
      <c r="M9" s="30"/>
      <c r="O9" s="30"/>
      <c r="P9" s="32"/>
      <c r="Q9" s="32"/>
      <c r="R9" s="32"/>
      <c r="S9" s="32"/>
      <c r="T9" s="32"/>
      <c r="U9" s="32"/>
      <c r="V9" s="272"/>
      <c r="W9" s="272"/>
      <c r="X9" s="32"/>
      <c r="Y9" s="32"/>
      <c r="Z9" s="30"/>
      <c r="AB9" s="73"/>
      <c r="AC9" s="32"/>
      <c r="AD9" s="32"/>
      <c r="AE9" s="32"/>
      <c r="AF9" s="32"/>
      <c r="AG9" s="32"/>
      <c r="AH9" s="32"/>
      <c r="AI9" s="32"/>
      <c r="AJ9" s="32"/>
      <c r="AK9" s="32"/>
      <c r="AL9" s="32"/>
      <c r="AM9" s="73"/>
    </row>
    <row r="10" spans="1:39" ht="15" customHeight="1" x14ac:dyDescent="0.25">
      <c r="A10" s="30"/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30"/>
      <c r="O10" s="31"/>
      <c r="P10" s="32"/>
      <c r="Q10" s="266" t="s">
        <v>55</v>
      </c>
      <c r="R10" s="267"/>
      <c r="S10" s="267"/>
      <c r="T10" s="268"/>
      <c r="U10" s="234">
        <f>SUM(U13,U15,U17)</f>
        <v>900000</v>
      </c>
      <c r="V10" s="235"/>
      <c r="W10" s="235"/>
      <c r="X10" s="236"/>
      <c r="Y10" s="32"/>
      <c r="Z10" s="30"/>
      <c r="AB10" s="73"/>
      <c r="AC10" s="32"/>
      <c r="AD10" s="247" t="s">
        <v>77</v>
      </c>
      <c r="AE10" s="248"/>
      <c r="AF10" s="248"/>
      <c r="AG10" s="249"/>
      <c r="AH10" s="234">
        <v>100000</v>
      </c>
      <c r="AI10" s="235"/>
      <c r="AJ10" s="235"/>
      <c r="AK10" s="236"/>
      <c r="AL10" s="32"/>
      <c r="AM10" s="73"/>
    </row>
    <row r="11" spans="1:39" ht="15.75" customHeight="1" thickBot="1" x14ac:dyDescent="0.3">
      <c r="A11" s="30"/>
      <c r="B11" s="14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30"/>
      <c r="O11" s="30"/>
      <c r="P11" s="32"/>
      <c r="Q11" s="269"/>
      <c r="R11" s="270"/>
      <c r="S11" s="270"/>
      <c r="T11" s="271"/>
      <c r="U11" s="237"/>
      <c r="V11" s="238"/>
      <c r="W11" s="238"/>
      <c r="X11" s="239"/>
      <c r="Y11" s="32"/>
      <c r="Z11" s="30"/>
      <c r="AB11" s="73"/>
      <c r="AC11" s="32"/>
      <c r="AD11" s="250"/>
      <c r="AE11" s="251"/>
      <c r="AF11" s="251"/>
      <c r="AG11" s="252"/>
      <c r="AH11" s="256"/>
      <c r="AI11" s="257"/>
      <c r="AJ11" s="257"/>
      <c r="AK11" s="258"/>
      <c r="AL11" s="32"/>
      <c r="AM11" s="73"/>
    </row>
    <row r="12" spans="1:39" ht="15.75" thickBot="1" x14ac:dyDescent="0.3">
      <c r="A12" s="30"/>
      <c r="B12" s="14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30"/>
      <c r="O12" s="30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0"/>
      <c r="AB12" s="73"/>
      <c r="AC12" s="32"/>
      <c r="AD12" s="253"/>
      <c r="AE12" s="254"/>
      <c r="AF12" s="254"/>
      <c r="AG12" s="255"/>
      <c r="AH12" s="237"/>
      <c r="AI12" s="238"/>
      <c r="AJ12" s="238"/>
      <c r="AK12" s="239"/>
      <c r="AL12" s="32"/>
      <c r="AM12" s="73"/>
    </row>
    <row r="13" spans="1:39" ht="15.75" thickBot="1" x14ac:dyDescent="0.3">
      <c r="A13" s="30"/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30"/>
      <c r="O13" s="30"/>
      <c r="P13" s="32"/>
      <c r="Q13" s="32"/>
      <c r="R13" s="241" t="s">
        <v>58</v>
      </c>
      <c r="S13" s="242"/>
      <c r="T13" s="243"/>
      <c r="U13" s="244">
        <v>300000</v>
      </c>
      <c r="V13" s="245"/>
      <c r="W13" s="246"/>
      <c r="X13" s="32"/>
      <c r="Y13" s="32"/>
      <c r="Z13" s="30"/>
      <c r="AB13" s="73"/>
      <c r="AC13" s="32"/>
      <c r="AD13" s="32"/>
      <c r="AE13" s="32"/>
      <c r="AF13" s="32"/>
      <c r="AG13" s="32"/>
      <c r="AH13" s="32"/>
      <c r="AI13" s="32"/>
      <c r="AJ13" s="32"/>
      <c r="AK13" s="32"/>
      <c r="AL13" s="32"/>
      <c r="AM13" s="73"/>
    </row>
    <row r="14" spans="1:39" ht="15.75" thickBot="1" x14ac:dyDescent="0.3">
      <c r="A14" s="30"/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30"/>
      <c r="O14" s="30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0"/>
      <c r="AB14" s="73"/>
      <c r="AC14" s="32"/>
      <c r="AD14" s="32"/>
      <c r="AE14" s="32"/>
      <c r="AF14" s="32"/>
      <c r="AG14" s="32"/>
      <c r="AH14" s="32"/>
      <c r="AI14" s="32"/>
      <c r="AJ14" s="32"/>
      <c r="AK14" s="32"/>
      <c r="AL14" s="32"/>
      <c r="AM14" s="73"/>
    </row>
    <row r="15" spans="1:39" ht="15.75" thickBot="1" x14ac:dyDescent="0.3">
      <c r="A15" s="30"/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30"/>
      <c r="O15" s="30"/>
      <c r="P15" s="32"/>
      <c r="Q15" s="32"/>
      <c r="R15" s="241" t="s">
        <v>56</v>
      </c>
      <c r="S15" s="242"/>
      <c r="T15" s="243"/>
      <c r="U15" s="244">
        <v>300000</v>
      </c>
      <c r="V15" s="245"/>
      <c r="W15" s="246"/>
      <c r="X15" s="32"/>
      <c r="Y15" s="32"/>
      <c r="Z15" s="30"/>
      <c r="AB15" s="73"/>
      <c r="AC15" s="32"/>
      <c r="AD15" s="32"/>
      <c r="AE15" s="32"/>
      <c r="AF15" s="32"/>
      <c r="AG15" s="32"/>
      <c r="AH15" s="32"/>
      <c r="AI15" s="32"/>
      <c r="AJ15" s="32"/>
      <c r="AK15" s="32"/>
      <c r="AL15" s="32"/>
      <c r="AM15" s="73"/>
    </row>
    <row r="16" spans="1:39" ht="15.75" thickBot="1" x14ac:dyDescent="0.3">
      <c r="A16" s="30"/>
      <c r="B16" s="14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30"/>
      <c r="O16" s="30"/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0"/>
      <c r="AB16" s="73"/>
      <c r="AC16" s="32"/>
      <c r="AD16" s="32"/>
      <c r="AE16" s="32"/>
      <c r="AF16" s="32"/>
      <c r="AG16" s="32"/>
      <c r="AH16" s="32"/>
      <c r="AI16" s="32"/>
      <c r="AJ16" s="32"/>
      <c r="AK16" s="32"/>
      <c r="AL16" s="32"/>
      <c r="AM16" s="73"/>
    </row>
    <row r="17" spans="1:39" ht="15.75" thickBot="1" x14ac:dyDescent="0.3">
      <c r="A17" s="30"/>
      <c r="B17" s="14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30"/>
      <c r="O17" s="30"/>
      <c r="P17" s="32"/>
      <c r="Q17" s="32"/>
      <c r="R17" s="241" t="s">
        <v>57</v>
      </c>
      <c r="S17" s="242"/>
      <c r="T17" s="243"/>
      <c r="U17" s="244">
        <v>300000</v>
      </c>
      <c r="V17" s="245"/>
      <c r="W17" s="246"/>
      <c r="X17" s="32"/>
      <c r="Y17" s="32"/>
      <c r="Z17" s="30"/>
      <c r="AB17" s="73"/>
      <c r="AC17" s="32"/>
      <c r="AD17" s="32"/>
      <c r="AE17" s="32"/>
      <c r="AF17" s="32"/>
      <c r="AG17" s="32"/>
      <c r="AH17" s="32"/>
      <c r="AI17" s="32"/>
      <c r="AJ17" s="32"/>
      <c r="AK17" s="32"/>
      <c r="AL17" s="32"/>
      <c r="AM17" s="73"/>
    </row>
    <row r="18" spans="1:39" x14ac:dyDescent="0.25">
      <c r="A18" s="30"/>
      <c r="B18" s="14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30"/>
      <c r="O18" s="30"/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0"/>
      <c r="AB18" s="73"/>
      <c r="AC18" s="32"/>
      <c r="AD18" s="32"/>
      <c r="AE18" s="32"/>
      <c r="AF18" s="32"/>
      <c r="AG18" s="32"/>
      <c r="AH18" s="32"/>
      <c r="AI18" s="32"/>
      <c r="AJ18" s="32"/>
      <c r="AK18" s="32"/>
      <c r="AL18" s="32"/>
      <c r="AM18" s="73"/>
    </row>
    <row r="19" spans="1:39" x14ac:dyDescent="0.25">
      <c r="A19" s="30"/>
      <c r="B19" s="14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30"/>
      <c r="O19" s="30"/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0"/>
      <c r="AB19" s="73"/>
      <c r="AC19" s="32"/>
      <c r="AD19" s="32"/>
      <c r="AE19" s="32"/>
      <c r="AF19" s="32"/>
      <c r="AG19" s="32"/>
      <c r="AH19" s="32"/>
      <c r="AI19" s="32"/>
      <c r="AJ19" s="32"/>
      <c r="AK19" s="32"/>
      <c r="AL19" s="32"/>
      <c r="AM19" s="73"/>
    </row>
    <row r="20" spans="1:39" x14ac:dyDescent="0.25">
      <c r="A20" s="30"/>
      <c r="B20" s="14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30"/>
      <c r="O20" s="30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0"/>
      <c r="AB20" s="73"/>
      <c r="AC20" s="32"/>
      <c r="AD20" s="32"/>
      <c r="AE20" s="32"/>
      <c r="AF20" s="32"/>
      <c r="AG20" s="32"/>
      <c r="AH20" s="32"/>
      <c r="AI20" s="32"/>
      <c r="AJ20" s="32"/>
      <c r="AK20" s="32"/>
      <c r="AL20" s="32"/>
      <c r="AM20" s="73"/>
    </row>
    <row r="21" spans="1:39" x14ac:dyDescent="0.25">
      <c r="A21" s="30"/>
      <c r="B21" s="30"/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B21" s="73"/>
      <c r="AC21" s="73"/>
      <c r="AD21" s="73"/>
      <c r="AE21" s="73"/>
      <c r="AF21" s="73"/>
      <c r="AG21" s="73"/>
      <c r="AH21" s="73"/>
      <c r="AI21" s="73"/>
      <c r="AJ21" s="73"/>
      <c r="AK21" s="73"/>
      <c r="AL21" s="73"/>
      <c r="AM21" s="73"/>
    </row>
  </sheetData>
  <mergeCells count="22">
    <mergeCell ref="F2:J3"/>
    <mergeCell ref="F4:J5"/>
    <mergeCell ref="R15:T15"/>
    <mergeCell ref="U15:W15"/>
    <mergeCell ref="R17:T17"/>
    <mergeCell ref="U17:W17"/>
    <mergeCell ref="Q4:T5"/>
    <mergeCell ref="U4:X5"/>
    <mergeCell ref="Q7:T8"/>
    <mergeCell ref="Q10:T11"/>
    <mergeCell ref="U7:X8"/>
    <mergeCell ref="U10:X11"/>
    <mergeCell ref="V9:W9"/>
    <mergeCell ref="V6:W6"/>
    <mergeCell ref="AE2:AJ3"/>
    <mergeCell ref="AD6:AG7"/>
    <mergeCell ref="AH6:AK7"/>
    <mergeCell ref="R2:W3"/>
    <mergeCell ref="R13:T13"/>
    <mergeCell ref="U13:W13"/>
    <mergeCell ref="AD10:AG12"/>
    <mergeCell ref="AH10:AK12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5</xdr:col>
                <xdr:colOff>371475</xdr:colOff>
                <xdr:row>14</xdr:row>
                <xdr:rowOff>180975</xdr:rowOff>
              </from>
              <to>
                <xdr:col>9</xdr:col>
                <xdr:colOff>219075</xdr:colOff>
                <xdr:row>16</xdr:row>
                <xdr:rowOff>180975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5</xdr:col>
                <xdr:colOff>371475</xdr:colOff>
                <xdr:row>17</xdr:row>
                <xdr:rowOff>47625</xdr:rowOff>
              </from>
              <to>
                <xdr:col>9</xdr:col>
                <xdr:colOff>219075</xdr:colOff>
                <xdr:row>19</xdr:row>
                <xdr:rowOff>66675</xdr:rowOff>
              </to>
            </anchor>
          </controlPr>
        </control>
      </mc:Choice>
      <mc:Fallback>
        <control shapeId="1026" r:id="rId6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3A65E8-46F0-4D4D-A6FA-DDB59E7A798B}">
  <sheetPr codeName="Sheet7"/>
  <dimension ref="A1:I29"/>
  <sheetViews>
    <sheetView workbookViewId="0">
      <selection activeCell="C6" sqref="C6"/>
    </sheetView>
  </sheetViews>
  <sheetFormatPr defaultRowHeight="15" x14ac:dyDescent="0.25"/>
  <cols>
    <col min="1" max="1" width="20.140625" customWidth="1"/>
    <col min="2" max="2" width="14.7109375" customWidth="1"/>
    <col min="3" max="3" width="18.28515625" customWidth="1"/>
    <col min="4" max="4" width="15.42578125" customWidth="1"/>
    <col min="5" max="5" width="16.5703125" customWidth="1"/>
    <col min="6" max="6" width="15.85546875" customWidth="1"/>
  </cols>
  <sheetData>
    <row r="1" spans="1:9" x14ac:dyDescent="0.25">
      <c r="A1" s="282" t="s">
        <v>64</v>
      </c>
      <c r="B1" s="283"/>
      <c r="C1" s="283"/>
      <c r="D1" s="283"/>
      <c r="E1" s="283"/>
      <c r="F1" s="283"/>
      <c r="G1" s="283"/>
      <c r="H1" s="283"/>
      <c r="I1" s="284"/>
    </row>
    <row r="2" spans="1:9" ht="15.75" thickBot="1" x14ac:dyDescent="0.3">
      <c r="A2" s="285"/>
      <c r="B2" s="286"/>
      <c r="C2" s="286"/>
      <c r="D2" s="286"/>
      <c r="E2" s="286"/>
      <c r="F2" s="287"/>
      <c r="G2" s="287"/>
      <c r="H2" s="287"/>
      <c r="I2" s="288"/>
    </row>
    <row r="3" spans="1:9" x14ac:dyDescent="0.25">
      <c r="A3" s="72" t="s">
        <v>65</v>
      </c>
      <c r="B3" s="72" t="s">
        <v>61</v>
      </c>
      <c r="C3" s="72" t="s">
        <v>66</v>
      </c>
      <c r="D3" s="72" t="s">
        <v>67</v>
      </c>
      <c r="E3" s="74" t="s">
        <v>68</v>
      </c>
      <c r="F3" s="289" t="s">
        <v>78</v>
      </c>
      <c r="G3" s="290"/>
      <c r="H3" s="290"/>
      <c r="I3" s="291"/>
    </row>
    <row r="4" spans="1:9" ht="15.75" thickBot="1" x14ac:dyDescent="0.3">
      <c r="A4" s="44" t="str">
        <f>Savings!C2</f>
        <v>ken</v>
      </c>
      <c r="B4" s="70">
        <f>Savings!C16</f>
        <v>0.16427671426858256</v>
      </c>
      <c r="C4" s="71">
        <f>Savings!C17</f>
        <v>138096.75569916991</v>
      </c>
      <c r="D4" s="44">
        <v>200</v>
      </c>
      <c r="E4" s="75">
        <f>C4-D4</f>
        <v>137896.75569916991</v>
      </c>
      <c r="F4" s="292"/>
      <c r="G4" s="293"/>
      <c r="H4" s="293"/>
      <c r="I4" s="294"/>
    </row>
    <row r="5" spans="1:9" x14ac:dyDescent="0.25">
      <c r="A5" s="44" t="str">
        <f>Savings!D2</f>
        <v>gian</v>
      </c>
      <c r="B5" s="70">
        <f>Savings!D16</f>
        <v>1.112153355598304E-2</v>
      </c>
      <c r="C5" s="71">
        <f>Savings!D17</f>
        <v>9349.1503608338026</v>
      </c>
      <c r="D5" s="44">
        <v>200</v>
      </c>
      <c r="E5" s="75">
        <f t="shared" ref="E5:E28" si="0">C5-D5</f>
        <v>9149.1503608338026</v>
      </c>
      <c r="F5" s="295" t="s">
        <v>71</v>
      </c>
      <c r="G5" s="296"/>
      <c r="H5" s="296"/>
      <c r="I5" s="297"/>
    </row>
    <row r="6" spans="1:9" ht="15.75" thickBot="1" x14ac:dyDescent="0.3">
      <c r="A6" s="44" t="str">
        <f>Savings!E2</f>
        <v>donque</v>
      </c>
      <c r="B6" s="70">
        <f>Savings!E16</f>
        <v>3.1343997082445556E-2</v>
      </c>
      <c r="C6" s="71">
        <f>Savings!E17</f>
        <v>26348.860987401618</v>
      </c>
      <c r="D6" s="44">
        <v>200</v>
      </c>
      <c r="E6" s="75">
        <f t="shared" si="0"/>
        <v>26148.860987401618</v>
      </c>
      <c r="F6" s="298"/>
      <c r="G6" s="299"/>
      <c r="H6" s="299"/>
      <c r="I6" s="300"/>
    </row>
    <row r="7" spans="1:9" x14ac:dyDescent="0.25">
      <c r="A7" s="44" t="str">
        <f>Savings!F2</f>
        <v>bernard</v>
      </c>
      <c r="B7" s="70">
        <f>Savings!F16</f>
        <v>5.5166858596627837E-2</v>
      </c>
      <c r="C7" s="71">
        <f>Savings!F17</f>
        <v>46375.192176376244</v>
      </c>
      <c r="D7" s="44">
        <v>100</v>
      </c>
      <c r="E7" s="71">
        <f t="shared" si="0"/>
        <v>46275.192176376244</v>
      </c>
      <c r="F7" s="76"/>
      <c r="G7" s="76"/>
      <c r="H7" s="76"/>
      <c r="I7" s="76"/>
    </row>
    <row r="8" spans="1:9" x14ac:dyDescent="0.25">
      <c r="A8" s="44" t="str">
        <f>Savings!G2</f>
        <v>gina</v>
      </c>
      <c r="B8" s="70">
        <f>Savings!G16</f>
        <v>6.1183767051238458E-2</v>
      </c>
      <c r="C8" s="71">
        <f>Savings!G17</f>
        <v>51433.21601511784</v>
      </c>
      <c r="D8" s="44">
        <v>200</v>
      </c>
      <c r="E8" s="71">
        <f t="shared" si="0"/>
        <v>51233.21601511784</v>
      </c>
      <c r="F8" s="76"/>
      <c r="G8" s="76"/>
      <c r="H8" s="76"/>
      <c r="I8" s="76"/>
    </row>
    <row r="9" spans="1:9" x14ac:dyDescent="0.25">
      <c r="A9" s="44" t="str">
        <f>Savings!H2</f>
        <v>rowel</v>
      </c>
      <c r="B9" s="70">
        <f>Savings!H16</f>
        <v>3.7053708081373926E-2</v>
      </c>
      <c r="C9" s="71">
        <f>Savings!H17</f>
        <v>31148.643892985769</v>
      </c>
      <c r="D9" s="44">
        <v>200</v>
      </c>
      <c r="E9" s="71">
        <f t="shared" si="0"/>
        <v>30948.643892985769</v>
      </c>
      <c r="F9" s="76"/>
      <c r="G9" s="76"/>
      <c r="H9" s="76"/>
      <c r="I9" s="76"/>
    </row>
    <row r="10" spans="1:9" x14ac:dyDescent="0.25">
      <c r="A10" s="44" t="str">
        <f>Savings!I2</f>
        <v>leo j.</v>
      </c>
      <c r="B10" s="70">
        <f>Savings!I16</f>
        <v>0.10416567416151797</v>
      </c>
      <c r="C10" s="71">
        <f>Savings!I17</f>
        <v>87565.311498767653</v>
      </c>
      <c r="D10" s="44">
        <v>100</v>
      </c>
      <c r="E10" s="71">
        <f t="shared" si="0"/>
        <v>87465.311498767653</v>
      </c>
      <c r="F10" s="76"/>
      <c r="G10" s="76"/>
      <c r="H10" s="76"/>
      <c r="I10" s="76"/>
    </row>
    <row r="11" spans="1:9" x14ac:dyDescent="0.25">
      <c r="A11" s="44" t="str">
        <f>Savings!J2</f>
        <v>emman r.</v>
      </c>
      <c r="B11" s="70">
        <f>Savings!J16</f>
        <v>2.6470454559144271E-3</v>
      </c>
      <c r="C11" s="71">
        <f>Savings!J17</f>
        <v>2225.1990568326246</v>
      </c>
      <c r="D11" s="44">
        <v>200</v>
      </c>
      <c r="E11" s="71">
        <f t="shared" si="0"/>
        <v>2025.1990568326246</v>
      </c>
      <c r="F11" s="76"/>
      <c r="G11" s="76"/>
      <c r="H11" s="76"/>
      <c r="I11" s="76"/>
    </row>
    <row r="12" spans="1:9" x14ac:dyDescent="0.25">
      <c r="A12" s="44" t="str">
        <f>Savings!K2</f>
        <v>jeff</v>
      </c>
      <c r="B12" s="70">
        <f>Savings!K16</f>
        <v>9.161438560235069E-2</v>
      </c>
      <c r="C12" s="71">
        <f>Savings!K17</f>
        <v>77014.259040832068</v>
      </c>
      <c r="D12" s="44">
        <v>100</v>
      </c>
      <c r="E12" s="71">
        <f t="shared" si="0"/>
        <v>76914.259040832068</v>
      </c>
      <c r="F12" s="76"/>
      <c r="G12" s="76"/>
      <c r="H12" s="76"/>
      <c r="I12" s="76"/>
    </row>
    <row r="13" spans="1:9" ht="15.75" thickBot="1" x14ac:dyDescent="0.3">
      <c r="A13" s="44" t="str">
        <f>Savings!L2</f>
        <v>rubin</v>
      </c>
      <c r="B13" s="70">
        <f>Savings!L16</f>
        <v>2.714125114240765E-2</v>
      </c>
      <c r="C13" s="71">
        <f>Savings!L17</f>
        <v>22815.885654097856</v>
      </c>
      <c r="D13" s="44">
        <v>200</v>
      </c>
      <c r="E13" s="71">
        <f t="shared" si="0"/>
        <v>22615.885654097856</v>
      </c>
      <c r="F13" s="76"/>
      <c r="G13" s="76"/>
      <c r="H13" s="76"/>
      <c r="I13" s="76"/>
    </row>
    <row r="14" spans="1:9" x14ac:dyDescent="0.25">
      <c r="A14" s="44" t="str">
        <f>Savings!M2</f>
        <v>rommel c.</v>
      </c>
      <c r="B14" s="70">
        <f>Savings!M16</f>
        <v>2.7379452378097094E-2</v>
      </c>
      <c r="C14" s="71">
        <f>Savings!M17</f>
        <v>23016.125949861649</v>
      </c>
      <c r="D14" s="44">
        <v>200</v>
      </c>
      <c r="E14" s="75">
        <f t="shared" si="0"/>
        <v>22816.125949861649</v>
      </c>
      <c r="F14" s="274" t="s">
        <v>72</v>
      </c>
      <c r="G14" s="275"/>
      <c r="H14" s="301">
        <f>SUM(B4:B28)</f>
        <v>1.0000000000000002</v>
      </c>
      <c r="I14" s="302"/>
    </row>
    <row r="15" spans="1:9" ht="15.75" thickBot="1" x14ac:dyDescent="0.3">
      <c r="A15" s="44" t="str">
        <f>Savings!N2</f>
        <v>guilly</v>
      </c>
      <c r="B15" s="70">
        <f>Savings!N16</f>
        <v>1.4879089600353085E-2</v>
      </c>
      <c r="C15" s="71">
        <f>Savings!N17</f>
        <v>12507.883486192815</v>
      </c>
      <c r="D15" s="44">
        <v>200</v>
      </c>
      <c r="E15" s="75">
        <f t="shared" si="0"/>
        <v>12307.883486192815</v>
      </c>
      <c r="F15" s="276"/>
      <c r="G15" s="277"/>
      <c r="H15" s="303"/>
      <c r="I15" s="304"/>
    </row>
    <row r="16" spans="1:9" x14ac:dyDescent="0.25">
      <c r="A16" s="44" t="str">
        <f>Savings!O2</f>
        <v>edward</v>
      </c>
      <c r="B16" s="70">
        <f>Savings!O16</f>
        <v>3.2855342853716513E-3</v>
      </c>
      <c r="C16" s="71">
        <f>Savings!O17</f>
        <v>2761.935113983398</v>
      </c>
      <c r="D16" s="44">
        <v>200</v>
      </c>
      <c r="E16" s="75">
        <f t="shared" si="0"/>
        <v>2561.935113983398</v>
      </c>
      <c r="F16" s="274" t="s">
        <v>73</v>
      </c>
      <c r="G16" s="275"/>
      <c r="H16" s="278">
        <f>SUM(C4:C28)</f>
        <v>840635</v>
      </c>
      <c r="I16" s="279"/>
    </row>
    <row r="17" spans="1:9" ht="15.75" thickBot="1" x14ac:dyDescent="0.3">
      <c r="A17" s="44" t="str">
        <f>Savings!P2</f>
        <v>kc</v>
      </c>
      <c r="B17" s="70">
        <f>Savings!P16</f>
        <v>7.7045778991965226E-3</v>
      </c>
      <c r="C17" s="71">
        <f>Savings!P17</f>
        <v>6476.7378422910688</v>
      </c>
      <c r="D17" s="44">
        <v>200</v>
      </c>
      <c r="E17" s="75">
        <f t="shared" si="0"/>
        <v>6276.7378422910688</v>
      </c>
      <c r="F17" s="276"/>
      <c r="G17" s="277"/>
      <c r="H17" s="280"/>
      <c r="I17" s="281"/>
    </row>
    <row r="18" spans="1:9" x14ac:dyDescent="0.25">
      <c r="A18" s="44" t="str">
        <f>Savings!Q2</f>
        <v>paulo</v>
      </c>
      <c r="B18" s="70">
        <f>Savings!Q16</f>
        <v>0.11424295540380038</v>
      </c>
      <c r="C18" s="71">
        <f>Savings!Q17</f>
        <v>96036.626815873722</v>
      </c>
      <c r="D18" s="44">
        <v>200</v>
      </c>
      <c r="E18" s="71">
        <f t="shared" si="0"/>
        <v>95836.626815873722</v>
      </c>
      <c r="F18" s="41"/>
      <c r="G18" s="41"/>
      <c r="H18" s="41"/>
      <c r="I18" s="41"/>
    </row>
    <row r="19" spans="1:9" x14ac:dyDescent="0.25">
      <c r="A19" s="44" t="str">
        <f>Savings!R2</f>
        <v>karen</v>
      </c>
      <c r="B19" s="70">
        <f>Savings!R16</f>
        <v>5.7496849994003903E-3</v>
      </c>
      <c r="C19" s="71">
        <f>Savings!R17</f>
        <v>4833.3864494709469</v>
      </c>
      <c r="D19" s="44">
        <v>200</v>
      </c>
      <c r="E19" s="71">
        <f t="shared" si="0"/>
        <v>4633.3864494709469</v>
      </c>
      <c r="F19" s="41"/>
      <c r="G19" s="41"/>
      <c r="H19" s="41"/>
      <c r="I19" s="41"/>
    </row>
    <row r="20" spans="1:9" x14ac:dyDescent="0.25">
      <c r="A20" s="44" t="str">
        <f>Savings!S2</f>
        <v>roldan</v>
      </c>
      <c r="B20" s="70">
        <f>Savings!S16</f>
        <v>9.912840251299565E-2</v>
      </c>
      <c r="C20" s="71">
        <f>Savings!S17</f>
        <v>83330.804646512101</v>
      </c>
      <c r="D20" s="44">
        <v>200</v>
      </c>
      <c r="E20" s="71">
        <f t="shared" si="0"/>
        <v>83130.804646512101</v>
      </c>
      <c r="F20" s="41"/>
      <c r="G20" s="41"/>
      <c r="H20" s="41"/>
      <c r="I20" s="41"/>
    </row>
    <row r="21" spans="1:9" x14ac:dyDescent="0.25">
      <c r="A21" s="44" t="str">
        <f>Savings!T2</f>
        <v>mark c.</v>
      </c>
      <c r="B21" s="70">
        <f>Savings!T16</f>
        <v>4.8277640789251043E-2</v>
      </c>
      <c r="C21" s="71">
        <f>Savings!T17</f>
        <v>40583.874564872051</v>
      </c>
      <c r="D21" s="44">
        <v>200</v>
      </c>
      <c r="E21" s="71">
        <f t="shared" si="0"/>
        <v>40383.874564872051</v>
      </c>
      <c r="F21" s="41"/>
      <c r="G21" s="41"/>
      <c r="H21" s="41"/>
      <c r="I21" s="41"/>
    </row>
    <row r="22" spans="1:9" x14ac:dyDescent="0.25">
      <c r="A22" s="44" t="str">
        <f>Savings!U2</f>
        <v>vince</v>
      </c>
      <c r="B22" s="70">
        <f>Savings!U16</f>
        <v>1.4784904284172432E-2</v>
      </c>
      <c r="C22" s="71">
        <f>Savings!U17</f>
        <v>12428.708012925292</v>
      </c>
      <c r="D22" s="44">
        <v>200</v>
      </c>
      <c r="E22" s="71">
        <f t="shared" si="0"/>
        <v>12228.708012925292</v>
      </c>
      <c r="F22" s="41"/>
      <c r="G22" s="41"/>
      <c r="H22" s="41"/>
      <c r="I22" s="41"/>
    </row>
    <row r="23" spans="1:9" x14ac:dyDescent="0.25">
      <c r="A23" s="44" t="str">
        <f>Savings!V2</f>
        <v>ryan</v>
      </c>
      <c r="B23" s="70">
        <f>Savings!V16</f>
        <v>1.2594548093924664E-2</v>
      </c>
      <c r="C23" s="71">
        <f>Savings!V17</f>
        <v>10587.417936936359</v>
      </c>
      <c r="D23" s="44">
        <v>200</v>
      </c>
      <c r="E23" s="71">
        <f t="shared" si="0"/>
        <v>10387.417936936359</v>
      </c>
      <c r="F23" s="41"/>
      <c r="G23" s="41"/>
      <c r="H23" s="41"/>
      <c r="I23" s="41"/>
    </row>
    <row r="24" spans="1:9" x14ac:dyDescent="0.25">
      <c r="A24" s="44" t="str">
        <f>Savings!W2</f>
        <v>hazel</v>
      </c>
      <c r="B24" s="70">
        <f>Savings!W16</f>
        <v>1.6427671426858258E-2</v>
      </c>
      <c r="C24" s="71">
        <f>Savings!W17</f>
        <v>13809.675569916992</v>
      </c>
      <c r="D24" s="44">
        <v>200</v>
      </c>
      <c r="E24" s="71">
        <f t="shared" si="0"/>
        <v>13609.675569916992</v>
      </c>
      <c r="F24" s="41"/>
      <c r="G24" s="41"/>
      <c r="H24" s="41"/>
      <c r="I24" s="41"/>
    </row>
    <row r="25" spans="1:9" x14ac:dyDescent="0.25">
      <c r="A25" s="71" t="str">
        <f>Savings!X2</f>
        <v>kero</v>
      </c>
      <c r="B25" s="70">
        <f>Savings!X16</f>
        <v>2.0808383807353791E-2</v>
      </c>
      <c r="C25" s="71">
        <f>Savings!X17</f>
        <v>17492.255721894853</v>
      </c>
      <c r="D25" s="44">
        <v>200</v>
      </c>
      <c r="E25" s="71">
        <f t="shared" si="0"/>
        <v>17292.255721894853</v>
      </c>
    </row>
    <row r="26" spans="1:9" x14ac:dyDescent="0.25">
      <c r="A26" s="44" t="str">
        <f>Savings!Y2</f>
        <v>gef</v>
      </c>
      <c r="B26" s="70">
        <f>Savings!Y16</f>
        <v>2.0808383807353791E-2</v>
      </c>
      <c r="C26" s="71">
        <f>Savings!Y17</f>
        <v>17492.255721894853</v>
      </c>
      <c r="D26" s="44">
        <v>200</v>
      </c>
      <c r="E26" s="71">
        <f t="shared" si="0"/>
        <v>17292.255721894853</v>
      </c>
    </row>
    <row r="27" spans="1:9" x14ac:dyDescent="0.25">
      <c r="A27" s="44" t="str">
        <f>Savings!Z2</f>
        <v>alvin</v>
      </c>
      <c r="B27" s="70">
        <f>Savings!Z16</f>
        <v>8.2138357134291292E-3</v>
      </c>
      <c r="C27" s="71">
        <f>Savings!Z17</f>
        <v>6904.8377849584958</v>
      </c>
      <c r="D27" s="44">
        <v>200</v>
      </c>
      <c r="E27" s="71">
        <f t="shared" si="0"/>
        <v>6704.8377849584958</v>
      </c>
    </row>
    <row r="28" spans="1:9" x14ac:dyDescent="0.25">
      <c r="A28" s="44" t="str">
        <f>Savings!AA2</f>
        <v>gugu</v>
      </c>
      <c r="B28" s="70">
        <f>Savings!AA16</f>
        <v>0</v>
      </c>
      <c r="C28" s="71">
        <f>Savings!AA17</f>
        <v>0</v>
      </c>
      <c r="D28" s="44">
        <v>200</v>
      </c>
      <c r="E28" s="71">
        <f t="shared" si="0"/>
        <v>-200</v>
      </c>
    </row>
    <row r="29" spans="1:9" x14ac:dyDescent="0.25">
      <c r="A29" s="41"/>
    </row>
  </sheetData>
  <mergeCells count="7">
    <mergeCell ref="F16:G17"/>
    <mergeCell ref="H16:I17"/>
    <mergeCell ref="A1:I2"/>
    <mergeCell ref="F3:I4"/>
    <mergeCell ref="F5:I6"/>
    <mergeCell ref="F14:G15"/>
    <mergeCell ref="H14:I1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Button1_Click">
                <anchor moveWithCells="1" sizeWithCells="1">
                  <from>
                    <xdr:col>5</xdr:col>
                    <xdr:colOff>200025</xdr:colOff>
                    <xdr:row>6</xdr:row>
                    <xdr:rowOff>114300</xdr:rowOff>
                  </from>
                  <to>
                    <xdr:col>8</xdr:col>
                    <xdr:colOff>466725</xdr:colOff>
                    <xdr:row>12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A072C-8354-4951-81AA-4F6282475451}">
  <sheetPr codeName="Sheet8"/>
  <dimension ref="A1:AF141"/>
  <sheetViews>
    <sheetView zoomScale="85" zoomScaleNormal="85" workbookViewId="0">
      <selection activeCell="B3" sqref="B3"/>
    </sheetView>
  </sheetViews>
  <sheetFormatPr defaultRowHeight="15" x14ac:dyDescent="0.25"/>
  <cols>
    <col min="1" max="1" width="23" style="35" customWidth="1"/>
    <col min="2" max="2" width="14.7109375" customWidth="1"/>
    <col min="3" max="3" width="11.85546875" bestFit="1" customWidth="1"/>
    <col min="4" max="4" width="10.28515625" bestFit="1" customWidth="1"/>
    <col min="5" max="5" width="10.140625" bestFit="1" customWidth="1"/>
    <col min="6" max="7" width="11.7109375" bestFit="1" customWidth="1"/>
    <col min="8" max="8" width="10.140625" bestFit="1" customWidth="1"/>
    <col min="9" max="9" width="11.7109375" bestFit="1" customWidth="1"/>
    <col min="10" max="10" width="9.28515625" bestFit="1" customWidth="1"/>
    <col min="11" max="11" width="11.7109375" bestFit="1" customWidth="1"/>
    <col min="12" max="14" width="10.140625" bestFit="1" customWidth="1"/>
    <col min="15" max="15" width="10.28515625" bestFit="1" customWidth="1"/>
    <col min="16" max="16" width="10.140625" bestFit="1" customWidth="1"/>
    <col min="17" max="17" width="11.7109375" bestFit="1" customWidth="1"/>
    <col min="18" max="18" width="10.140625" bestFit="1" customWidth="1"/>
    <col min="19" max="20" width="11.7109375" bestFit="1" customWidth="1"/>
    <col min="21" max="25" width="10.140625" bestFit="1" customWidth="1"/>
    <col min="26" max="26" width="11.42578125" customWidth="1"/>
    <col min="27" max="27" width="12.28515625" customWidth="1"/>
    <col min="32" max="32" width="13.140625" customWidth="1"/>
  </cols>
  <sheetData>
    <row r="1" spans="1:28" ht="15.75" thickBot="1" x14ac:dyDescent="0.3">
      <c r="A1" s="38" t="s">
        <v>49</v>
      </c>
    </row>
    <row r="2" spans="1:28" ht="15.75" thickBot="1" x14ac:dyDescent="0.3">
      <c r="A2" s="46" t="s">
        <v>4</v>
      </c>
      <c r="B2" s="64" t="s">
        <v>46</v>
      </c>
      <c r="C2" s="59" t="s">
        <v>21</v>
      </c>
      <c r="D2" s="57" t="s">
        <v>22</v>
      </c>
      <c r="E2" s="58" t="s">
        <v>23</v>
      </c>
      <c r="F2" s="58" t="s">
        <v>24</v>
      </c>
      <c r="G2" s="58" t="s">
        <v>25</v>
      </c>
      <c r="H2" s="58" t="s">
        <v>26</v>
      </c>
      <c r="I2" s="58" t="s">
        <v>27</v>
      </c>
      <c r="J2" s="58" t="s">
        <v>28</v>
      </c>
      <c r="K2" s="58" t="s">
        <v>29</v>
      </c>
      <c r="L2" s="58" t="s">
        <v>20</v>
      </c>
      <c r="M2" s="58" t="s">
        <v>30</v>
      </c>
      <c r="N2" s="58" t="s">
        <v>31</v>
      </c>
      <c r="O2" s="58" t="s">
        <v>32</v>
      </c>
      <c r="P2" s="58" t="s">
        <v>33</v>
      </c>
      <c r="Q2" s="58" t="s">
        <v>34</v>
      </c>
      <c r="R2" s="58" t="s">
        <v>35</v>
      </c>
      <c r="S2" s="58" t="s">
        <v>36</v>
      </c>
      <c r="T2" s="58" t="s">
        <v>37</v>
      </c>
      <c r="U2" s="58" t="s">
        <v>6</v>
      </c>
      <c r="V2" s="58" t="s">
        <v>0</v>
      </c>
      <c r="W2" s="58" t="s">
        <v>38</v>
      </c>
      <c r="X2" s="58" t="s">
        <v>39</v>
      </c>
      <c r="Y2" s="58" t="s">
        <v>40</v>
      </c>
      <c r="Z2" s="58" t="s">
        <v>43</v>
      </c>
      <c r="AA2" s="130" t="s">
        <v>45</v>
      </c>
      <c r="AB2">
        <v>123</v>
      </c>
    </row>
    <row r="3" spans="1:28" x14ac:dyDescent="0.25">
      <c r="A3" s="47">
        <v>41820</v>
      </c>
      <c r="B3" s="65">
        <v>35435</v>
      </c>
      <c r="C3" s="60">
        <v>300000</v>
      </c>
      <c r="D3" s="55">
        <v>19310</v>
      </c>
      <c r="E3" s="55">
        <v>53240</v>
      </c>
      <c r="F3" s="55">
        <v>68745</v>
      </c>
      <c r="G3" s="55">
        <v>95733</v>
      </c>
      <c r="H3" s="55">
        <v>65667</v>
      </c>
      <c r="I3" s="55">
        <v>157226</v>
      </c>
      <c r="J3" s="55">
        <v>3834</v>
      </c>
      <c r="K3" s="55">
        <v>134305</v>
      </c>
      <c r="L3" s="55">
        <v>45065</v>
      </c>
      <c r="M3" s="55">
        <v>44500</v>
      </c>
      <c r="N3" s="55">
        <v>25672</v>
      </c>
      <c r="O3" s="55">
        <v>5000</v>
      </c>
      <c r="P3" s="55">
        <v>14070</v>
      </c>
      <c r="Q3" s="55">
        <v>175629</v>
      </c>
      <c r="R3" s="55">
        <v>5000</v>
      </c>
      <c r="S3" s="55">
        <v>157027</v>
      </c>
      <c r="T3" s="55">
        <v>66164</v>
      </c>
      <c r="U3" s="55">
        <v>5000</v>
      </c>
      <c r="V3" s="55">
        <v>3000</v>
      </c>
      <c r="W3" s="55">
        <v>5000</v>
      </c>
      <c r="X3" s="55">
        <v>5000</v>
      </c>
      <c r="Y3" s="55">
        <v>5000</v>
      </c>
      <c r="Z3" s="55">
        <v>0</v>
      </c>
      <c r="AA3" s="56"/>
    </row>
    <row r="4" spans="1:28" x14ac:dyDescent="0.25">
      <c r="A4" s="47">
        <v>41835</v>
      </c>
      <c r="B4" s="66">
        <v>148000</v>
      </c>
      <c r="C4" s="61">
        <v>0</v>
      </c>
      <c r="D4" s="40">
        <v>0</v>
      </c>
      <c r="E4" s="40">
        <v>3000</v>
      </c>
      <c r="F4" s="40">
        <v>3000</v>
      </c>
      <c r="G4" s="40">
        <v>2000</v>
      </c>
      <c r="H4" s="40">
        <v>0</v>
      </c>
      <c r="I4" s="40">
        <v>3000</v>
      </c>
      <c r="J4" s="40">
        <v>0</v>
      </c>
      <c r="K4" s="40">
        <v>3000</v>
      </c>
      <c r="L4" s="40">
        <v>500</v>
      </c>
      <c r="M4" s="40">
        <v>500</v>
      </c>
      <c r="N4" s="40">
        <v>500</v>
      </c>
      <c r="O4" s="40">
        <v>1000</v>
      </c>
      <c r="P4" s="40">
        <v>0</v>
      </c>
      <c r="Q4" s="40">
        <v>3000</v>
      </c>
      <c r="R4" s="40">
        <v>0</v>
      </c>
      <c r="S4" s="40">
        <v>0</v>
      </c>
      <c r="T4" s="40">
        <v>2000</v>
      </c>
      <c r="U4" s="40">
        <v>2000</v>
      </c>
      <c r="V4" s="40">
        <v>2000</v>
      </c>
      <c r="W4" s="40">
        <v>2000</v>
      </c>
      <c r="X4" s="40">
        <v>3000</v>
      </c>
      <c r="Y4" s="40">
        <v>3000</v>
      </c>
      <c r="Z4" s="40">
        <v>0</v>
      </c>
      <c r="AA4" s="51"/>
    </row>
    <row r="5" spans="1:28" x14ac:dyDescent="0.25">
      <c r="A5" s="47">
        <v>41850</v>
      </c>
      <c r="B5" s="66">
        <v>54300</v>
      </c>
      <c r="C5" s="61">
        <v>0</v>
      </c>
      <c r="D5" s="40">
        <v>0</v>
      </c>
      <c r="E5" s="40">
        <v>3000</v>
      </c>
      <c r="F5" s="40">
        <v>3000</v>
      </c>
      <c r="G5" s="40">
        <v>2000</v>
      </c>
      <c r="H5" s="40">
        <v>0</v>
      </c>
      <c r="I5" s="40">
        <v>3000</v>
      </c>
      <c r="J5" s="40">
        <v>0</v>
      </c>
      <c r="K5" s="40">
        <v>3000</v>
      </c>
      <c r="L5" s="40">
        <v>500</v>
      </c>
      <c r="M5" s="40">
        <v>500</v>
      </c>
      <c r="N5" s="40">
        <v>500</v>
      </c>
      <c r="O5" s="40">
        <v>0</v>
      </c>
      <c r="P5" s="40">
        <v>0</v>
      </c>
      <c r="Q5" s="40">
        <v>3000</v>
      </c>
      <c r="R5" s="40">
        <v>0</v>
      </c>
      <c r="S5" s="40">
        <v>1000</v>
      </c>
      <c r="T5" s="40">
        <v>2000</v>
      </c>
      <c r="U5" s="40">
        <v>2000</v>
      </c>
      <c r="V5" s="40">
        <v>1500</v>
      </c>
      <c r="W5" s="40">
        <v>2000</v>
      </c>
      <c r="X5" s="40">
        <v>3000</v>
      </c>
      <c r="Y5" s="40">
        <v>3000</v>
      </c>
      <c r="Z5" s="40"/>
      <c r="AA5" s="51"/>
    </row>
    <row r="6" spans="1:28" x14ac:dyDescent="0.25">
      <c r="A6" s="47">
        <v>41866</v>
      </c>
      <c r="B6" s="66">
        <v>76000</v>
      </c>
      <c r="C6" s="61">
        <v>0</v>
      </c>
      <c r="D6" s="40">
        <v>0</v>
      </c>
      <c r="E6" s="40">
        <v>-17000</v>
      </c>
      <c r="F6" s="40">
        <v>3000</v>
      </c>
      <c r="G6" s="40">
        <v>2000</v>
      </c>
      <c r="H6" s="40">
        <v>0</v>
      </c>
      <c r="I6" s="40">
        <v>3000</v>
      </c>
      <c r="J6" s="40">
        <v>0</v>
      </c>
      <c r="K6" s="40">
        <v>3000</v>
      </c>
      <c r="L6" s="40">
        <v>500</v>
      </c>
      <c r="M6" s="40">
        <v>500</v>
      </c>
      <c r="N6" s="40">
        <v>0</v>
      </c>
      <c r="O6" s="40">
        <v>0</v>
      </c>
      <c r="P6" s="40">
        <v>0</v>
      </c>
      <c r="Q6" s="40">
        <v>3000</v>
      </c>
      <c r="R6" s="40">
        <v>3000</v>
      </c>
      <c r="S6" s="40">
        <v>3000</v>
      </c>
      <c r="T6" s="40">
        <v>2000</v>
      </c>
      <c r="U6" s="40">
        <v>2000</v>
      </c>
      <c r="V6" s="40">
        <v>1500</v>
      </c>
      <c r="W6" s="40">
        <v>3000</v>
      </c>
      <c r="X6" s="40">
        <v>3000</v>
      </c>
      <c r="Y6" s="40">
        <v>3000</v>
      </c>
      <c r="Z6" s="40"/>
      <c r="AA6" s="51"/>
    </row>
    <row r="7" spans="1:28" x14ac:dyDescent="0.25">
      <c r="A7" s="47">
        <v>41881</v>
      </c>
      <c r="B7" s="66">
        <v>56500</v>
      </c>
      <c r="C7" s="61">
        <v>0</v>
      </c>
      <c r="D7" s="40">
        <v>0</v>
      </c>
      <c r="E7" s="40">
        <v>0</v>
      </c>
      <c r="F7" s="40">
        <v>3000</v>
      </c>
      <c r="G7" s="40">
        <v>2000</v>
      </c>
      <c r="H7" s="40">
        <v>0</v>
      </c>
      <c r="I7" s="40">
        <v>3000</v>
      </c>
      <c r="J7" s="40">
        <v>500</v>
      </c>
      <c r="K7" s="40">
        <v>3000</v>
      </c>
      <c r="L7" s="40">
        <v>500</v>
      </c>
      <c r="M7" s="40">
        <v>500</v>
      </c>
      <c r="N7" s="40">
        <v>0</v>
      </c>
      <c r="O7" s="40">
        <v>0</v>
      </c>
      <c r="P7" s="40">
        <v>0</v>
      </c>
      <c r="Q7" s="40">
        <v>3000</v>
      </c>
      <c r="R7" s="40">
        <v>0</v>
      </c>
      <c r="S7" s="40">
        <v>2000</v>
      </c>
      <c r="T7" s="40">
        <v>2000</v>
      </c>
      <c r="U7" s="40">
        <v>2000</v>
      </c>
      <c r="V7" s="40">
        <v>1000</v>
      </c>
      <c r="W7" s="40">
        <v>3000</v>
      </c>
      <c r="X7" s="40">
        <v>3000</v>
      </c>
      <c r="Y7" s="40">
        <v>3000</v>
      </c>
      <c r="Z7" s="40">
        <v>3000</v>
      </c>
      <c r="AA7" s="51"/>
    </row>
    <row r="8" spans="1:28" x14ac:dyDescent="0.25">
      <c r="A8" s="47">
        <v>41897</v>
      </c>
      <c r="B8" s="66">
        <v>60000</v>
      </c>
      <c r="C8" s="61">
        <v>0</v>
      </c>
      <c r="D8" s="40">
        <v>0</v>
      </c>
      <c r="E8" s="40">
        <v>3000</v>
      </c>
      <c r="F8" s="40">
        <v>3000</v>
      </c>
      <c r="G8" s="40">
        <v>1000</v>
      </c>
      <c r="H8" s="40">
        <v>0</v>
      </c>
      <c r="I8" s="40">
        <v>3000</v>
      </c>
      <c r="J8" s="40">
        <v>0</v>
      </c>
      <c r="K8" s="40">
        <v>3000</v>
      </c>
      <c r="L8" s="40">
        <v>500</v>
      </c>
      <c r="M8" s="40">
        <v>500</v>
      </c>
      <c r="N8" s="40">
        <v>0</v>
      </c>
      <c r="O8" s="40">
        <v>0</v>
      </c>
      <c r="P8" s="40">
        <v>0</v>
      </c>
      <c r="Q8" s="40">
        <v>3000</v>
      </c>
      <c r="R8" s="40">
        <v>0</v>
      </c>
      <c r="S8" s="40">
        <v>1000</v>
      </c>
      <c r="T8" s="40">
        <v>2000</v>
      </c>
      <c r="U8" s="40">
        <v>2000</v>
      </c>
      <c r="V8" s="40">
        <v>2000</v>
      </c>
      <c r="W8" s="40">
        <v>3000</v>
      </c>
      <c r="X8" s="40">
        <v>3000</v>
      </c>
      <c r="Y8" s="40">
        <v>3000</v>
      </c>
      <c r="Z8" s="40">
        <v>3000</v>
      </c>
      <c r="AA8" s="51"/>
    </row>
    <row r="9" spans="1:28" x14ac:dyDescent="0.25">
      <c r="A9" s="47">
        <v>41912</v>
      </c>
      <c r="B9" s="66">
        <v>125000</v>
      </c>
      <c r="C9" s="61">
        <v>0</v>
      </c>
      <c r="D9" s="40">
        <v>0</v>
      </c>
      <c r="E9" s="40">
        <v>3000</v>
      </c>
      <c r="F9" s="40">
        <v>3000</v>
      </c>
      <c r="G9" s="40">
        <v>2000</v>
      </c>
      <c r="H9" s="40">
        <v>0</v>
      </c>
      <c r="I9" s="40">
        <v>3000</v>
      </c>
      <c r="J9" s="40">
        <v>500</v>
      </c>
      <c r="K9" s="40">
        <v>3000</v>
      </c>
      <c r="L9" s="40">
        <v>500</v>
      </c>
      <c r="M9" s="40">
        <v>500</v>
      </c>
      <c r="N9" s="40">
        <v>0</v>
      </c>
      <c r="O9" s="40">
        <v>0</v>
      </c>
      <c r="P9" s="40">
        <v>0</v>
      </c>
      <c r="Q9" s="40">
        <v>3000</v>
      </c>
      <c r="R9" s="40">
        <v>0</v>
      </c>
      <c r="S9" s="40">
        <v>2000</v>
      </c>
      <c r="T9" s="40">
        <v>2000</v>
      </c>
      <c r="U9" s="40">
        <v>2000</v>
      </c>
      <c r="V9" s="40">
        <v>2000</v>
      </c>
      <c r="W9" s="40">
        <v>3000</v>
      </c>
      <c r="X9" s="40">
        <v>3000</v>
      </c>
      <c r="Y9" s="40">
        <v>3000</v>
      </c>
      <c r="Z9" s="40">
        <v>3000</v>
      </c>
      <c r="AA9" s="51"/>
    </row>
    <row r="10" spans="1:28" x14ac:dyDescent="0.25">
      <c r="A10" s="47">
        <v>41927</v>
      </c>
      <c r="B10" s="66">
        <v>99000</v>
      </c>
      <c r="C10" s="61">
        <v>0</v>
      </c>
      <c r="D10" s="40">
        <v>0</v>
      </c>
      <c r="E10" s="40">
        <v>3000</v>
      </c>
      <c r="F10" s="40">
        <v>3000</v>
      </c>
      <c r="G10" s="40">
        <v>1000</v>
      </c>
      <c r="H10" s="40">
        <v>0</v>
      </c>
      <c r="I10" s="40">
        <v>3000</v>
      </c>
      <c r="J10" s="40">
        <v>0</v>
      </c>
      <c r="K10" s="40">
        <v>3000</v>
      </c>
      <c r="L10" s="40">
        <v>500</v>
      </c>
      <c r="M10" s="40">
        <v>500</v>
      </c>
      <c r="N10" s="40">
        <v>500</v>
      </c>
      <c r="O10" s="40">
        <v>0</v>
      </c>
      <c r="P10" s="40">
        <v>0</v>
      </c>
      <c r="Q10" s="40">
        <v>3000</v>
      </c>
      <c r="R10" s="40">
        <v>500</v>
      </c>
      <c r="S10" s="40">
        <v>3000</v>
      </c>
      <c r="T10" s="40">
        <v>2000</v>
      </c>
      <c r="U10" s="40">
        <v>2000</v>
      </c>
      <c r="V10" s="40">
        <v>2000</v>
      </c>
      <c r="W10" s="40">
        <v>3000</v>
      </c>
      <c r="X10" s="40">
        <v>3000</v>
      </c>
      <c r="Y10" s="40">
        <v>3000</v>
      </c>
      <c r="Z10" s="40">
        <v>3000</v>
      </c>
      <c r="AA10" s="51"/>
    </row>
    <row r="11" spans="1:28" x14ac:dyDescent="0.25">
      <c r="A11" s="47">
        <v>41942</v>
      </c>
      <c r="B11" s="66">
        <v>32000</v>
      </c>
      <c r="C11" s="61">
        <v>0</v>
      </c>
      <c r="D11" s="40">
        <v>0</v>
      </c>
      <c r="E11" s="40">
        <v>1000</v>
      </c>
      <c r="F11" s="40">
        <v>3000</v>
      </c>
      <c r="G11" s="40">
        <v>1000</v>
      </c>
      <c r="H11" s="40">
        <v>500</v>
      </c>
      <c r="I11" s="40">
        <v>3000</v>
      </c>
      <c r="J11" s="40">
        <v>0</v>
      </c>
      <c r="K11" s="40">
        <v>3000</v>
      </c>
      <c r="L11" s="40">
        <v>500</v>
      </c>
      <c r="M11" s="40">
        <v>500</v>
      </c>
      <c r="N11" s="40">
        <v>0</v>
      </c>
      <c r="O11" s="40">
        <v>0</v>
      </c>
      <c r="P11" s="40">
        <v>0</v>
      </c>
      <c r="Q11" s="40">
        <v>3000</v>
      </c>
      <c r="R11" s="40">
        <v>0</v>
      </c>
      <c r="S11" s="40">
        <v>3000</v>
      </c>
      <c r="T11" s="40">
        <v>2000</v>
      </c>
      <c r="U11" s="40">
        <v>2000</v>
      </c>
      <c r="V11" s="40">
        <v>2000</v>
      </c>
      <c r="W11" s="40">
        <v>0</v>
      </c>
      <c r="X11" s="40">
        <v>3000</v>
      </c>
      <c r="Y11" s="40">
        <v>3000</v>
      </c>
      <c r="Z11" s="40">
        <v>3000</v>
      </c>
      <c r="AA11" s="51"/>
    </row>
    <row r="12" spans="1:28" x14ac:dyDescent="0.25">
      <c r="A12" s="47">
        <v>41958</v>
      </c>
      <c r="B12" s="66">
        <v>76000</v>
      </c>
      <c r="C12" s="61">
        <v>0</v>
      </c>
      <c r="D12" s="40">
        <v>500</v>
      </c>
      <c r="E12" s="40">
        <v>1000</v>
      </c>
      <c r="F12" s="40">
        <v>2000</v>
      </c>
      <c r="G12" s="40">
        <v>1000</v>
      </c>
      <c r="H12" s="40">
        <v>500</v>
      </c>
      <c r="I12" s="40">
        <v>3000</v>
      </c>
      <c r="J12" s="40">
        <v>0</v>
      </c>
      <c r="K12" s="40">
        <v>3000</v>
      </c>
      <c r="L12" s="40">
        <v>500</v>
      </c>
      <c r="M12" s="40">
        <v>500</v>
      </c>
      <c r="N12" s="40">
        <v>0</v>
      </c>
      <c r="O12" s="40">
        <v>0</v>
      </c>
      <c r="P12" s="40">
        <v>0</v>
      </c>
      <c r="Q12" s="40">
        <v>3000</v>
      </c>
      <c r="R12" s="40">
        <v>1000</v>
      </c>
      <c r="S12" s="40">
        <v>3000</v>
      </c>
      <c r="T12" s="40">
        <v>2000</v>
      </c>
      <c r="U12" s="40">
        <v>2000</v>
      </c>
      <c r="V12" s="40">
        <v>2000</v>
      </c>
      <c r="W12" s="40">
        <v>0</v>
      </c>
      <c r="X12" s="40">
        <v>3000</v>
      </c>
      <c r="Y12" s="40">
        <v>3000</v>
      </c>
      <c r="Z12" s="40"/>
      <c r="AA12" s="51"/>
    </row>
    <row r="13" spans="1:28" x14ac:dyDescent="0.25">
      <c r="A13" s="47">
        <v>41973</v>
      </c>
      <c r="B13" s="66">
        <v>33400</v>
      </c>
      <c r="C13" s="61">
        <v>0</v>
      </c>
      <c r="D13" s="40">
        <v>500</v>
      </c>
      <c r="E13" s="40">
        <v>2000</v>
      </c>
      <c r="F13" s="40">
        <v>3000</v>
      </c>
      <c r="G13" s="40">
        <v>1000</v>
      </c>
      <c r="H13" s="40">
        <v>500</v>
      </c>
      <c r="I13" s="40">
        <v>3000</v>
      </c>
      <c r="J13" s="40">
        <v>0</v>
      </c>
      <c r="K13" s="40">
        <v>3000</v>
      </c>
      <c r="L13" s="40">
        <v>0</v>
      </c>
      <c r="M13" s="40">
        <v>500</v>
      </c>
      <c r="N13" s="40">
        <v>0</v>
      </c>
      <c r="O13" s="40">
        <v>0</v>
      </c>
      <c r="P13" s="40">
        <v>0</v>
      </c>
      <c r="Q13" s="40">
        <v>3000</v>
      </c>
      <c r="R13" s="40">
        <v>500</v>
      </c>
      <c r="S13" s="40">
        <v>3000</v>
      </c>
      <c r="T13" s="40">
        <v>2000</v>
      </c>
      <c r="U13" s="40">
        <v>2000</v>
      </c>
      <c r="V13" s="40">
        <v>2000</v>
      </c>
      <c r="W13" s="40">
        <v>3000</v>
      </c>
      <c r="X13" s="40">
        <v>3000</v>
      </c>
      <c r="Y13" s="40">
        <v>3000</v>
      </c>
      <c r="Z13" s="40"/>
      <c r="AA13" s="51"/>
    </row>
    <row r="14" spans="1:28" x14ac:dyDescent="0.25">
      <c r="A14" s="47">
        <v>41623</v>
      </c>
      <c r="B14" s="67">
        <v>45000</v>
      </c>
      <c r="C14" s="61">
        <v>0</v>
      </c>
      <c r="D14" s="40">
        <v>0</v>
      </c>
      <c r="E14" s="40">
        <v>2000</v>
      </c>
      <c r="F14" s="40">
        <v>3000</v>
      </c>
      <c r="G14" s="40">
        <v>1000</v>
      </c>
      <c r="H14" s="40">
        <v>500</v>
      </c>
      <c r="I14" s="40">
        <v>3000</v>
      </c>
      <c r="J14" s="40">
        <v>0</v>
      </c>
      <c r="K14" s="40">
        <v>3000</v>
      </c>
      <c r="L14" s="40">
        <v>0</v>
      </c>
      <c r="M14" s="40">
        <v>500</v>
      </c>
      <c r="N14" s="40">
        <v>0</v>
      </c>
      <c r="O14" s="40">
        <v>0</v>
      </c>
      <c r="P14" s="40">
        <v>0</v>
      </c>
      <c r="Q14" s="40">
        <v>3000</v>
      </c>
      <c r="R14" s="40">
        <v>500</v>
      </c>
      <c r="S14" s="40">
        <v>3000</v>
      </c>
      <c r="T14" s="40">
        <v>2000</v>
      </c>
      <c r="U14" s="40">
        <v>2000</v>
      </c>
      <c r="V14" s="40">
        <v>2000</v>
      </c>
      <c r="W14" s="40">
        <v>3000</v>
      </c>
      <c r="X14" s="40">
        <v>3000</v>
      </c>
      <c r="Y14" s="40">
        <v>3000</v>
      </c>
      <c r="Z14" s="40"/>
      <c r="AA14" s="51"/>
    </row>
    <row r="15" spans="1:28" x14ac:dyDescent="0.25">
      <c r="A15" s="48" t="s">
        <v>5</v>
      </c>
      <c r="B15" s="66">
        <f>SUM(B3:B14)</f>
        <v>840635</v>
      </c>
      <c r="C15" s="79">
        <f t="shared" ref="C15:Z15" si="0">SUM(C3:C14)</f>
        <v>300000</v>
      </c>
      <c r="D15" s="80">
        <f t="shared" si="0"/>
        <v>20310</v>
      </c>
      <c r="E15" s="80">
        <f t="shared" si="0"/>
        <v>57240</v>
      </c>
      <c r="F15" s="80">
        <f t="shared" si="0"/>
        <v>100745</v>
      </c>
      <c r="G15" s="80">
        <f t="shared" si="0"/>
        <v>111733</v>
      </c>
      <c r="H15" s="80">
        <f t="shared" si="0"/>
        <v>67667</v>
      </c>
      <c r="I15" s="80">
        <f t="shared" si="0"/>
        <v>190226</v>
      </c>
      <c r="J15" s="80">
        <f t="shared" si="0"/>
        <v>4834</v>
      </c>
      <c r="K15" s="80">
        <f t="shared" si="0"/>
        <v>167305</v>
      </c>
      <c r="L15" s="80">
        <f t="shared" si="0"/>
        <v>49565</v>
      </c>
      <c r="M15" s="80">
        <f t="shared" si="0"/>
        <v>50000</v>
      </c>
      <c r="N15" s="80">
        <f t="shared" si="0"/>
        <v>27172</v>
      </c>
      <c r="O15" s="80">
        <f t="shared" si="0"/>
        <v>6000</v>
      </c>
      <c r="P15" s="80">
        <f t="shared" si="0"/>
        <v>14070</v>
      </c>
      <c r="Q15" s="80">
        <f t="shared" si="0"/>
        <v>208629</v>
      </c>
      <c r="R15" s="80">
        <f t="shared" si="0"/>
        <v>10500</v>
      </c>
      <c r="S15" s="80">
        <f t="shared" si="0"/>
        <v>181027</v>
      </c>
      <c r="T15" s="80">
        <f t="shared" si="0"/>
        <v>88164</v>
      </c>
      <c r="U15" s="80">
        <f t="shared" si="0"/>
        <v>27000</v>
      </c>
      <c r="V15" s="80">
        <f t="shared" si="0"/>
        <v>23000</v>
      </c>
      <c r="W15" s="80">
        <f t="shared" si="0"/>
        <v>30000</v>
      </c>
      <c r="X15" s="80">
        <f t="shared" si="0"/>
        <v>38000</v>
      </c>
      <c r="Y15" s="80">
        <f t="shared" si="0"/>
        <v>38000</v>
      </c>
      <c r="Z15" s="80">
        <f t="shared" si="0"/>
        <v>15000</v>
      </c>
      <c r="AA15" s="81">
        <f>SUM(AB3:AB14)</f>
        <v>0</v>
      </c>
    </row>
    <row r="16" spans="1:28" x14ac:dyDescent="0.25">
      <c r="A16" s="49" t="s">
        <v>61</v>
      </c>
      <c r="B16" s="68">
        <f>SUM(C15:AA15)</f>
        <v>1826187</v>
      </c>
      <c r="C16" s="62">
        <f>C15/B16</f>
        <v>0.16427671426858256</v>
      </c>
      <c r="D16" s="39">
        <f>D15/B16</f>
        <v>1.112153355598304E-2</v>
      </c>
      <c r="E16" s="39">
        <f>E15/B16</f>
        <v>3.1343997082445556E-2</v>
      </c>
      <c r="F16" s="39">
        <f>F15/B16</f>
        <v>5.5166858596627837E-2</v>
      </c>
      <c r="G16" s="39">
        <f>G15/B16</f>
        <v>6.1183767051238458E-2</v>
      </c>
      <c r="H16" s="39">
        <f>H15/B16</f>
        <v>3.7053708081373926E-2</v>
      </c>
      <c r="I16" s="39">
        <f>I15/B16</f>
        <v>0.10416567416151797</v>
      </c>
      <c r="J16" s="39">
        <f>J15/B16</f>
        <v>2.6470454559144271E-3</v>
      </c>
      <c r="K16" s="39">
        <f>K15/B16</f>
        <v>9.161438560235069E-2</v>
      </c>
      <c r="L16" s="39">
        <f>L15/B16</f>
        <v>2.714125114240765E-2</v>
      </c>
      <c r="M16" s="39">
        <f>M15/B16</f>
        <v>2.7379452378097094E-2</v>
      </c>
      <c r="N16" s="39">
        <f>N15/B16</f>
        <v>1.4879089600353085E-2</v>
      </c>
      <c r="O16" s="39">
        <f>O15/B16</f>
        <v>3.2855342853716513E-3</v>
      </c>
      <c r="P16" s="39">
        <f>P15/B16</f>
        <v>7.7045778991965226E-3</v>
      </c>
      <c r="Q16" s="39">
        <f>Q15/B16</f>
        <v>0.11424295540380038</v>
      </c>
      <c r="R16" s="39">
        <f>R15/B16</f>
        <v>5.7496849994003903E-3</v>
      </c>
      <c r="S16" s="39">
        <f>S15/B16</f>
        <v>9.912840251299565E-2</v>
      </c>
      <c r="T16" s="39">
        <f>T15/B16</f>
        <v>4.8277640789251043E-2</v>
      </c>
      <c r="U16" s="39">
        <f>U15/B16</f>
        <v>1.4784904284172432E-2</v>
      </c>
      <c r="V16" s="39">
        <f>V15/B16</f>
        <v>1.2594548093924664E-2</v>
      </c>
      <c r="W16" s="39">
        <f>W15/B16</f>
        <v>1.6427671426858258E-2</v>
      </c>
      <c r="X16" s="39">
        <f>X15/B16</f>
        <v>2.0808383807353791E-2</v>
      </c>
      <c r="Y16" s="39">
        <f>Y15/B16</f>
        <v>2.0808383807353791E-2</v>
      </c>
      <c r="Z16" s="39">
        <f>Z15/B16</f>
        <v>8.2138357134291292E-3</v>
      </c>
      <c r="AA16" s="52">
        <f>AA15/B16</f>
        <v>0</v>
      </c>
    </row>
    <row r="17" spans="1:27" ht="15.75" thickBot="1" x14ac:dyDescent="0.3">
      <c r="A17" s="50" t="s">
        <v>62</v>
      </c>
      <c r="B17" s="69">
        <f>SUM(C17:AA17)</f>
        <v>840635</v>
      </c>
      <c r="C17" s="63">
        <f>B15*C16</f>
        <v>138096.75569916991</v>
      </c>
      <c r="D17" s="53">
        <f>B15*D16</f>
        <v>9349.1503608338026</v>
      </c>
      <c r="E17" s="53">
        <f>B15*E16</f>
        <v>26348.860987401618</v>
      </c>
      <c r="F17" s="53">
        <f>B15*F16</f>
        <v>46375.192176376244</v>
      </c>
      <c r="G17" s="53">
        <f>B15*G16</f>
        <v>51433.21601511784</v>
      </c>
      <c r="H17" s="53">
        <f>B15*H16</f>
        <v>31148.643892985769</v>
      </c>
      <c r="I17" s="53">
        <f>B15*I16</f>
        <v>87565.311498767653</v>
      </c>
      <c r="J17" s="53">
        <f>B15*J16</f>
        <v>2225.1990568326246</v>
      </c>
      <c r="K17" s="53">
        <f>B15*K16</f>
        <v>77014.259040832068</v>
      </c>
      <c r="L17" s="53">
        <f>B15*L16</f>
        <v>22815.885654097856</v>
      </c>
      <c r="M17" s="53">
        <f>B15*M16</f>
        <v>23016.125949861649</v>
      </c>
      <c r="N17" s="53">
        <f>B15*N16</f>
        <v>12507.883486192815</v>
      </c>
      <c r="O17" s="53">
        <f>B15*O16</f>
        <v>2761.935113983398</v>
      </c>
      <c r="P17" s="53">
        <f>B15*P16</f>
        <v>6476.7378422910688</v>
      </c>
      <c r="Q17" s="53">
        <f>B15*Q16</f>
        <v>96036.626815873722</v>
      </c>
      <c r="R17" s="53">
        <f>B15*R16</f>
        <v>4833.3864494709469</v>
      </c>
      <c r="S17" s="53">
        <f>B15*S16</f>
        <v>83330.804646512101</v>
      </c>
      <c r="T17" s="53">
        <f>B15*T16</f>
        <v>40583.874564872051</v>
      </c>
      <c r="U17" s="53">
        <f>B15*U16</f>
        <v>12428.708012925292</v>
      </c>
      <c r="V17" s="53">
        <f>B15*V16</f>
        <v>10587.417936936359</v>
      </c>
      <c r="W17" s="53">
        <f>B15*W16</f>
        <v>13809.675569916992</v>
      </c>
      <c r="X17" s="53">
        <f>B15*X16</f>
        <v>17492.255721894853</v>
      </c>
      <c r="Y17" s="53">
        <f>B15*Y16</f>
        <v>17492.255721894853</v>
      </c>
      <c r="Z17" s="53">
        <f>B15*Z16</f>
        <v>6904.8377849584958</v>
      </c>
      <c r="AA17" s="54">
        <f>B15*AA16</f>
        <v>0</v>
      </c>
    </row>
    <row r="18" spans="1:27" ht="15.75" thickBot="1" x14ac:dyDescent="0.3">
      <c r="B18" s="101">
        <f>SUM(C16:AA16)</f>
        <v>1.0000000000000002</v>
      </c>
    </row>
    <row r="19" spans="1:27" ht="15.75" thickBot="1" x14ac:dyDescent="0.3">
      <c r="A19" s="37" t="s">
        <v>47</v>
      </c>
    </row>
    <row r="20" spans="1:27" ht="15.75" thickBot="1" x14ac:dyDescent="0.3">
      <c r="A20" s="20" t="s">
        <v>4</v>
      </c>
      <c r="B20" s="45" t="s">
        <v>46</v>
      </c>
      <c r="C20" s="42" t="s">
        <v>21</v>
      </c>
      <c r="D20" s="42" t="s">
        <v>22</v>
      </c>
      <c r="E20" s="43" t="s">
        <v>23</v>
      </c>
      <c r="F20" s="43" t="s">
        <v>24</v>
      </c>
      <c r="G20" s="43" t="s">
        <v>25</v>
      </c>
      <c r="H20" s="43" t="s">
        <v>26</v>
      </c>
      <c r="I20" s="43" t="s">
        <v>27</v>
      </c>
      <c r="J20" s="43" t="s">
        <v>28</v>
      </c>
      <c r="K20" s="43" t="s">
        <v>29</v>
      </c>
      <c r="L20" s="43" t="s">
        <v>20</v>
      </c>
      <c r="M20" s="43" t="s">
        <v>30</v>
      </c>
      <c r="N20" s="43" t="s">
        <v>31</v>
      </c>
      <c r="O20" s="43" t="s">
        <v>32</v>
      </c>
      <c r="P20" s="43" t="s">
        <v>33</v>
      </c>
      <c r="Q20" s="43" t="s">
        <v>34</v>
      </c>
      <c r="R20" s="43" t="s">
        <v>35</v>
      </c>
      <c r="S20" s="43" t="s">
        <v>36</v>
      </c>
      <c r="T20" s="43" t="s">
        <v>37</v>
      </c>
      <c r="U20" s="43" t="s">
        <v>6</v>
      </c>
      <c r="V20" s="43" t="s">
        <v>0</v>
      </c>
      <c r="W20" s="43" t="s">
        <v>38</v>
      </c>
      <c r="X20" s="43" t="s">
        <v>39</v>
      </c>
      <c r="Y20" s="43" t="s">
        <v>40</v>
      </c>
      <c r="Z20" s="43" t="s">
        <v>43</v>
      </c>
      <c r="AA20" s="43" t="s">
        <v>44</v>
      </c>
    </row>
    <row r="21" spans="1:27" x14ac:dyDescent="0.25">
      <c r="A21" s="26">
        <v>42003</v>
      </c>
      <c r="B21" s="78">
        <v>35435</v>
      </c>
      <c r="C21" s="40">
        <v>0</v>
      </c>
      <c r="D21" s="40">
        <v>0</v>
      </c>
      <c r="E21" s="40">
        <v>1000</v>
      </c>
      <c r="F21" s="40">
        <v>3000</v>
      </c>
      <c r="G21" s="40">
        <v>3000</v>
      </c>
      <c r="H21" s="40">
        <v>500</v>
      </c>
      <c r="I21" s="40">
        <v>3000</v>
      </c>
      <c r="J21" s="40">
        <v>0</v>
      </c>
      <c r="K21" s="40">
        <v>3000</v>
      </c>
      <c r="L21" s="40">
        <v>500</v>
      </c>
      <c r="M21" s="40">
        <v>500</v>
      </c>
      <c r="N21" s="40">
        <v>0</v>
      </c>
      <c r="O21" s="40">
        <v>0</v>
      </c>
      <c r="P21" s="40">
        <v>0</v>
      </c>
      <c r="Q21" s="40">
        <v>3000</v>
      </c>
      <c r="R21" s="40">
        <v>0</v>
      </c>
      <c r="S21" s="40">
        <v>3000</v>
      </c>
      <c r="T21" s="40">
        <v>3000</v>
      </c>
      <c r="U21" s="40">
        <v>2000</v>
      </c>
      <c r="V21" s="40">
        <v>0</v>
      </c>
      <c r="W21" s="40">
        <v>0</v>
      </c>
      <c r="X21" s="40">
        <v>3000</v>
      </c>
      <c r="Y21" s="40">
        <v>3000</v>
      </c>
      <c r="Z21" s="40"/>
      <c r="AA21" s="40"/>
    </row>
    <row r="22" spans="1:27" x14ac:dyDescent="0.25">
      <c r="A22" s="27">
        <v>41654</v>
      </c>
      <c r="B22" s="78">
        <v>234234</v>
      </c>
      <c r="C22" s="40">
        <v>0</v>
      </c>
      <c r="D22" s="40">
        <v>300</v>
      </c>
      <c r="E22" s="40">
        <v>1000</v>
      </c>
      <c r="F22" s="40">
        <v>3000</v>
      </c>
      <c r="G22" s="40">
        <v>3000</v>
      </c>
      <c r="H22" s="40">
        <v>500</v>
      </c>
      <c r="I22" s="40">
        <v>3000</v>
      </c>
      <c r="J22" s="40">
        <v>0</v>
      </c>
      <c r="K22" s="40">
        <v>3000</v>
      </c>
      <c r="L22" s="40">
        <v>0</v>
      </c>
      <c r="M22" s="40">
        <v>500</v>
      </c>
      <c r="N22" s="40">
        <v>0</v>
      </c>
      <c r="O22" s="40">
        <v>1000</v>
      </c>
      <c r="P22" s="40">
        <v>0</v>
      </c>
      <c r="Q22" s="40">
        <v>3000</v>
      </c>
      <c r="R22" s="40">
        <v>0</v>
      </c>
      <c r="S22" s="40">
        <v>3000</v>
      </c>
      <c r="T22" s="40">
        <v>3000</v>
      </c>
      <c r="U22" s="40">
        <v>2000</v>
      </c>
      <c r="V22" s="40">
        <v>2000</v>
      </c>
      <c r="W22" s="40">
        <v>0</v>
      </c>
      <c r="X22" s="40">
        <v>3000</v>
      </c>
      <c r="Y22" s="40">
        <v>3000</v>
      </c>
      <c r="Z22" s="40"/>
      <c r="AA22" s="40"/>
    </row>
    <row r="23" spans="1:27" x14ac:dyDescent="0.25">
      <c r="A23" s="27">
        <v>41669</v>
      </c>
      <c r="B23" s="78">
        <v>23423</v>
      </c>
      <c r="C23" s="40">
        <v>0</v>
      </c>
      <c r="D23" s="40">
        <v>300</v>
      </c>
      <c r="E23" s="40">
        <v>0</v>
      </c>
      <c r="F23" s="40">
        <v>1000</v>
      </c>
      <c r="G23" s="40">
        <v>3000</v>
      </c>
      <c r="H23" s="40">
        <v>500</v>
      </c>
      <c r="I23" s="40">
        <v>3000</v>
      </c>
      <c r="J23" s="40">
        <v>0</v>
      </c>
      <c r="K23" s="40">
        <v>3000</v>
      </c>
      <c r="L23" s="40">
        <v>0</v>
      </c>
      <c r="M23" s="40">
        <v>500</v>
      </c>
      <c r="N23" s="40">
        <v>0</v>
      </c>
      <c r="O23" s="40">
        <v>1000</v>
      </c>
      <c r="P23" s="40">
        <v>0</v>
      </c>
      <c r="Q23" s="40">
        <v>3000</v>
      </c>
      <c r="R23" s="40">
        <v>0</v>
      </c>
      <c r="S23" s="40">
        <v>3000</v>
      </c>
      <c r="T23" s="40">
        <v>3000</v>
      </c>
      <c r="U23" s="40">
        <v>2000</v>
      </c>
      <c r="V23" s="40">
        <v>2000</v>
      </c>
      <c r="W23" s="40">
        <v>0</v>
      </c>
      <c r="X23" s="40">
        <v>3000</v>
      </c>
      <c r="Y23" s="40">
        <v>3000</v>
      </c>
      <c r="Z23" s="40"/>
      <c r="AA23" s="40"/>
    </row>
    <row r="24" spans="1:27" x14ac:dyDescent="0.25">
      <c r="A24" s="27">
        <v>41685</v>
      </c>
      <c r="B24" s="78">
        <v>23423</v>
      </c>
      <c r="C24" s="40">
        <v>0</v>
      </c>
      <c r="D24" s="40">
        <v>300</v>
      </c>
      <c r="E24" s="40">
        <v>1500</v>
      </c>
      <c r="F24" s="40">
        <v>1000</v>
      </c>
      <c r="G24" s="40">
        <v>3000</v>
      </c>
      <c r="H24" s="40">
        <v>500</v>
      </c>
      <c r="I24" s="40">
        <v>3000</v>
      </c>
      <c r="J24" s="40">
        <v>0</v>
      </c>
      <c r="K24" s="40">
        <v>3000</v>
      </c>
      <c r="L24" s="40">
        <v>500</v>
      </c>
      <c r="M24" s="40">
        <v>500</v>
      </c>
      <c r="N24" s="40">
        <v>0</v>
      </c>
      <c r="O24" s="40">
        <v>500</v>
      </c>
      <c r="P24" s="40">
        <v>0</v>
      </c>
      <c r="Q24" s="40">
        <v>3000</v>
      </c>
      <c r="R24" s="40">
        <v>410</v>
      </c>
      <c r="S24" s="40">
        <v>3000</v>
      </c>
      <c r="T24" s="40">
        <v>3000</v>
      </c>
      <c r="U24" s="40">
        <v>2000</v>
      </c>
      <c r="V24" s="40">
        <v>0</v>
      </c>
      <c r="W24" s="40">
        <v>0</v>
      </c>
      <c r="X24" s="40">
        <v>3000</v>
      </c>
      <c r="Y24" s="40">
        <v>3000</v>
      </c>
      <c r="Z24" s="40"/>
      <c r="AA24" s="40"/>
    </row>
    <row r="25" spans="1:27" x14ac:dyDescent="0.25">
      <c r="A25" s="27">
        <v>41698</v>
      </c>
      <c r="B25" s="78">
        <v>32423</v>
      </c>
      <c r="C25" s="40">
        <v>0</v>
      </c>
      <c r="D25" s="40">
        <v>0</v>
      </c>
      <c r="E25" s="40">
        <v>0</v>
      </c>
      <c r="F25" s="40">
        <v>1000</v>
      </c>
      <c r="G25" s="40">
        <v>3000</v>
      </c>
      <c r="H25" s="40">
        <v>0</v>
      </c>
      <c r="I25" s="40">
        <v>3000</v>
      </c>
      <c r="J25" s="40">
        <v>0</v>
      </c>
      <c r="K25" s="40">
        <v>3000</v>
      </c>
      <c r="L25" s="40">
        <v>500</v>
      </c>
      <c r="M25" s="40">
        <v>500</v>
      </c>
      <c r="N25" s="40">
        <v>0</v>
      </c>
      <c r="O25" s="40">
        <v>1000</v>
      </c>
      <c r="P25" s="40">
        <v>0</v>
      </c>
      <c r="Q25" s="40">
        <v>3000</v>
      </c>
      <c r="R25" s="40">
        <v>1000</v>
      </c>
      <c r="S25" s="40">
        <v>3000</v>
      </c>
      <c r="T25" s="40">
        <v>3000</v>
      </c>
      <c r="U25" s="40">
        <v>2000</v>
      </c>
      <c r="V25" s="40">
        <v>0</v>
      </c>
      <c r="W25" s="40">
        <v>2000</v>
      </c>
      <c r="X25" s="40">
        <v>3000</v>
      </c>
      <c r="Y25" s="40">
        <v>3000</v>
      </c>
      <c r="Z25" s="40"/>
      <c r="AA25" s="40"/>
    </row>
    <row r="26" spans="1:27" x14ac:dyDescent="0.25">
      <c r="A26" s="27">
        <v>41713</v>
      </c>
      <c r="B26" s="78">
        <v>23423</v>
      </c>
      <c r="C26" s="40">
        <v>0</v>
      </c>
      <c r="D26" s="40">
        <v>0</v>
      </c>
      <c r="E26" s="40">
        <v>0</v>
      </c>
      <c r="F26" s="40">
        <v>2000</v>
      </c>
      <c r="G26" s="40">
        <v>3000</v>
      </c>
      <c r="H26" s="40">
        <v>0</v>
      </c>
      <c r="I26" s="40">
        <v>3000</v>
      </c>
      <c r="J26" s="40">
        <v>0</v>
      </c>
      <c r="K26" s="40">
        <v>3000</v>
      </c>
      <c r="L26" s="40">
        <v>500</v>
      </c>
      <c r="M26" s="40">
        <v>500</v>
      </c>
      <c r="N26" s="40">
        <v>0</v>
      </c>
      <c r="O26" s="40">
        <v>0</v>
      </c>
      <c r="P26" s="40">
        <v>0</v>
      </c>
      <c r="Q26" s="40">
        <v>3000</v>
      </c>
      <c r="R26" s="40">
        <v>0</v>
      </c>
      <c r="S26" s="40">
        <v>0</v>
      </c>
      <c r="T26" s="40">
        <v>3000</v>
      </c>
      <c r="U26" s="40">
        <v>2000</v>
      </c>
      <c r="V26" s="40">
        <v>0</v>
      </c>
      <c r="W26" s="40">
        <v>0</v>
      </c>
      <c r="X26" s="40">
        <v>3000</v>
      </c>
      <c r="Y26" s="40">
        <v>3000</v>
      </c>
      <c r="Z26" s="40"/>
      <c r="AA26" s="40"/>
    </row>
    <row r="27" spans="1:27" x14ac:dyDescent="0.25">
      <c r="A27" s="27">
        <v>41728</v>
      </c>
      <c r="B27" s="78">
        <v>2342</v>
      </c>
      <c r="C27" s="40">
        <v>0</v>
      </c>
      <c r="D27" s="40">
        <v>0</v>
      </c>
      <c r="E27" s="40">
        <v>0</v>
      </c>
      <c r="F27" s="40">
        <v>1000</v>
      </c>
      <c r="G27" s="40">
        <v>3000</v>
      </c>
      <c r="H27" s="40">
        <v>0</v>
      </c>
      <c r="I27" s="40">
        <v>3000</v>
      </c>
      <c r="J27" s="40">
        <v>0</v>
      </c>
      <c r="K27" s="40">
        <v>3000</v>
      </c>
      <c r="L27" s="40">
        <v>500</v>
      </c>
      <c r="M27" s="40">
        <v>1000</v>
      </c>
      <c r="N27" s="40">
        <v>0</v>
      </c>
      <c r="O27" s="40">
        <v>1000</v>
      </c>
      <c r="P27" s="40">
        <v>0</v>
      </c>
      <c r="Q27" s="40">
        <v>3000</v>
      </c>
      <c r="R27" s="40">
        <v>0</v>
      </c>
      <c r="S27" s="40">
        <v>3000</v>
      </c>
      <c r="T27" s="40">
        <v>3000</v>
      </c>
      <c r="U27" s="40">
        <v>2000</v>
      </c>
      <c r="V27" s="40">
        <v>0</v>
      </c>
      <c r="W27" s="40">
        <v>3000</v>
      </c>
      <c r="X27" s="40">
        <v>3000</v>
      </c>
      <c r="Y27" s="40">
        <v>3000</v>
      </c>
      <c r="Z27" s="40"/>
      <c r="AA27" s="40"/>
    </row>
    <row r="28" spans="1:27" x14ac:dyDescent="0.25">
      <c r="A28" s="27">
        <v>41744</v>
      </c>
      <c r="B28" s="78">
        <v>234324</v>
      </c>
      <c r="C28" s="40">
        <v>0</v>
      </c>
      <c r="D28" s="40">
        <v>0</v>
      </c>
      <c r="E28" s="40">
        <v>0</v>
      </c>
      <c r="F28" s="40">
        <v>1000</v>
      </c>
      <c r="G28" s="40">
        <v>3000</v>
      </c>
      <c r="H28" s="40">
        <v>0</v>
      </c>
      <c r="I28" s="40">
        <v>3000</v>
      </c>
      <c r="J28" s="40">
        <v>0</v>
      </c>
      <c r="K28" s="40">
        <v>3000</v>
      </c>
      <c r="L28" s="40">
        <v>500</v>
      </c>
      <c r="M28" s="40">
        <v>1000</v>
      </c>
      <c r="N28" s="40">
        <v>0</v>
      </c>
      <c r="O28" s="40">
        <v>1000</v>
      </c>
      <c r="P28" s="40">
        <v>0</v>
      </c>
      <c r="Q28" s="40">
        <v>3000</v>
      </c>
      <c r="R28" s="40">
        <v>0</v>
      </c>
      <c r="S28" s="40">
        <v>3000</v>
      </c>
      <c r="T28" s="40">
        <v>3000</v>
      </c>
      <c r="U28" s="40">
        <v>2000</v>
      </c>
      <c r="V28" s="40">
        <v>0</v>
      </c>
      <c r="W28" s="40">
        <v>0</v>
      </c>
      <c r="X28" s="40">
        <v>3000</v>
      </c>
      <c r="Y28" s="40">
        <v>3000</v>
      </c>
      <c r="Z28" s="40"/>
      <c r="AA28" s="40"/>
    </row>
    <row r="29" spans="1:27" x14ac:dyDescent="0.25">
      <c r="A29" s="27">
        <v>41759</v>
      </c>
      <c r="B29" s="78">
        <v>23432</v>
      </c>
      <c r="C29" s="40">
        <v>0</v>
      </c>
      <c r="D29" s="40">
        <v>0</v>
      </c>
      <c r="E29" s="40">
        <v>0</v>
      </c>
      <c r="F29" s="40">
        <v>1000</v>
      </c>
      <c r="G29" s="40">
        <v>3000</v>
      </c>
      <c r="H29" s="40">
        <v>0</v>
      </c>
      <c r="I29" s="40">
        <v>3000</v>
      </c>
      <c r="J29" s="40">
        <v>0</v>
      </c>
      <c r="K29" s="40">
        <v>3000</v>
      </c>
      <c r="L29" s="40">
        <v>0</v>
      </c>
      <c r="M29" s="40">
        <v>1000</v>
      </c>
      <c r="N29" s="40">
        <v>0</v>
      </c>
      <c r="O29" s="40">
        <v>1000</v>
      </c>
      <c r="P29" s="40">
        <v>0</v>
      </c>
      <c r="Q29" s="40">
        <v>0</v>
      </c>
      <c r="R29" s="40">
        <v>0</v>
      </c>
      <c r="S29" s="40">
        <v>2000</v>
      </c>
      <c r="T29" s="40">
        <v>3000</v>
      </c>
      <c r="U29" s="40">
        <v>2000</v>
      </c>
      <c r="V29" s="40">
        <v>0</v>
      </c>
      <c r="W29" s="40">
        <v>1000</v>
      </c>
      <c r="X29" s="40">
        <v>3000</v>
      </c>
      <c r="Y29" s="40">
        <v>3000</v>
      </c>
      <c r="Z29" s="40"/>
      <c r="AA29" s="40"/>
    </row>
    <row r="30" spans="1:27" x14ac:dyDescent="0.25">
      <c r="A30" s="27">
        <v>41774</v>
      </c>
      <c r="B30" s="78">
        <v>234234</v>
      </c>
      <c r="C30" s="40">
        <v>0</v>
      </c>
      <c r="D30" s="40">
        <v>0</v>
      </c>
      <c r="E30" s="40">
        <v>1000</v>
      </c>
      <c r="F30" s="40">
        <v>1000</v>
      </c>
      <c r="G30" s="40">
        <v>3000</v>
      </c>
      <c r="H30" s="40">
        <v>0</v>
      </c>
      <c r="I30" s="40">
        <v>0</v>
      </c>
      <c r="J30" s="40">
        <v>0</v>
      </c>
      <c r="K30" s="40">
        <v>3000</v>
      </c>
      <c r="L30" s="40">
        <v>500</v>
      </c>
      <c r="M30" s="40">
        <v>1000</v>
      </c>
      <c r="N30" s="40">
        <v>0</v>
      </c>
      <c r="O30" s="40">
        <v>1000</v>
      </c>
      <c r="P30" s="40">
        <v>0</v>
      </c>
      <c r="Q30" s="40">
        <v>0</v>
      </c>
      <c r="R30" s="40">
        <v>0</v>
      </c>
      <c r="S30" s="40">
        <v>0</v>
      </c>
      <c r="T30" s="40">
        <v>3000</v>
      </c>
      <c r="U30" s="40">
        <v>0</v>
      </c>
      <c r="V30" s="40">
        <v>2000</v>
      </c>
      <c r="W30" s="40">
        <v>0</v>
      </c>
      <c r="X30" s="40">
        <v>3000</v>
      </c>
      <c r="Y30" s="40">
        <v>3000</v>
      </c>
      <c r="Z30" s="40"/>
      <c r="AA30" s="40"/>
    </row>
    <row r="31" spans="1:27" x14ac:dyDescent="0.25">
      <c r="A31" s="27">
        <v>41789</v>
      </c>
      <c r="B31" s="78">
        <v>23423423</v>
      </c>
      <c r="C31" s="40">
        <v>0</v>
      </c>
      <c r="D31" s="40">
        <v>0</v>
      </c>
      <c r="E31" s="40">
        <v>1000</v>
      </c>
      <c r="F31" s="40">
        <v>21000</v>
      </c>
      <c r="G31" s="40">
        <v>3000</v>
      </c>
      <c r="H31" s="40">
        <v>0</v>
      </c>
      <c r="I31" s="40">
        <v>26861</v>
      </c>
      <c r="J31" s="40">
        <v>2000</v>
      </c>
      <c r="K31" s="40">
        <v>52662</v>
      </c>
      <c r="L31" s="40">
        <v>500</v>
      </c>
      <c r="M31" s="40">
        <v>11000</v>
      </c>
      <c r="N31" s="40">
        <v>0</v>
      </c>
      <c r="O31" s="40">
        <v>2919</v>
      </c>
      <c r="P31" s="40">
        <v>0</v>
      </c>
      <c r="Q31" s="40">
        <v>4908</v>
      </c>
      <c r="R31" s="40">
        <v>2611</v>
      </c>
      <c r="S31" s="40">
        <v>41124</v>
      </c>
      <c r="T31" s="40">
        <v>18000</v>
      </c>
      <c r="U31" s="40">
        <v>13235</v>
      </c>
      <c r="V31" s="40">
        <v>7543</v>
      </c>
      <c r="W31" s="40">
        <v>8662</v>
      </c>
      <c r="X31" s="40">
        <v>18367</v>
      </c>
      <c r="Y31" s="40">
        <v>18618</v>
      </c>
      <c r="Z31" s="40"/>
      <c r="AA31" s="40"/>
    </row>
    <row r="32" spans="1:27" ht="15.75" thickBot="1" x14ac:dyDescent="0.3">
      <c r="A32" s="28">
        <v>41805</v>
      </c>
      <c r="B32" s="78">
        <v>234234</v>
      </c>
      <c r="C32" s="40">
        <v>0</v>
      </c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0"/>
      <c r="Y32" s="40"/>
      <c r="Z32" s="40"/>
      <c r="AA32" s="40"/>
    </row>
    <row r="33" spans="1:27" ht="15.75" thickBot="1" x14ac:dyDescent="0.3">
      <c r="A33" s="23" t="s">
        <v>5</v>
      </c>
      <c r="B33" s="77">
        <f>SUM(B21:B32)</f>
        <v>24524350</v>
      </c>
      <c r="C33" s="82">
        <f t="shared" ref="C33:M33" si="1">SUM(C21:C32) + C15</f>
        <v>300000</v>
      </c>
      <c r="D33" s="82">
        <f t="shared" si="1"/>
        <v>21210</v>
      </c>
      <c r="E33" s="82">
        <f t="shared" si="1"/>
        <v>62740</v>
      </c>
      <c r="F33" s="82">
        <f t="shared" si="1"/>
        <v>136745</v>
      </c>
      <c r="G33" s="82">
        <f t="shared" si="1"/>
        <v>144733</v>
      </c>
      <c r="H33" s="82">
        <f t="shared" si="1"/>
        <v>69667</v>
      </c>
      <c r="I33" s="82">
        <f t="shared" si="1"/>
        <v>244087</v>
      </c>
      <c r="J33" s="82">
        <f t="shared" si="1"/>
        <v>6834</v>
      </c>
      <c r="K33" s="82">
        <f t="shared" si="1"/>
        <v>249967</v>
      </c>
      <c r="L33" s="82">
        <f t="shared" si="1"/>
        <v>53565</v>
      </c>
      <c r="M33" s="82">
        <f t="shared" si="1"/>
        <v>68000</v>
      </c>
      <c r="N33" s="82">
        <f>SUM(N21:N32) + N14</f>
        <v>0</v>
      </c>
      <c r="O33" s="82">
        <f>SUM(O21:O32) + O14</f>
        <v>10419</v>
      </c>
      <c r="P33" s="82">
        <f t="shared" ref="P33:AA33" si="2">SUM(P21:P32) + P15</f>
        <v>14070</v>
      </c>
      <c r="Q33" s="82">
        <f t="shared" si="2"/>
        <v>237537</v>
      </c>
      <c r="R33" s="82">
        <f t="shared" si="2"/>
        <v>14521</v>
      </c>
      <c r="S33" s="82">
        <f t="shared" si="2"/>
        <v>245151</v>
      </c>
      <c r="T33" s="82">
        <f t="shared" si="2"/>
        <v>136164</v>
      </c>
      <c r="U33" s="82">
        <f t="shared" si="2"/>
        <v>58235</v>
      </c>
      <c r="V33" s="82">
        <f t="shared" si="2"/>
        <v>36543</v>
      </c>
      <c r="W33" s="82">
        <f t="shared" si="2"/>
        <v>44662</v>
      </c>
      <c r="X33" s="82">
        <f t="shared" si="2"/>
        <v>86367</v>
      </c>
      <c r="Y33" s="82">
        <f t="shared" si="2"/>
        <v>86618</v>
      </c>
      <c r="Z33" s="82">
        <f t="shared" si="2"/>
        <v>15000</v>
      </c>
      <c r="AA33" s="82">
        <f t="shared" si="2"/>
        <v>0</v>
      </c>
    </row>
    <row r="34" spans="1:27" x14ac:dyDescent="0.25">
      <c r="A34" s="35" t="s">
        <v>61</v>
      </c>
      <c r="B34" s="68">
        <f>SUM(C33:AA33)</f>
        <v>2342835</v>
      </c>
      <c r="C34" s="62">
        <f>C33/B34</f>
        <v>0.12804999071637568</v>
      </c>
      <c r="D34" s="39">
        <f>D33/B34</f>
        <v>9.0531343436477604E-3</v>
      </c>
      <c r="E34" s="39">
        <f>E33/B34</f>
        <v>2.6779521391818033E-2</v>
      </c>
      <c r="F34" s="39">
        <f>F33/B34</f>
        <v>5.8367319935035973E-2</v>
      </c>
      <c r="G34" s="39">
        <f>G33/B34</f>
        <v>6.1776864354510665E-2</v>
      </c>
      <c r="H34" s="39">
        <f>H33/B34</f>
        <v>2.9736195677459148E-2</v>
      </c>
      <c r="I34" s="39">
        <f>I33/B34</f>
        <v>0.10418446027995996</v>
      </c>
      <c r="J34" s="39">
        <f>J33/B34</f>
        <v>2.916978788519038E-3</v>
      </c>
      <c r="K34" s="39">
        <f>K33/B34</f>
        <v>0.10669424009800092</v>
      </c>
      <c r="L34" s="39">
        <f>L33/B34</f>
        <v>2.2863325842408876E-2</v>
      </c>
      <c r="M34" s="39">
        <f>M33/B34</f>
        <v>2.9024664562378486E-2</v>
      </c>
      <c r="N34" s="39">
        <f>N33/B34</f>
        <v>0</v>
      </c>
      <c r="O34" s="39">
        <f>O33/B34</f>
        <v>4.4471761775797267E-3</v>
      </c>
      <c r="P34" s="39">
        <f>P33/B34</f>
        <v>6.0055445645980192E-3</v>
      </c>
      <c r="Q34" s="39">
        <f>Q33/B34</f>
        <v>0.1013887021493191</v>
      </c>
      <c r="R34" s="39">
        <f>R33/B34</f>
        <v>6.1980463839749703E-3</v>
      </c>
      <c r="S34" s="39">
        <f>S33/B34</f>
        <v>0.10463861091370071</v>
      </c>
      <c r="T34" s="39">
        <f>T33/B34</f>
        <v>5.8119329786348588E-2</v>
      </c>
      <c r="U34" s="39">
        <f>U33/B34</f>
        <v>2.4856637364560459E-2</v>
      </c>
      <c r="V34" s="39">
        <f>V33/B34</f>
        <v>1.5597769369161721E-2</v>
      </c>
      <c r="W34" s="39">
        <f>W33/B34</f>
        <v>1.9063228951249234E-2</v>
      </c>
      <c r="X34" s="39">
        <f>X33/B34</f>
        <v>3.686431182733739E-2</v>
      </c>
      <c r="Y34" s="39">
        <f>Y33/B34</f>
        <v>3.6971446986236757E-2</v>
      </c>
      <c r="Z34" s="39">
        <f>Z33/B34</f>
        <v>6.4024995358187833E-3</v>
      </c>
      <c r="AA34" s="52">
        <f>AA33/B34</f>
        <v>0</v>
      </c>
    </row>
    <row r="35" spans="1:27" ht="15.75" thickBot="1" x14ac:dyDescent="0.3">
      <c r="A35" s="35" t="s">
        <v>63</v>
      </c>
      <c r="B35" s="69">
        <f>SUM(C35:AA35)</f>
        <v>24524349.999999996</v>
      </c>
      <c r="C35" s="63">
        <f>B33*C34</f>
        <v>3140342.7898251479</v>
      </c>
      <c r="D35" s="53">
        <f>B33*D34</f>
        <v>222022.23524063797</v>
      </c>
      <c r="E35" s="53">
        <f>B33*E34</f>
        <v>656750.35544543259</v>
      </c>
      <c r="F35" s="53">
        <f>B33*F34</f>
        <v>1431420.5826487995</v>
      </c>
      <c r="G35" s="53">
        <f>B33*G34</f>
        <v>1515037.4433325436</v>
      </c>
      <c r="H35" s="53">
        <f>B33*H34</f>
        <v>729260.87046249525</v>
      </c>
      <c r="I35" s="53">
        <f>B33*I34</f>
        <v>2555056.1684668362</v>
      </c>
      <c r="J35" s="53">
        <f>B33*J34</f>
        <v>71537.008752216876</v>
      </c>
      <c r="K35" s="53">
        <f>B33*K34</f>
        <v>2616606.8871474089</v>
      </c>
      <c r="L35" s="53">
        <f>B33*L34</f>
        <v>560708.20512328006</v>
      </c>
      <c r="M35" s="53">
        <f>B33*M34</f>
        <v>711811.03236036678</v>
      </c>
      <c r="N35" s="53">
        <f>B33*N34</f>
        <v>0</v>
      </c>
      <c r="O35" s="53">
        <f>B33*O34</f>
        <v>109064.10509062737</v>
      </c>
      <c r="P35" s="53">
        <f>B33*P34</f>
        <v>147282.07684279943</v>
      </c>
      <c r="Q35" s="53">
        <f>B33*Q34</f>
        <v>2486492.0175556536</v>
      </c>
      <c r="R35" s="53">
        <f>B33*R34</f>
        <v>152003.05883683657</v>
      </c>
      <c r="S35" s="53">
        <f>B33*S34</f>
        <v>2566193.917561416</v>
      </c>
      <c r="T35" s="53">
        <f>B33*T34</f>
        <v>1425338.785445838</v>
      </c>
      <c r="U35" s="53">
        <f>B33*U34</f>
        <v>609592.87455155829</v>
      </c>
      <c r="V35" s="53">
        <f>B33*V34</f>
        <v>382525.15522860124</v>
      </c>
      <c r="W35" s="53">
        <f>B33*W34</f>
        <v>467513.29893056914</v>
      </c>
      <c r="X35" s="53">
        <f>B33*X34</f>
        <v>904073.28576276172</v>
      </c>
      <c r="Y35" s="53">
        <f>B33*Y34</f>
        <v>906700.7058969154</v>
      </c>
      <c r="Z35" s="53">
        <f>B33*Z34</f>
        <v>157017.13949125737</v>
      </c>
      <c r="AA35" s="54">
        <f>B33*AA34</f>
        <v>0</v>
      </c>
    </row>
    <row r="36" spans="1:27" ht="15.75" thickBot="1" x14ac:dyDescent="0.3">
      <c r="B36" s="101">
        <f>SUM(C34:AA34)</f>
        <v>1</v>
      </c>
    </row>
    <row r="37" spans="1:27" ht="15.75" thickBot="1" x14ac:dyDescent="0.3">
      <c r="A37" s="37" t="s">
        <v>48</v>
      </c>
    </row>
    <row r="38" spans="1:27" ht="15.75" thickBot="1" x14ac:dyDescent="0.3">
      <c r="A38" s="20" t="s">
        <v>4</v>
      </c>
      <c r="B38" s="4" t="s">
        <v>46</v>
      </c>
      <c r="C38" s="21" t="s">
        <v>21</v>
      </c>
      <c r="D38" s="21" t="s">
        <v>22</v>
      </c>
      <c r="E38" s="22" t="s">
        <v>23</v>
      </c>
      <c r="F38" s="22" t="s">
        <v>24</v>
      </c>
      <c r="G38" s="22" t="s">
        <v>25</v>
      </c>
      <c r="H38" s="22" t="s">
        <v>26</v>
      </c>
      <c r="I38" s="22" t="s">
        <v>27</v>
      </c>
      <c r="J38" s="22" t="s">
        <v>28</v>
      </c>
      <c r="K38" s="22" t="s">
        <v>29</v>
      </c>
      <c r="L38" s="22" t="s">
        <v>20</v>
      </c>
      <c r="M38" s="22" t="s">
        <v>30</v>
      </c>
      <c r="N38" s="22" t="s">
        <v>31</v>
      </c>
      <c r="O38" s="22" t="s">
        <v>32</v>
      </c>
      <c r="P38" s="22" t="s">
        <v>33</v>
      </c>
      <c r="Q38" s="22" t="s">
        <v>34</v>
      </c>
      <c r="R38" s="22" t="s">
        <v>35</v>
      </c>
      <c r="S38" s="22" t="s">
        <v>36</v>
      </c>
      <c r="T38" s="22" t="s">
        <v>37</v>
      </c>
      <c r="U38" s="22" t="s">
        <v>6</v>
      </c>
      <c r="V38" s="22" t="s">
        <v>0</v>
      </c>
      <c r="W38" s="22" t="s">
        <v>38</v>
      </c>
      <c r="X38" s="22" t="s">
        <v>39</v>
      </c>
      <c r="Y38" s="22" t="s">
        <v>40</v>
      </c>
      <c r="Z38" s="22" t="s">
        <v>43</v>
      </c>
      <c r="AA38" s="22" t="s">
        <v>44</v>
      </c>
    </row>
    <row r="39" spans="1:27" x14ac:dyDescent="0.25">
      <c r="A39" s="33">
        <v>41820</v>
      </c>
      <c r="B39" s="24">
        <v>35435</v>
      </c>
      <c r="C39" s="4">
        <v>0</v>
      </c>
      <c r="D39" s="4">
        <v>1000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3000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3000</v>
      </c>
      <c r="U39" s="4">
        <v>0</v>
      </c>
      <c r="V39" s="4">
        <v>0</v>
      </c>
      <c r="W39" s="4">
        <v>0</v>
      </c>
      <c r="X39" s="4">
        <v>0</v>
      </c>
      <c r="Y39" s="4">
        <v>0</v>
      </c>
      <c r="Z39" s="4">
        <v>0</v>
      </c>
      <c r="AA39" s="4">
        <v>0</v>
      </c>
    </row>
    <row r="40" spans="1:27" x14ac:dyDescent="0.25">
      <c r="A40" s="34">
        <v>41835</v>
      </c>
      <c r="B40" s="24">
        <v>234234</v>
      </c>
      <c r="C40" s="4">
        <v>0</v>
      </c>
      <c r="D40" s="4">
        <v>1000</v>
      </c>
      <c r="E40" s="4">
        <v>3000</v>
      </c>
      <c r="F40" s="4">
        <v>0</v>
      </c>
      <c r="G40" s="4">
        <v>0</v>
      </c>
      <c r="H40" s="4">
        <v>3000</v>
      </c>
      <c r="I40" s="4">
        <v>0</v>
      </c>
      <c r="J40" s="4">
        <v>0</v>
      </c>
      <c r="K40" s="4">
        <v>3000</v>
      </c>
      <c r="L40" s="4">
        <v>0</v>
      </c>
      <c r="M40" s="4">
        <v>3000</v>
      </c>
      <c r="N40" s="4">
        <v>3000</v>
      </c>
      <c r="O40" s="4">
        <v>0</v>
      </c>
      <c r="P40" s="4">
        <v>3000</v>
      </c>
      <c r="Q40" s="4">
        <v>0</v>
      </c>
      <c r="R40" s="4">
        <v>0</v>
      </c>
      <c r="S40" s="4">
        <v>0</v>
      </c>
      <c r="T40" s="4">
        <v>3000</v>
      </c>
      <c r="U40" s="4">
        <v>0</v>
      </c>
      <c r="V40" s="4">
        <v>0</v>
      </c>
      <c r="W40" s="4">
        <v>3000</v>
      </c>
      <c r="X40" s="4">
        <v>0</v>
      </c>
      <c r="Y40" s="4">
        <v>3000</v>
      </c>
      <c r="Z40" s="4">
        <v>0</v>
      </c>
      <c r="AA40" s="4">
        <v>3000</v>
      </c>
    </row>
    <row r="41" spans="1:27" x14ac:dyDescent="0.25">
      <c r="A41" s="34">
        <v>41850</v>
      </c>
      <c r="B41" s="24">
        <v>23423</v>
      </c>
      <c r="C41" s="4">
        <v>0</v>
      </c>
      <c r="D41" s="4">
        <v>1000</v>
      </c>
      <c r="E41" s="4">
        <v>3000</v>
      </c>
      <c r="F41" s="4">
        <v>3000</v>
      </c>
      <c r="G41" s="4">
        <v>2000</v>
      </c>
      <c r="H41" s="4">
        <v>3000</v>
      </c>
      <c r="I41" s="4">
        <v>3000</v>
      </c>
      <c r="J41" s="4">
        <v>3000</v>
      </c>
      <c r="K41" s="4">
        <v>1000</v>
      </c>
      <c r="L41" s="4">
        <v>2000</v>
      </c>
      <c r="M41" s="4">
        <v>3000</v>
      </c>
      <c r="N41" s="4">
        <v>3000</v>
      </c>
      <c r="O41" s="4">
        <v>0</v>
      </c>
      <c r="P41" s="4">
        <v>3000</v>
      </c>
      <c r="Q41" s="4">
        <v>0</v>
      </c>
      <c r="R41" s="4">
        <v>1000</v>
      </c>
      <c r="S41" s="4">
        <v>3000</v>
      </c>
      <c r="T41" s="4">
        <v>3000</v>
      </c>
      <c r="U41" s="4">
        <v>2000</v>
      </c>
      <c r="V41" s="4">
        <v>2000</v>
      </c>
      <c r="W41" s="4">
        <v>0</v>
      </c>
      <c r="X41" s="4">
        <v>0</v>
      </c>
      <c r="Y41" s="4">
        <v>3000</v>
      </c>
      <c r="Z41" s="4">
        <v>1000</v>
      </c>
      <c r="AA41" s="4">
        <v>3000</v>
      </c>
    </row>
    <row r="42" spans="1:27" x14ac:dyDescent="0.25">
      <c r="A42" s="34">
        <v>41866</v>
      </c>
      <c r="B42" s="24">
        <v>23423</v>
      </c>
      <c r="C42" s="4">
        <v>0</v>
      </c>
      <c r="D42" s="4">
        <v>1000</v>
      </c>
      <c r="E42" s="4">
        <v>1000</v>
      </c>
      <c r="F42" s="4">
        <v>3000</v>
      </c>
      <c r="G42" s="4">
        <v>2000</v>
      </c>
      <c r="H42" s="4">
        <v>2000</v>
      </c>
      <c r="I42" s="4">
        <v>2000</v>
      </c>
      <c r="J42" s="4">
        <v>3000</v>
      </c>
      <c r="K42" s="4">
        <v>2000</v>
      </c>
      <c r="L42" s="4">
        <v>2000</v>
      </c>
      <c r="M42" s="4">
        <v>2000</v>
      </c>
      <c r="N42" s="4">
        <v>2000</v>
      </c>
      <c r="O42" s="4">
        <v>1000</v>
      </c>
      <c r="P42" s="4">
        <v>1000</v>
      </c>
      <c r="Q42" s="4">
        <v>1000</v>
      </c>
      <c r="R42" s="4">
        <v>0</v>
      </c>
      <c r="S42" s="4">
        <v>3000</v>
      </c>
      <c r="T42" s="4">
        <v>0</v>
      </c>
      <c r="U42" s="4">
        <v>3000</v>
      </c>
      <c r="V42" s="4">
        <v>2000</v>
      </c>
      <c r="W42" s="4">
        <v>2000</v>
      </c>
      <c r="X42" s="4">
        <v>0</v>
      </c>
      <c r="Y42" s="4">
        <v>3000</v>
      </c>
      <c r="Z42" s="4">
        <v>0</v>
      </c>
      <c r="AA42" s="4">
        <v>3000</v>
      </c>
    </row>
    <row r="43" spans="1:27" x14ac:dyDescent="0.25">
      <c r="A43" s="34">
        <v>41881</v>
      </c>
      <c r="B43" s="24">
        <v>32423</v>
      </c>
      <c r="C43" s="4">
        <v>0</v>
      </c>
      <c r="D43" s="4">
        <v>3000</v>
      </c>
      <c r="E43" s="4">
        <v>1000</v>
      </c>
      <c r="F43" s="4">
        <v>3000</v>
      </c>
      <c r="G43" s="4">
        <v>3000</v>
      </c>
      <c r="H43" s="4">
        <v>0</v>
      </c>
      <c r="I43" s="4">
        <v>2000</v>
      </c>
      <c r="J43" s="4">
        <v>2000</v>
      </c>
      <c r="K43" s="4">
        <v>2000</v>
      </c>
      <c r="L43" s="4">
        <v>0</v>
      </c>
      <c r="M43" s="4">
        <v>0</v>
      </c>
      <c r="N43" s="4">
        <v>0</v>
      </c>
      <c r="O43" s="4">
        <v>0</v>
      </c>
      <c r="P43" s="4">
        <v>0</v>
      </c>
      <c r="Q43" s="4">
        <v>0</v>
      </c>
      <c r="R43" s="4">
        <v>0</v>
      </c>
      <c r="S43" s="4">
        <v>0</v>
      </c>
      <c r="T43" s="4">
        <v>2000</v>
      </c>
      <c r="U43" s="4">
        <v>3000</v>
      </c>
      <c r="V43" s="4">
        <v>1000</v>
      </c>
      <c r="W43" s="4">
        <v>1000</v>
      </c>
      <c r="X43" s="4">
        <v>1000</v>
      </c>
      <c r="Y43" s="4">
        <v>0</v>
      </c>
      <c r="Z43" s="4">
        <v>0</v>
      </c>
      <c r="AA43" s="4">
        <v>0</v>
      </c>
    </row>
    <row r="44" spans="1:27" x14ac:dyDescent="0.25">
      <c r="A44" s="34">
        <v>41897</v>
      </c>
      <c r="B44" s="24">
        <v>23423</v>
      </c>
      <c r="C44" s="4">
        <v>0</v>
      </c>
      <c r="D44" s="4">
        <v>3000</v>
      </c>
      <c r="E44" s="4">
        <v>1000</v>
      </c>
      <c r="F44" s="4">
        <v>1000</v>
      </c>
      <c r="G44" s="4">
        <v>3000</v>
      </c>
      <c r="H44" s="4">
        <v>1000</v>
      </c>
      <c r="I44" s="4">
        <v>1000</v>
      </c>
      <c r="J44" s="4">
        <v>0</v>
      </c>
      <c r="K44" s="4">
        <v>0</v>
      </c>
      <c r="L44" s="4">
        <v>1000</v>
      </c>
      <c r="M44" s="4">
        <v>1000</v>
      </c>
      <c r="N44" s="4">
        <v>1000</v>
      </c>
      <c r="O44" s="4">
        <v>1000</v>
      </c>
      <c r="P44" s="4">
        <v>2000</v>
      </c>
      <c r="Q44" s="4">
        <v>2000</v>
      </c>
      <c r="R44" s="4">
        <v>1000</v>
      </c>
      <c r="S44" s="4">
        <v>3000</v>
      </c>
      <c r="T44" s="4">
        <v>2000</v>
      </c>
      <c r="U44" s="4">
        <v>3000</v>
      </c>
      <c r="V44" s="4">
        <v>0</v>
      </c>
      <c r="W44" s="4">
        <v>0</v>
      </c>
      <c r="X44" s="4">
        <v>0</v>
      </c>
      <c r="Y44" s="4">
        <v>0</v>
      </c>
      <c r="Z44" s="4">
        <v>2000</v>
      </c>
      <c r="AA44" s="4">
        <v>0</v>
      </c>
    </row>
    <row r="45" spans="1:27" x14ac:dyDescent="0.25">
      <c r="A45" s="34">
        <v>41912</v>
      </c>
      <c r="B45" s="24">
        <v>2342</v>
      </c>
      <c r="C45" s="4">
        <v>0</v>
      </c>
      <c r="D45" s="4">
        <v>3000</v>
      </c>
      <c r="E45" s="4">
        <v>3000</v>
      </c>
      <c r="F45" s="4">
        <v>0</v>
      </c>
      <c r="G45" s="4">
        <v>3000</v>
      </c>
      <c r="H45" s="4">
        <v>0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2000</v>
      </c>
      <c r="O45" s="4">
        <v>0</v>
      </c>
      <c r="P45" s="4">
        <v>3000</v>
      </c>
      <c r="Q45" s="4">
        <v>2000</v>
      </c>
      <c r="R45" s="4">
        <v>1000</v>
      </c>
      <c r="S45" s="4">
        <v>3000</v>
      </c>
      <c r="T45" s="4">
        <v>2000</v>
      </c>
      <c r="U45" s="4">
        <v>1000</v>
      </c>
      <c r="V45" s="4">
        <v>0</v>
      </c>
      <c r="W45" s="4">
        <v>2000</v>
      </c>
      <c r="X45" s="4">
        <v>3000</v>
      </c>
      <c r="Y45" s="4">
        <v>1000</v>
      </c>
      <c r="Z45" s="4">
        <v>1000</v>
      </c>
      <c r="AA45" s="4">
        <v>1000</v>
      </c>
    </row>
    <row r="46" spans="1:27" x14ac:dyDescent="0.25">
      <c r="A46" s="34">
        <v>41927</v>
      </c>
      <c r="B46" s="24">
        <v>234324</v>
      </c>
      <c r="C46" s="4">
        <v>0</v>
      </c>
      <c r="D46" s="4">
        <v>3000</v>
      </c>
      <c r="E46" s="4">
        <v>3000</v>
      </c>
      <c r="F46" s="4">
        <v>2000</v>
      </c>
      <c r="G46" s="4">
        <v>3000</v>
      </c>
      <c r="H46" s="4">
        <v>0</v>
      </c>
      <c r="I46" s="4">
        <v>0</v>
      </c>
      <c r="J46" s="4">
        <v>0</v>
      </c>
      <c r="K46" s="4">
        <v>1000</v>
      </c>
      <c r="L46" s="4">
        <v>0</v>
      </c>
      <c r="M46" s="4">
        <v>3000</v>
      </c>
      <c r="N46" s="4">
        <v>2000</v>
      </c>
      <c r="O46" s="4">
        <v>0</v>
      </c>
      <c r="P46" s="4">
        <v>3000</v>
      </c>
      <c r="Q46" s="4">
        <v>3000</v>
      </c>
      <c r="R46" s="4">
        <v>0</v>
      </c>
      <c r="S46" s="4">
        <v>3000</v>
      </c>
      <c r="T46" s="4">
        <v>0</v>
      </c>
      <c r="U46" s="4">
        <v>1000</v>
      </c>
      <c r="V46" s="4">
        <v>1000</v>
      </c>
      <c r="W46" s="4">
        <v>0</v>
      </c>
      <c r="X46" s="4">
        <v>3000</v>
      </c>
      <c r="Y46" s="4">
        <v>0</v>
      </c>
      <c r="Z46" s="4">
        <v>2000</v>
      </c>
      <c r="AA46" s="4">
        <v>2000</v>
      </c>
    </row>
    <row r="47" spans="1:27" x14ac:dyDescent="0.25">
      <c r="A47" s="34">
        <v>41942</v>
      </c>
      <c r="B47" s="24">
        <v>23432</v>
      </c>
      <c r="C47" s="4">
        <v>0</v>
      </c>
      <c r="D47" s="4">
        <v>0</v>
      </c>
      <c r="E47" s="4">
        <v>2000</v>
      </c>
      <c r="F47" s="4">
        <v>3000</v>
      </c>
      <c r="G47" s="4">
        <v>0</v>
      </c>
      <c r="H47" s="4">
        <v>3000</v>
      </c>
      <c r="I47" s="4">
        <v>3000</v>
      </c>
      <c r="J47" s="4">
        <v>3000</v>
      </c>
      <c r="K47" s="4">
        <v>3000</v>
      </c>
      <c r="L47" s="4">
        <v>3000</v>
      </c>
      <c r="M47" s="4">
        <v>3000</v>
      </c>
      <c r="N47" s="4">
        <v>0</v>
      </c>
      <c r="O47" s="4">
        <v>2000</v>
      </c>
      <c r="P47" s="4">
        <v>3000</v>
      </c>
      <c r="Q47" s="4">
        <v>3000</v>
      </c>
      <c r="R47" s="4">
        <v>1000</v>
      </c>
      <c r="S47" s="4">
        <v>0</v>
      </c>
      <c r="T47" s="4">
        <v>1000</v>
      </c>
      <c r="U47" s="4">
        <v>1000</v>
      </c>
      <c r="V47" s="4">
        <v>1000</v>
      </c>
      <c r="W47" s="4">
        <v>2000</v>
      </c>
      <c r="X47" s="4">
        <v>3000</v>
      </c>
      <c r="Y47" s="4">
        <v>3000</v>
      </c>
      <c r="Z47" s="4">
        <v>2000</v>
      </c>
      <c r="AA47" s="4">
        <v>2000</v>
      </c>
    </row>
    <row r="48" spans="1:27" x14ac:dyDescent="0.25">
      <c r="A48" s="34">
        <v>41958</v>
      </c>
      <c r="B48" s="24">
        <v>234234</v>
      </c>
      <c r="C48" s="4">
        <v>0</v>
      </c>
      <c r="D48" s="4">
        <v>2000</v>
      </c>
      <c r="E48" s="4">
        <v>2000</v>
      </c>
      <c r="F48" s="4">
        <v>3000</v>
      </c>
      <c r="G48" s="4">
        <v>3000</v>
      </c>
      <c r="H48" s="4">
        <v>0</v>
      </c>
      <c r="I48" s="4">
        <v>0</v>
      </c>
      <c r="J48" s="4">
        <v>0</v>
      </c>
      <c r="K48" s="4">
        <v>0</v>
      </c>
      <c r="L48" s="4">
        <v>0</v>
      </c>
      <c r="M48" s="4">
        <v>3000</v>
      </c>
      <c r="N48" s="4">
        <v>2000</v>
      </c>
      <c r="O48" s="4">
        <v>2000</v>
      </c>
      <c r="P48" s="4">
        <v>0</v>
      </c>
      <c r="Q48" s="4">
        <v>3000</v>
      </c>
      <c r="R48" s="4">
        <v>0</v>
      </c>
      <c r="S48" s="4">
        <v>0</v>
      </c>
      <c r="T48" s="4">
        <v>1000</v>
      </c>
      <c r="U48" s="4">
        <v>3000</v>
      </c>
      <c r="V48" s="4">
        <v>3000</v>
      </c>
      <c r="W48" s="4">
        <v>0</v>
      </c>
      <c r="X48" s="4">
        <v>0</v>
      </c>
      <c r="Y48" s="4">
        <v>3000</v>
      </c>
      <c r="Z48" s="4">
        <v>0</v>
      </c>
      <c r="AA48" s="4">
        <v>1000</v>
      </c>
    </row>
    <row r="49" spans="1:27" x14ac:dyDescent="0.25">
      <c r="A49" s="47">
        <v>41973</v>
      </c>
      <c r="B49" s="24" t="s">
        <v>46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3000</v>
      </c>
      <c r="N49" s="4">
        <v>0</v>
      </c>
      <c r="O49" s="4">
        <v>0</v>
      </c>
      <c r="P49" s="4">
        <v>3000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v>3000</v>
      </c>
      <c r="W49" s="4">
        <v>0</v>
      </c>
      <c r="X49" s="4">
        <v>0</v>
      </c>
      <c r="Y49" s="4">
        <v>3000</v>
      </c>
      <c r="Z49" s="4">
        <v>0</v>
      </c>
      <c r="AA49" s="4">
        <v>0</v>
      </c>
    </row>
    <row r="50" spans="1:27" ht="15.75" thickBot="1" x14ac:dyDescent="0.3">
      <c r="A50" s="25"/>
      <c r="B50" s="25">
        <v>234234</v>
      </c>
      <c r="C50" s="29"/>
      <c r="D50" s="29"/>
      <c r="E50" s="29"/>
      <c r="F50" s="29"/>
      <c r="G50" s="29"/>
      <c r="H50" s="29"/>
      <c r="I50" s="29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29"/>
      <c r="X50" s="29"/>
      <c r="Y50" s="29"/>
      <c r="Z50" s="29"/>
      <c r="AA50" s="29"/>
    </row>
    <row r="51" spans="1:27" ht="15.75" thickBot="1" x14ac:dyDescent="0.3">
      <c r="A51" s="23" t="s">
        <v>5</v>
      </c>
      <c r="B51">
        <f>SUM(B39:B50)</f>
        <v>1100927</v>
      </c>
      <c r="C51" s="82">
        <f t="shared" ref="C51:M51" si="3">SUM(C39:C50) + C33</f>
        <v>300000</v>
      </c>
      <c r="D51" s="82">
        <f t="shared" si="3"/>
        <v>39210</v>
      </c>
      <c r="E51" s="82">
        <f t="shared" si="3"/>
        <v>81740</v>
      </c>
      <c r="F51" s="82">
        <f t="shared" si="3"/>
        <v>154745</v>
      </c>
      <c r="G51" s="82">
        <f t="shared" si="3"/>
        <v>163733</v>
      </c>
      <c r="H51" s="82">
        <f t="shared" si="3"/>
        <v>81667</v>
      </c>
      <c r="I51" s="82">
        <f t="shared" si="3"/>
        <v>255087</v>
      </c>
      <c r="J51" s="82">
        <f t="shared" si="3"/>
        <v>17834</v>
      </c>
      <c r="K51" s="82">
        <f t="shared" si="3"/>
        <v>261967</v>
      </c>
      <c r="L51" s="82">
        <f t="shared" si="3"/>
        <v>61565</v>
      </c>
      <c r="M51" s="82">
        <f t="shared" si="3"/>
        <v>89000</v>
      </c>
      <c r="N51" s="82">
        <f>SUM(N39:N50) + N32</f>
        <v>18000</v>
      </c>
      <c r="O51" s="82">
        <f>SUM(O39:O50) + O32</f>
        <v>6000</v>
      </c>
      <c r="P51" s="82">
        <f t="shared" ref="P51:AA51" si="4">SUM(P39:P50) + P33</f>
        <v>35070</v>
      </c>
      <c r="Q51" s="82">
        <f t="shared" si="4"/>
        <v>251537</v>
      </c>
      <c r="R51" s="82">
        <f t="shared" si="4"/>
        <v>18521</v>
      </c>
      <c r="S51" s="82">
        <f t="shared" si="4"/>
        <v>260151</v>
      </c>
      <c r="T51" s="82">
        <f t="shared" si="4"/>
        <v>153164</v>
      </c>
      <c r="U51" s="82">
        <f t="shared" si="4"/>
        <v>75235</v>
      </c>
      <c r="V51" s="82">
        <f t="shared" si="4"/>
        <v>49543</v>
      </c>
      <c r="W51" s="82">
        <f t="shared" si="4"/>
        <v>54662</v>
      </c>
      <c r="X51" s="82">
        <f t="shared" si="4"/>
        <v>96367</v>
      </c>
      <c r="Y51" s="82">
        <f t="shared" si="4"/>
        <v>105618</v>
      </c>
      <c r="Z51" s="82">
        <f t="shared" si="4"/>
        <v>23000</v>
      </c>
      <c r="AA51" s="82">
        <f t="shared" si="4"/>
        <v>15000</v>
      </c>
    </row>
    <row r="52" spans="1:27" x14ac:dyDescent="0.25">
      <c r="A52" s="35" t="s">
        <v>61</v>
      </c>
      <c r="B52" s="68">
        <f>SUM(C51:AA51)</f>
        <v>2668416</v>
      </c>
      <c r="C52" s="62">
        <f>C51/B52</f>
        <v>0.11242624838106202</v>
      </c>
      <c r="D52" s="39">
        <f>D51/B52</f>
        <v>1.4694110663404807E-2</v>
      </c>
      <c r="E52" s="39">
        <f>E51/B52</f>
        <v>3.0632405142226701E-2</v>
      </c>
      <c r="F52" s="39">
        <f>F51/B52</f>
        <v>5.7991332685758144E-2</v>
      </c>
      <c r="G52" s="39">
        <f>G51/B52</f>
        <v>6.1359623087254761E-2</v>
      </c>
      <c r="H52" s="39">
        <f>H51/B52</f>
        <v>3.0605048088453973E-2</v>
      </c>
      <c r="I52" s="39">
        <f>I51/B52</f>
        <v>9.5594914735933234E-2</v>
      </c>
      <c r="J52" s="39">
        <f>J51/B52</f>
        <v>6.6833657120928674E-3</v>
      </c>
      <c r="K52" s="39">
        <f>K51/B52</f>
        <v>9.8173223365472254E-2</v>
      </c>
      <c r="L52" s="39">
        <f>L51/B52</f>
        <v>2.3071739938600278E-2</v>
      </c>
      <c r="M52" s="39">
        <f>M51/B52</f>
        <v>3.3353120353048403E-2</v>
      </c>
      <c r="N52" s="39">
        <f>N51/B52</f>
        <v>6.7455749028637211E-3</v>
      </c>
      <c r="O52" s="39">
        <f>O51/B52</f>
        <v>2.2485249676212405E-3</v>
      </c>
      <c r="P52" s="39">
        <f>P51/B52</f>
        <v>1.3142628435746151E-2</v>
      </c>
      <c r="Q52" s="39">
        <f>Q51/B52</f>
        <v>9.4264537463423989E-2</v>
      </c>
      <c r="R52" s="39">
        <f>R51/B52</f>
        <v>6.9408218208854991E-3</v>
      </c>
      <c r="S52" s="39">
        <f>S51/B52</f>
        <v>9.7492669808605562E-2</v>
      </c>
      <c r="T52" s="39">
        <f>T51/B52</f>
        <v>5.7398846356789948E-2</v>
      </c>
      <c r="U52" s="39">
        <f>U51/B52</f>
        <v>2.8194629323164005E-2</v>
      </c>
      <c r="V52" s="39">
        <f>V51/B52</f>
        <v>1.8566445411809854E-2</v>
      </c>
      <c r="W52" s="39">
        <f>W51/B52</f>
        <v>2.0484811963352043E-2</v>
      </c>
      <c r="X52" s="39">
        <f>X51/B52</f>
        <v>3.6113934259126013E-2</v>
      </c>
      <c r="Y52" s="39">
        <f>Y51/B52</f>
        <v>3.9580785005036694E-2</v>
      </c>
      <c r="Z52" s="39">
        <f>Z51/B52</f>
        <v>8.6193457092147551E-3</v>
      </c>
      <c r="AA52" s="52">
        <f>AA51/B52</f>
        <v>5.6213124190531011E-3</v>
      </c>
    </row>
    <row r="53" spans="1:27" ht="15.75" thickBot="1" x14ac:dyDescent="0.3">
      <c r="A53" s="35" t="s">
        <v>63</v>
      </c>
      <c r="B53" s="69">
        <f>SUM(C53:AA53)</f>
        <v>1100927.0000000002</v>
      </c>
      <c r="C53" s="63">
        <f>B51*C52</f>
        <v>123773.09235141746</v>
      </c>
      <c r="D53" s="53">
        <f>B51*D52</f>
        <v>16177.143170330264</v>
      </c>
      <c r="E53" s="53">
        <f>B51*E52</f>
        <v>33724.041896016213</v>
      </c>
      <c r="F53" s="53">
        <f>B51*F52</f>
        <v>63844.223919733653</v>
      </c>
      <c r="G53" s="53">
        <f>B51*G52</f>
        <v>67552.465766582129</v>
      </c>
      <c r="H53" s="53">
        <f>B51*H52</f>
        <v>33693.923776877367</v>
      </c>
      <c r="I53" s="53">
        <f>B51*I52</f>
        <v>105243.02269548677</v>
      </c>
      <c r="J53" s="53">
        <f>B51*J52</f>
        <v>7357.8977633172644</v>
      </c>
      <c r="K53" s="53">
        <f>B51*K52</f>
        <v>108081.55228007927</v>
      </c>
      <c r="L53" s="53">
        <f>B51*L52</f>
        <v>25400.30143538339</v>
      </c>
      <c r="M53" s="53">
        <f>B51*M52</f>
        <v>36719.350730920516</v>
      </c>
      <c r="N53" s="53">
        <f>B51*N52</f>
        <v>7426.3855410850483</v>
      </c>
      <c r="O53" s="53">
        <f>B51*O52</f>
        <v>2475.4618470283494</v>
      </c>
      <c r="P53" s="53">
        <f>B51*P52</f>
        <v>14469.074495880703</v>
      </c>
      <c r="Q53" s="53">
        <f>B51*Q52</f>
        <v>103778.37443599498</v>
      </c>
      <c r="R53" s="53">
        <f>B51*R52</f>
        <v>7641.33814480201</v>
      </c>
      <c r="S53" s="53">
        <f>B51*S52</f>
        <v>107332.3124943787</v>
      </c>
      <c r="T53" s="53">
        <f>B51*T52</f>
        <v>63191.939723041687</v>
      </c>
      <c r="U53" s="53">
        <f>B51*U52</f>
        <v>31040.228676862978</v>
      </c>
      <c r="V53" s="53">
        <f>B51*V52</f>
        <v>20440.301047887588</v>
      </c>
      <c r="W53" s="53">
        <f>B51*W52</f>
        <v>22552.282580377276</v>
      </c>
      <c r="X53" s="53">
        <f>B51*X52</f>
        <v>39758.805302096822</v>
      </c>
      <c r="Y53" s="53">
        <f>B51*Y52</f>
        <v>43575.554893240034</v>
      </c>
      <c r="Z53" s="53">
        <f>B51*Z52</f>
        <v>9489.2704136086722</v>
      </c>
      <c r="AA53" s="54">
        <f>B51*AA52</f>
        <v>6188.6546175708736</v>
      </c>
    </row>
    <row r="54" spans="1:27" x14ac:dyDescent="0.25">
      <c r="A54"/>
      <c r="B54" s="101">
        <f>SUM(C52:AA52)</f>
        <v>1</v>
      </c>
    </row>
    <row r="55" spans="1:27" x14ac:dyDescent="0.25">
      <c r="A55" s="102"/>
      <c r="B55" s="102"/>
      <c r="C55" s="102"/>
      <c r="D55" s="102"/>
      <c r="E55" s="96"/>
    </row>
    <row r="56" spans="1:27" x14ac:dyDescent="0.25">
      <c r="A56" s="102"/>
      <c r="B56" s="102"/>
      <c r="C56" s="102"/>
      <c r="D56" s="102"/>
      <c r="E56" s="96"/>
    </row>
    <row r="57" spans="1:27" x14ac:dyDescent="0.25">
      <c r="A57" s="131"/>
      <c r="B57" s="102"/>
      <c r="C57" s="102"/>
      <c r="D57" s="102"/>
      <c r="E57" s="96"/>
    </row>
    <row r="58" spans="1:27" x14ac:dyDescent="0.25">
      <c r="A58" s="131"/>
      <c r="B58" s="102"/>
      <c r="C58" s="102"/>
      <c r="D58" s="102"/>
      <c r="E58" s="96"/>
    </row>
    <row r="59" spans="1:27" x14ac:dyDescent="0.25">
      <c r="A59" s="131"/>
      <c r="B59" s="102"/>
      <c r="C59" s="102"/>
      <c r="D59" s="102"/>
      <c r="E59" s="96"/>
    </row>
    <row r="60" spans="1:27" x14ac:dyDescent="0.25">
      <c r="A60" s="131"/>
      <c r="B60" s="102"/>
      <c r="C60" s="102"/>
      <c r="D60" s="102"/>
      <c r="E60" s="96"/>
    </row>
    <row r="61" spans="1:27" x14ac:dyDescent="0.25">
      <c r="A61" s="131"/>
      <c r="B61" s="102"/>
      <c r="C61" s="102"/>
      <c r="D61" s="102"/>
      <c r="E61" s="96"/>
    </row>
    <row r="62" spans="1:27" x14ac:dyDescent="0.25">
      <c r="A62" s="131"/>
      <c r="B62" s="102"/>
      <c r="C62" s="102"/>
      <c r="D62" s="102"/>
      <c r="E62" s="96"/>
    </row>
    <row r="63" spans="1:27" x14ac:dyDescent="0.25">
      <c r="A63" s="131"/>
      <c r="B63" s="102"/>
      <c r="C63" s="102"/>
      <c r="D63" s="102"/>
      <c r="E63" s="96"/>
    </row>
    <row r="64" spans="1:27" x14ac:dyDescent="0.25">
      <c r="A64" s="131"/>
      <c r="B64" s="102"/>
      <c r="C64" s="102"/>
      <c r="D64" s="102"/>
      <c r="E64" s="96"/>
    </row>
    <row r="65" spans="1:32" x14ac:dyDescent="0.25">
      <c r="A65" s="131"/>
      <c r="B65" s="102"/>
      <c r="C65" s="102"/>
      <c r="D65" s="102"/>
      <c r="E65" s="96"/>
    </row>
    <row r="66" spans="1:32" x14ac:dyDescent="0.25">
      <c r="A66" s="131"/>
      <c r="B66" s="102"/>
      <c r="C66" s="102"/>
      <c r="D66" s="102"/>
      <c r="E66" s="96"/>
    </row>
    <row r="67" spans="1:32" x14ac:dyDescent="0.25">
      <c r="A67" s="131"/>
      <c r="B67" s="102"/>
      <c r="C67" s="102"/>
      <c r="D67" s="102"/>
      <c r="E67" s="96"/>
      <c r="AF67" s="1"/>
    </row>
    <row r="68" spans="1:32" x14ac:dyDescent="0.25">
      <c r="A68" s="131"/>
      <c r="B68" s="102"/>
      <c r="C68" s="102"/>
      <c r="D68" s="102"/>
      <c r="E68" s="96"/>
      <c r="AF68" s="1"/>
    </row>
    <row r="69" spans="1:32" x14ac:dyDescent="0.25">
      <c r="A69" s="102"/>
      <c r="B69" s="132"/>
      <c r="C69" s="102"/>
      <c r="D69" s="102"/>
      <c r="E69" s="96"/>
      <c r="AF69" s="1"/>
    </row>
    <row r="70" spans="1:32" x14ac:dyDescent="0.25">
      <c r="A70" s="102"/>
      <c r="B70" s="133"/>
      <c r="C70" s="102"/>
      <c r="D70" s="102"/>
      <c r="E70" s="96"/>
      <c r="AF70" s="1"/>
    </row>
    <row r="71" spans="1:32" x14ac:dyDescent="0.25">
      <c r="A71" s="102"/>
      <c r="B71" s="133"/>
      <c r="C71" s="102"/>
      <c r="D71" s="102"/>
      <c r="E71" s="96"/>
      <c r="AF71" s="1"/>
    </row>
    <row r="72" spans="1:32" x14ac:dyDescent="0.25">
      <c r="A72" s="102"/>
      <c r="B72" s="134"/>
      <c r="C72" s="102"/>
      <c r="D72" s="102"/>
      <c r="E72" s="96"/>
    </row>
    <row r="73" spans="1:32" x14ac:dyDescent="0.25">
      <c r="A73" s="102"/>
      <c r="B73" s="102"/>
      <c r="C73" s="102"/>
      <c r="D73" s="102"/>
      <c r="E73" s="96"/>
      <c r="AF73" s="1"/>
    </row>
    <row r="74" spans="1:32" x14ac:dyDescent="0.25">
      <c r="A74" s="102"/>
      <c r="B74" s="102"/>
      <c r="C74" s="102"/>
      <c r="D74" s="102"/>
      <c r="AF74" s="1"/>
    </row>
    <row r="75" spans="1:32" x14ac:dyDescent="0.25">
      <c r="A75" s="102"/>
      <c r="B75" s="102"/>
      <c r="C75" s="102"/>
      <c r="D75" s="102"/>
      <c r="AF75" s="1"/>
    </row>
    <row r="76" spans="1:32" x14ac:dyDescent="0.25">
      <c r="A76" s="41"/>
      <c r="B76" s="41"/>
      <c r="C76" s="41"/>
      <c r="D76" s="41"/>
      <c r="AF76" s="1"/>
    </row>
    <row r="77" spans="1:32" x14ac:dyDescent="0.25">
      <c r="AF77" s="1"/>
    </row>
    <row r="78" spans="1:32" x14ac:dyDescent="0.25">
      <c r="AF78" s="1"/>
    </row>
    <row r="79" spans="1:32" x14ac:dyDescent="0.25"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AF79" s="1"/>
    </row>
    <row r="80" spans="1:32" x14ac:dyDescent="0.25"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AF80" s="1"/>
    </row>
    <row r="81" spans="1:32" x14ac:dyDescent="0.25"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AF81" s="1"/>
    </row>
    <row r="82" spans="1:32" x14ac:dyDescent="0.25"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AF82" s="1"/>
    </row>
    <row r="83" spans="1:32" x14ac:dyDescent="0.25"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AF83" s="1"/>
    </row>
    <row r="84" spans="1:32" x14ac:dyDescent="0.25"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AF84" s="1"/>
    </row>
    <row r="85" spans="1:32" x14ac:dyDescent="0.25">
      <c r="D85" s="3"/>
      <c r="E85" s="3"/>
      <c r="F85" s="3"/>
      <c r="G85" s="3"/>
      <c r="H85" s="3"/>
      <c r="I85" s="3"/>
      <c r="J85" s="3"/>
      <c r="AF85" s="1"/>
    </row>
    <row r="86" spans="1:32" x14ac:dyDescent="0.25">
      <c r="A86" s="36"/>
      <c r="B86" s="3"/>
      <c r="C86" s="3"/>
      <c r="D86" s="3"/>
      <c r="E86" s="3"/>
      <c r="F86" s="3"/>
      <c r="G86" s="3"/>
      <c r="H86" s="3"/>
      <c r="I86" s="3"/>
      <c r="J86" s="3"/>
      <c r="AF86" s="1"/>
    </row>
    <row r="87" spans="1:32" x14ac:dyDescent="0.25">
      <c r="A87" s="36"/>
      <c r="B87" s="3"/>
      <c r="C87" s="3"/>
      <c r="D87" s="3"/>
      <c r="E87" s="3"/>
      <c r="F87" s="3"/>
      <c r="G87" s="3"/>
      <c r="H87" s="3"/>
      <c r="I87" s="3"/>
      <c r="J87" s="3"/>
      <c r="AF87" s="1"/>
    </row>
    <row r="88" spans="1:32" x14ac:dyDescent="0.25">
      <c r="A88" s="36"/>
      <c r="B88" s="3"/>
      <c r="C88" s="3"/>
      <c r="D88" s="3"/>
      <c r="E88" s="3"/>
      <c r="F88" s="3"/>
      <c r="G88" s="3"/>
      <c r="H88" s="3"/>
      <c r="I88" s="3"/>
      <c r="J88" s="3"/>
      <c r="AF88" s="1"/>
    </row>
    <row r="89" spans="1:32" x14ac:dyDescent="0.25">
      <c r="A89" s="36"/>
      <c r="B89" s="3"/>
      <c r="C89" s="3"/>
      <c r="D89" s="3"/>
      <c r="E89" s="3"/>
      <c r="F89" s="3"/>
      <c r="G89" s="3"/>
      <c r="H89" s="3"/>
      <c r="I89" s="3"/>
      <c r="J89" s="3"/>
      <c r="AF89" s="1"/>
    </row>
    <row r="90" spans="1:32" x14ac:dyDescent="0.25">
      <c r="A90" s="36"/>
      <c r="B90" s="3"/>
      <c r="C90" s="3"/>
      <c r="D90" s="3"/>
      <c r="E90" s="3"/>
      <c r="F90" s="3"/>
      <c r="G90" s="3"/>
      <c r="H90" s="3"/>
      <c r="I90" s="3"/>
      <c r="J90" s="3"/>
      <c r="AF90" s="1"/>
    </row>
    <row r="91" spans="1:32" x14ac:dyDescent="0.25">
      <c r="A91" s="36"/>
      <c r="B91" s="3"/>
      <c r="C91" s="3"/>
      <c r="D91" s="3"/>
      <c r="E91" s="3"/>
      <c r="F91" s="3"/>
      <c r="G91" s="3"/>
      <c r="H91" s="3"/>
      <c r="I91" s="3"/>
      <c r="J91" s="3"/>
      <c r="AF91" s="1"/>
    </row>
    <row r="92" spans="1:32" x14ac:dyDescent="0.25">
      <c r="A92" s="36"/>
      <c r="B92" s="3"/>
      <c r="C92" s="3"/>
      <c r="D92" s="3"/>
      <c r="E92" s="3"/>
      <c r="F92" s="3"/>
      <c r="G92" s="3"/>
      <c r="H92" s="3"/>
      <c r="I92" s="3"/>
      <c r="J92" s="3"/>
      <c r="AF92" s="1"/>
    </row>
    <row r="93" spans="1:32" x14ac:dyDescent="0.25">
      <c r="A93" s="36"/>
      <c r="B93" s="3"/>
      <c r="C93" s="3"/>
      <c r="D93" s="3"/>
      <c r="E93" s="3"/>
      <c r="F93" s="3"/>
      <c r="G93" s="3"/>
      <c r="H93" s="3"/>
      <c r="I93" s="3"/>
      <c r="J93" s="3"/>
      <c r="AF93" s="1"/>
    </row>
    <row r="94" spans="1:32" x14ac:dyDescent="0.25">
      <c r="A94" s="36"/>
      <c r="B94" s="3"/>
      <c r="C94" s="3"/>
      <c r="D94" s="3"/>
      <c r="E94" s="3"/>
      <c r="F94" s="3"/>
      <c r="G94" s="3"/>
      <c r="H94" s="3"/>
      <c r="I94" s="3"/>
      <c r="J94" s="3"/>
      <c r="AF94" s="1"/>
    </row>
    <row r="95" spans="1:32" x14ac:dyDescent="0.25">
      <c r="A95" s="36"/>
      <c r="B95" s="3"/>
      <c r="C95" s="3"/>
      <c r="D95" s="3"/>
      <c r="E95" s="3"/>
      <c r="F95" s="3"/>
      <c r="G95" s="3"/>
      <c r="H95" s="3"/>
      <c r="I95" s="3"/>
      <c r="J95" s="3"/>
      <c r="AF95" s="1"/>
    </row>
    <row r="96" spans="1:32" x14ac:dyDescent="0.25">
      <c r="A96" s="36"/>
      <c r="B96" s="3"/>
      <c r="C96" s="3"/>
      <c r="D96" s="3"/>
      <c r="E96" s="3"/>
      <c r="F96" s="3"/>
      <c r="G96" s="3"/>
      <c r="H96" s="3"/>
      <c r="I96" s="3"/>
      <c r="J96" s="3"/>
      <c r="AF96" s="1"/>
    </row>
    <row r="97" spans="1:32" x14ac:dyDescent="0.25">
      <c r="A97" s="36"/>
      <c r="B97" s="3"/>
      <c r="C97" s="3"/>
      <c r="D97" s="3"/>
      <c r="E97" s="3"/>
      <c r="F97" s="3"/>
      <c r="G97" s="3"/>
      <c r="H97" s="3"/>
      <c r="I97" s="3"/>
      <c r="J97" s="3"/>
      <c r="AF97" s="1"/>
    </row>
    <row r="98" spans="1:32" x14ac:dyDescent="0.25">
      <c r="A98"/>
      <c r="AF98" s="1"/>
    </row>
    <row r="99" spans="1:32" x14ac:dyDescent="0.25">
      <c r="A99"/>
      <c r="AF99" s="1"/>
    </row>
    <row r="100" spans="1:32" x14ac:dyDescent="0.25">
      <c r="A100"/>
      <c r="AF100" s="1"/>
    </row>
    <row r="101" spans="1:32" x14ac:dyDescent="0.25">
      <c r="A101"/>
      <c r="AF101" s="1"/>
    </row>
    <row r="102" spans="1:32" x14ac:dyDescent="0.25">
      <c r="A102"/>
      <c r="AF102" s="1"/>
    </row>
    <row r="103" spans="1:32" x14ac:dyDescent="0.25">
      <c r="A103"/>
      <c r="AF103" s="1"/>
    </row>
    <row r="104" spans="1:32" x14ac:dyDescent="0.25">
      <c r="A104"/>
      <c r="AF104" s="1"/>
    </row>
    <row r="105" spans="1:32" x14ac:dyDescent="0.25">
      <c r="A105"/>
      <c r="AF105" s="1"/>
    </row>
    <row r="106" spans="1:32" x14ac:dyDescent="0.25">
      <c r="A106"/>
      <c r="AF106" s="1"/>
    </row>
    <row r="107" spans="1:32" x14ac:dyDescent="0.25">
      <c r="A107"/>
      <c r="AF107" s="1"/>
    </row>
    <row r="108" spans="1:32" x14ac:dyDescent="0.25">
      <c r="A108"/>
      <c r="AF108" s="1"/>
    </row>
    <row r="109" spans="1:32" x14ac:dyDescent="0.25">
      <c r="A109"/>
      <c r="AF109" s="1"/>
    </row>
    <row r="110" spans="1:32" x14ac:dyDescent="0.25">
      <c r="A110"/>
      <c r="AF110" s="1"/>
    </row>
    <row r="111" spans="1:32" x14ac:dyDescent="0.25">
      <c r="A111"/>
      <c r="AF111" s="1"/>
    </row>
    <row r="112" spans="1:32" x14ac:dyDescent="0.25">
      <c r="A112"/>
      <c r="AF112" s="1"/>
    </row>
    <row r="113" spans="1:32" x14ac:dyDescent="0.25">
      <c r="A113"/>
      <c r="AF113" s="1"/>
    </row>
    <row r="114" spans="1:32" x14ac:dyDescent="0.25">
      <c r="A114"/>
      <c r="AF114" s="1"/>
    </row>
    <row r="115" spans="1:32" x14ac:dyDescent="0.25">
      <c r="A115"/>
      <c r="AF115" s="1"/>
    </row>
    <row r="116" spans="1:32" x14ac:dyDescent="0.25">
      <c r="A116"/>
      <c r="AF116" s="1"/>
    </row>
    <row r="117" spans="1:32" x14ac:dyDescent="0.25">
      <c r="A117"/>
      <c r="AF117" s="1"/>
    </row>
    <row r="118" spans="1:32" x14ac:dyDescent="0.25">
      <c r="A118"/>
      <c r="AF118" s="1"/>
    </row>
    <row r="119" spans="1:32" x14ac:dyDescent="0.25">
      <c r="A119"/>
      <c r="AF119" s="1"/>
    </row>
    <row r="120" spans="1:32" x14ac:dyDescent="0.25">
      <c r="A120"/>
      <c r="AF120" s="1"/>
    </row>
    <row r="121" spans="1:32" x14ac:dyDescent="0.25">
      <c r="A121"/>
      <c r="AF121" s="2"/>
    </row>
    <row r="122" spans="1:32" x14ac:dyDescent="0.25">
      <c r="A122"/>
      <c r="AF122" s="2"/>
    </row>
    <row r="123" spans="1:32" x14ac:dyDescent="0.25">
      <c r="A123"/>
      <c r="AF123" s="2"/>
    </row>
    <row r="124" spans="1:32" x14ac:dyDescent="0.25">
      <c r="A124"/>
      <c r="B124" s="4"/>
      <c r="C124" s="4"/>
      <c r="AF124" s="2"/>
    </row>
    <row r="125" spans="1:32" x14ac:dyDescent="0.25">
      <c r="A125"/>
      <c r="B125" s="4"/>
      <c r="C125" s="4"/>
      <c r="AF125" s="2"/>
    </row>
    <row r="126" spans="1:32" x14ac:dyDescent="0.25">
      <c r="A126"/>
      <c r="B126" s="4"/>
      <c r="C126" s="4"/>
      <c r="AF126" s="2"/>
    </row>
    <row r="127" spans="1:32" x14ac:dyDescent="0.25">
      <c r="B127" s="4"/>
      <c r="C127" s="4"/>
      <c r="AF127" s="2"/>
    </row>
    <row r="128" spans="1:32" x14ac:dyDescent="0.25">
      <c r="B128" s="4"/>
      <c r="C128" s="4"/>
      <c r="AF128" s="2"/>
    </row>
    <row r="129" spans="2:32" x14ac:dyDescent="0.25">
      <c r="B129" s="4"/>
      <c r="C129" s="4"/>
      <c r="AF129" s="2"/>
    </row>
    <row r="130" spans="2:32" x14ac:dyDescent="0.25">
      <c r="B130" s="4"/>
      <c r="C130" s="4"/>
    </row>
    <row r="131" spans="2:32" x14ac:dyDescent="0.25">
      <c r="B131" s="4"/>
      <c r="C131" s="4"/>
    </row>
    <row r="132" spans="2:32" x14ac:dyDescent="0.25">
      <c r="B132" s="4"/>
      <c r="C132" s="4"/>
    </row>
    <row r="133" spans="2:32" x14ac:dyDescent="0.25">
      <c r="B133" s="4"/>
      <c r="C133" s="4"/>
    </row>
    <row r="134" spans="2:32" x14ac:dyDescent="0.25">
      <c r="B134" s="4"/>
      <c r="C134" s="4"/>
    </row>
    <row r="135" spans="2:32" x14ac:dyDescent="0.25">
      <c r="B135" s="4"/>
      <c r="C135" s="4"/>
    </row>
    <row r="136" spans="2:32" x14ac:dyDescent="0.25">
      <c r="B136" s="4"/>
      <c r="C136" s="4"/>
    </row>
    <row r="137" spans="2:32" x14ac:dyDescent="0.25">
      <c r="B137" s="4"/>
      <c r="C137" s="4"/>
    </row>
    <row r="138" spans="2:32" x14ac:dyDescent="0.25">
      <c r="B138" s="4"/>
      <c r="C138" s="4"/>
    </row>
    <row r="139" spans="2:32" x14ac:dyDescent="0.25">
      <c r="B139" s="4"/>
      <c r="C139" s="4"/>
    </row>
    <row r="140" spans="2:32" x14ac:dyDescent="0.25">
      <c r="B140" s="4"/>
      <c r="C140" s="4"/>
    </row>
    <row r="141" spans="2:32" x14ac:dyDescent="0.25">
      <c r="B141" s="4"/>
      <c r="C141" s="4"/>
    </row>
  </sheetData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F141"/>
  <sheetViews>
    <sheetView topLeftCell="A31" zoomScale="85" zoomScaleNormal="85" workbookViewId="0">
      <selection activeCell="E62" sqref="E62"/>
    </sheetView>
  </sheetViews>
  <sheetFormatPr defaultRowHeight="15" x14ac:dyDescent="0.25"/>
  <cols>
    <col min="1" max="1" width="23" style="35" customWidth="1"/>
    <col min="2" max="2" width="14.7109375" customWidth="1"/>
    <col min="3" max="3" width="11.85546875" bestFit="1" customWidth="1"/>
    <col min="4" max="4" width="10.28515625" bestFit="1" customWidth="1"/>
    <col min="5" max="5" width="10.140625" bestFit="1" customWidth="1"/>
    <col min="6" max="7" width="11.7109375" bestFit="1" customWidth="1"/>
    <col min="8" max="8" width="10.140625" bestFit="1" customWidth="1"/>
    <col min="9" max="9" width="11.7109375" bestFit="1" customWidth="1"/>
    <col min="10" max="10" width="9.28515625" bestFit="1" customWidth="1"/>
    <col min="11" max="11" width="11.7109375" bestFit="1" customWidth="1"/>
    <col min="12" max="14" width="10.140625" bestFit="1" customWidth="1"/>
    <col min="15" max="15" width="10.28515625" bestFit="1" customWidth="1"/>
    <col min="16" max="16" width="10.140625" bestFit="1" customWidth="1"/>
    <col min="17" max="17" width="11.7109375" bestFit="1" customWidth="1"/>
    <col min="18" max="18" width="10.140625" bestFit="1" customWidth="1"/>
    <col min="19" max="20" width="11.7109375" bestFit="1" customWidth="1"/>
    <col min="21" max="25" width="10.140625" bestFit="1" customWidth="1"/>
    <col min="26" max="26" width="11.42578125" customWidth="1"/>
    <col min="27" max="27" width="12.28515625" customWidth="1"/>
    <col min="32" max="32" width="13.140625" customWidth="1"/>
  </cols>
  <sheetData>
    <row r="1" spans="1:28" ht="15.75" thickBot="1" x14ac:dyDescent="0.3">
      <c r="A1" s="38" t="s">
        <v>49</v>
      </c>
    </row>
    <row r="2" spans="1:28" ht="15.75" thickBot="1" x14ac:dyDescent="0.3">
      <c r="A2" s="46" t="s">
        <v>4</v>
      </c>
      <c r="B2" s="64" t="s">
        <v>46</v>
      </c>
      <c r="C2" s="59" t="s">
        <v>21</v>
      </c>
      <c r="D2" s="57" t="s">
        <v>22</v>
      </c>
      <c r="E2" s="58" t="s">
        <v>23</v>
      </c>
      <c r="F2" s="58" t="s">
        <v>24</v>
      </c>
      <c r="G2" s="58" t="s">
        <v>25</v>
      </c>
      <c r="H2" s="58" t="s">
        <v>26</v>
      </c>
      <c r="I2" s="58" t="s">
        <v>27</v>
      </c>
      <c r="J2" s="58" t="s">
        <v>28</v>
      </c>
      <c r="K2" s="58" t="s">
        <v>29</v>
      </c>
      <c r="L2" s="58" t="s">
        <v>20</v>
      </c>
      <c r="M2" s="58" t="s">
        <v>30</v>
      </c>
      <c r="N2" s="58" t="s">
        <v>31</v>
      </c>
      <c r="O2" s="58" t="s">
        <v>32</v>
      </c>
      <c r="P2" s="58" t="s">
        <v>33</v>
      </c>
      <c r="Q2" s="58" t="s">
        <v>34</v>
      </c>
      <c r="R2" s="58" t="s">
        <v>35</v>
      </c>
      <c r="S2" s="58" t="s">
        <v>36</v>
      </c>
      <c r="T2" s="58" t="s">
        <v>37</v>
      </c>
      <c r="U2" s="58" t="s">
        <v>6</v>
      </c>
      <c r="V2" s="58" t="s">
        <v>0</v>
      </c>
      <c r="W2" s="58" t="s">
        <v>38</v>
      </c>
      <c r="X2" s="58" t="s">
        <v>39</v>
      </c>
      <c r="Y2" s="58" t="s">
        <v>40</v>
      </c>
      <c r="Z2" s="58" t="s">
        <v>43</v>
      </c>
      <c r="AA2" s="130" t="s">
        <v>45</v>
      </c>
      <c r="AB2">
        <v>123</v>
      </c>
    </row>
    <row r="3" spans="1:28" x14ac:dyDescent="0.25">
      <c r="A3" s="47">
        <v>41820</v>
      </c>
      <c r="B3" s="65">
        <v>35435</v>
      </c>
      <c r="C3" s="60">
        <v>300000</v>
      </c>
      <c r="D3" s="55">
        <v>19310</v>
      </c>
      <c r="E3" s="55">
        <v>53240</v>
      </c>
      <c r="F3" s="55">
        <v>68745</v>
      </c>
      <c r="G3" s="55">
        <v>95733</v>
      </c>
      <c r="H3" s="55">
        <v>65667</v>
      </c>
      <c r="I3" s="55">
        <v>157226</v>
      </c>
      <c r="J3" s="55">
        <v>3834</v>
      </c>
      <c r="K3" s="55">
        <v>134305</v>
      </c>
      <c r="L3" s="55">
        <v>45065</v>
      </c>
      <c r="M3" s="55">
        <v>44500</v>
      </c>
      <c r="N3" s="55">
        <v>25672</v>
      </c>
      <c r="O3" s="55">
        <v>5000</v>
      </c>
      <c r="P3" s="55">
        <v>14070</v>
      </c>
      <c r="Q3" s="55">
        <v>175629</v>
      </c>
      <c r="R3" s="55">
        <v>5000</v>
      </c>
      <c r="S3" s="55">
        <v>157027</v>
      </c>
      <c r="T3" s="55">
        <v>66164</v>
      </c>
      <c r="U3" s="55">
        <v>5000</v>
      </c>
      <c r="V3" s="55">
        <v>3000</v>
      </c>
      <c r="W3" s="55">
        <v>5000</v>
      </c>
      <c r="X3" s="55">
        <v>5000</v>
      </c>
      <c r="Y3" s="55">
        <v>5000</v>
      </c>
      <c r="Z3" s="55">
        <v>0</v>
      </c>
      <c r="AA3" s="56"/>
    </row>
    <row r="4" spans="1:28" x14ac:dyDescent="0.25">
      <c r="A4" s="47">
        <v>41835</v>
      </c>
      <c r="B4" s="66">
        <v>148000</v>
      </c>
      <c r="C4" s="61">
        <v>0</v>
      </c>
      <c r="D4" s="40">
        <v>0</v>
      </c>
      <c r="E4" s="40">
        <v>3000</v>
      </c>
      <c r="F4" s="40">
        <v>3000</v>
      </c>
      <c r="G4" s="40">
        <v>2000</v>
      </c>
      <c r="H4" s="40">
        <v>0</v>
      </c>
      <c r="I4" s="40">
        <v>3000</v>
      </c>
      <c r="J4" s="40">
        <v>0</v>
      </c>
      <c r="K4" s="40">
        <v>3000</v>
      </c>
      <c r="L4" s="40">
        <v>500</v>
      </c>
      <c r="M4" s="40">
        <v>500</v>
      </c>
      <c r="N4" s="40">
        <v>500</v>
      </c>
      <c r="O4" s="40">
        <v>1000</v>
      </c>
      <c r="P4" s="40">
        <v>0</v>
      </c>
      <c r="Q4" s="40">
        <v>3000</v>
      </c>
      <c r="R4" s="40">
        <v>0</v>
      </c>
      <c r="S4" s="40">
        <v>0</v>
      </c>
      <c r="T4" s="40">
        <v>2000</v>
      </c>
      <c r="U4" s="40">
        <v>2000</v>
      </c>
      <c r="V4" s="40">
        <v>2000</v>
      </c>
      <c r="W4" s="40">
        <v>2000</v>
      </c>
      <c r="X4" s="40">
        <v>3000</v>
      </c>
      <c r="Y4" s="40">
        <v>3000</v>
      </c>
      <c r="Z4" s="40">
        <v>0</v>
      </c>
      <c r="AA4" s="51"/>
    </row>
    <row r="5" spans="1:28" x14ac:dyDescent="0.25">
      <c r="A5" s="47">
        <v>41850</v>
      </c>
      <c r="B5" s="66">
        <v>54300</v>
      </c>
      <c r="C5" s="61">
        <v>0</v>
      </c>
      <c r="D5" s="40">
        <v>0</v>
      </c>
      <c r="E5" s="40">
        <v>3000</v>
      </c>
      <c r="F5" s="40">
        <v>3000</v>
      </c>
      <c r="G5" s="40">
        <v>2000</v>
      </c>
      <c r="H5" s="40">
        <v>0</v>
      </c>
      <c r="I5" s="40">
        <v>3000</v>
      </c>
      <c r="J5" s="40">
        <v>0</v>
      </c>
      <c r="K5" s="40">
        <v>3000</v>
      </c>
      <c r="L5" s="40">
        <v>500</v>
      </c>
      <c r="M5" s="40">
        <v>500</v>
      </c>
      <c r="N5" s="40">
        <v>500</v>
      </c>
      <c r="O5" s="40">
        <v>0</v>
      </c>
      <c r="P5" s="40">
        <v>0</v>
      </c>
      <c r="Q5" s="40">
        <v>3000</v>
      </c>
      <c r="R5" s="40">
        <v>0</v>
      </c>
      <c r="S5" s="40">
        <v>1000</v>
      </c>
      <c r="T5" s="40">
        <v>2000</v>
      </c>
      <c r="U5" s="40">
        <v>2000</v>
      </c>
      <c r="V5" s="40">
        <v>1500</v>
      </c>
      <c r="W5" s="40">
        <v>2000</v>
      </c>
      <c r="X5" s="40">
        <v>3000</v>
      </c>
      <c r="Y5" s="40">
        <v>3000</v>
      </c>
      <c r="Z5" s="40"/>
      <c r="AA5" s="51"/>
    </row>
    <row r="6" spans="1:28" x14ac:dyDescent="0.25">
      <c r="A6" s="47">
        <v>41866</v>
      </c>
      <c r="B6" s="66">
        <v>76000</v>
      </c>
      <c r="C6" s="61">
        <v>0</v>
      </c>
      <c r="D6" s="40">
        <v>0</v>
      </c>
      <c r="E6" s="40">
        <v>-17000</v>
      </c>
      <c r="F6" s="40">
        <v>3000</v>
      </c>
      <c r="G6" s="40">
        <v>2000</v>
      </c>
      <c r="H6" s="40">
        <v>0</v>
      </c>
      <c r="I6" s="40">
        <v>3000</v>
      </c>
      <c r="J6" s="40">
        <v>0</v>
      </c>
      <c r="K6" s="40">
        <v>3000</v>
      </c>
      <c r="L6" s="40">
        <v>500</v>
      </c>
      <c r="M6" s="40">
        <v>500</v>
      </c>
      <c r="N6" s="40">
        <v>0</v>
      </c>
      <c r="O6" s="40">
        <v>0</v>
      </c>
      <c r="P6" s="40">
        <v>0</v>
      </c>
      <c r="Q6" s="40">
        <v>3000</v>
      </c>
      <c r="R6" s="40">
        <v>3000</v>
      </c>
      <c r="S6" s="40">
        <v>3000</v>
      </c>
      <c r="T6" s="40">
        <v>2000</v>
      </c>
      <c r="U6" s="40">
        <v>2000</v>
      </c>
      <c r="V6" s="40">
        <v>1500</v>
      </c>
      <c r="W6" s="40">
        <v>3000</v>
      </c>
      <c r="X6" s="40">
        <v>3000</v>
      </c>
      <c r="Y6" s="40">
        <v>3000</v>
      </c>
      <c r="Z6" s="40"/>
      <c r="AA6" s="51"/>
    </row>
    <row r="7" spans="1:28" x14ac:dyDescent="0.25">
      <c r="A7" s="47">
        <v>41881</v>
      </c>
      <c r="B7" s="66">
        <v>56500</v>
      </c>
      <c r="C7" s="61">
        <v>0</v>
      </c>
      <c r="D7" s="40">
        <v>0</v>
      </c>
      <c r="E7" s="40">
        <v>0</v>
      </c>
      <c r="F7" s="40">
        <v>3000</v>
      </c>
      <c r="G7" s="40">
        <v>2000</v>
      </c>
      <c r="H7" s="40">
        <v>0</v>
      </c>
      <c r="I7" s="40">
        <v>3000</v>
      </c>
      <c r="J7" s="40">
        <v>500</v>
      </c>
      <c r="K7" s="40">
        <v>3000</v>
      </c>
      <c r="L7" s="40">
        <v>500</v>
      </c>
      <c r="M7" s="40">
        <v>500</v>
      </c>
      <c r="N7" s="40">
        <v>0</v>
      </c>
      <c r="O7" s="40">
        <v>0</v>
      </c>
      <c r="P7" s="40">
        <v>0</v>
      </c>
      <c r="Q7" s="40">
        <v>3000</v>
      </c>
      <c r="R7" s="40">
        <v>0</v>
      </c>
      <c r="S7" s="40">
        <v>2000</v>
      </c>
      <c r="T7" s="40">
        <v>2000</v>
      </c>
      <c r="U7" s="40">
        <v>2000</v>
      </c>
      <c r="V7" s="40">
        <v>1000</v>
      </c>
      <c r="W7" s="40">
        <v>3000</v>
      </c>
      <c r="X7" s="40">
        <v>3000</v>
      </c>
      <c r="Y7" s="40">
        <v>3000</v>
      </c>
      <c r="Z7" s="40">
        <v>3000</v>
      </c>
      <c r="AA7" s="51"/>
    </row>
    <row r="8" spans="1:28" x14ac:dyDescent="0.25">
      <c r="A8" s="47">
        <v>41897</v>
      </c>
      <c r="B8" s="66">
        <v>60000</v>
      </c>
      <c r="C8" s="61">
        <v>0</v>
      </c>
      <c r="D8" s="40">
        <v>0</v>
      </c>
      <c r="E8" s="40">
        <v>3000</v>
      </c>
      <c r="F8" s="40">
        <v>3000</v>
      </c>
      <c r="G8" s="40">
        <v>1000</v>
      </c>
      <c r="H8" s="40">
        <v>0</v>
      </c>
      <c r="I8" s="40">
        <v>3000</v>
      </c>
      <c r="J8" s="40">
        <v>0</v>
      </c>
      <c r="K8" s="40">
        <v>3000</v>
      </c>
      <c r="L8" s="40">
        <v>500</v>
      </c>
      <c r="M8" s="40">
        <v>500</v>
      </c>
      <c r="N8" s="40">
        <v>0</v>
      </c>
      <c r="O8" s="40">
        <v>0</v>
      </c>
      <c r="P8" s="40">
        <v>0</v>
      </c>
      <c r="Q8" s="40">
        <v>3000</v>
      </c>
      <c r="R8" s="40">
        <v>0</v>
      </c>
      <c r="S8" s="40">
        <v>1000</v>
      </c>
      <c r="T8" s="40">
        <v>2000</v>
      </c>
      <c r="U8" s="40">
        <v>2000</v>
      </c>
      <c r="V8" s="40">
        <v>2000</v>
      </c>
      <c r="W8" s="40">
        <v>3000</v>
      </c>
      <c r="X8" s="40">
        <v>3000</v>
      </c>
      <c r="Y8" s="40">
        <v>3000</v>
      </c>
      <c r="Z8" s="40">
        <v>3000</v>
      </c>
      <c r="AA8" s="51"/>
    </row>
    <row r="9" spans="1:28" x14ac:dyDescent="0.25">
      <c r="A9" s="47">
        <v>41912</v>
      </c>
      <c r="B9" s="66">
        <v>125000</v>
      </c>
      <c r="C9" s="61">
        <v>0</v>
      </c>
      <c r="D9" s="40">
        <v>0</v>
      </c>
      <c r="E9" s="40">
        <v>3000</v>
      </c>
      <c r="F9" s="40">
        <v>3000</v>
      </c>
      <c r="G9" s="40">
        <v>2000</v>
      </c>
      <c r="H9" s="40">
        <v>0</v>
      </c>
      <c r="I9" s="40">
        <v>3000</v>
      </c>
      <c r="J9" s="40">
        <v>500</v>
      </c>
      <c r="K9" s="40">
        <v>3000</v>
      </c>
      <c r="L9" s="40">
        <v>500</v>
      </c>
      <c r="M9" s="40">
        <v>500</v>
      </c>
      <c r="N9" s="40">
        <v>0</v>
      </c>
      <c r="O9" s="40">
        <v>0</v>
      </c>
      <c r="P9" s="40">
        <v>0</v>
      </c>
      <c r="Q9" s="40">
        <v>3000</v>
      </c>
      <c r="R9" s="40">
        <v>0</v>
      </c>
      <c r="S9" s="40">
        <v>2000</v>
      </c>
      <c r="T9" s="40">
        <v>2000</v>
      </c>
      <c r="U9" s="40">
        <v>2000</v>
      </c>
      <c r="V9" s="40">
        <v>2000</v>
      </c>
      <c r="W9" s="40">
        <v>3000</v>
      </c>
      <c r="X9" s="40">
        <v>3000</v>
      </c>
      <c r="Y9" s="40">
        <v>3000</v>
      </c>
      <c r="Z9" s="40">
        <v>3000</v>
      </c>
      <c r="AA9" s="51"/>
    </row>
    <row r="10" spans="1:28" x14ac:dyDescent="0.25">
      <c r="A10" s="47">
        <v>41927</v>
      </c>
      <c r="B10" s="66">
        <v>99000</v>
      </c>
      <c r="C10" s="61">
        <v>0</v>
      </c>
      <c r="D10" s="40">
        <v>0</v>
      </c>
      <c r="E10" s="40">
        <v>3000</v>
      </c>
      <c r="F10" s="40">
        <v>3000</v>
      </c>
      <c r="G10" s="40">
        <v>1000</v>
      </c>
      <c r="H10" s="40">
        <v>0</v>
      </c>
      <c r="I10" s="40">
        <v>3000</v>
      </c>
      <c r="J10" s="40">
        <v>0</v>
      </c>
      <c r="K10" s="40">
        <v>3000</v>
      </c>
      <c r="L10" s="40">
        <v>500</v>
      </c>
      <c r="M10" s="40">
        <v>500</v>
      </c>
      <c r="N10" s="40">
        <v>500</v>
      </c>
      <c r="O10" s="40">
        <v>0</v>
      </c>
      <c r="P10" s="40">
        <v>0</v>
      </c>
      <c r="Q10" s="40">
        <v>3000</v>
      </c>
      <c r="R10" s="40">
        <v>500</v>
      </c>
      <c r="S10" s="40">
        <v>3000</v>
      </c>
      <c r="T10" s="40">
        <v>2000</v>
      </c>
      <c r="U10" s="40">
        <v>2000</v>
      </c>
      <c r="V10" s="40">
        <v>2000</v>
      </c>
      <c r="W10" s="40">
        <v>3000</v>
      </c>
      <c r="X10" s="40">
        <v>3000</v>
      </c>
      <c r="Y10" s="40">
        <v>3000</v>
      </c>
      <c r="Z10" s="40">
        <v>3000</v>
      </c>
      <c r="AA10" s="51"/>
    </row>
    <row r="11" spans="1:28" x14ac:dyDescent="0.25">
      <c r="A11" s="47">
        <v>41942</v>
      </c>
      <c r="B11" s="66">
        <v>32000</v>
      </c>
      <c r="C11" s="61">
        <v>0</v>
      </c>
      <c r="D11" s="40">
        <v>0</v>
      </c>
      <c r="E11" s="40">
        <v>1000</v>
      </c>
      <c r="F11" s="40">
        <v>3000</v>
      </c>
      <c r="G11" s="40">
        <v>1000</v>
      </c>
      <c r="H11" s="40">
        <v>500</v>
      </c>
      <c r="I11" s="40">
        <v>3000</v>
      </c>
      <c r="J11" s="40">
        <v>0</v>
      </c>
      <c r="K11" s="40">
        <v>3000</v>
      </c>
      <c r="L11" s="40">
        <v>500</v>
      </c>
      <c r="M11" s="40">
        <v>500</v>
      </c>
      <c r="N11" s="40">
        <v>0</v>
      </c>
      <c r="O11" s="40">
        <v>0</v>
      </c>
      <c r="P11" s="40">
        <v>0</v>
      </c>
      <c r="Q11" s="40">
        <v>3000</v>
      </c>
      <c r="R11" s="40">
        <v>0</v>
      </c>
      <c r="S11" s="40">
        <v>3000</v>
      </c>
      <c r="T11" s="40">
        <v>2000</v>
      </c>
      <c r="U11" s="40">
        <v>2000</v>
      </c>
      <c r="V11" s="40">
        <v>2000</v>
      </c>
      <c r="W11" s="40">
        <v>0</v>
      </c>
      <c r="X11" s="40">
        <v>3000</v>
      </c>
      <c r="Y11" s="40">
        <v>3000</v>
      </c>
      <c r="Z11" s="40">
        <v>3000</v>
      </c>
      <c r="AA11" s="51"/>
    </row>
    <row r="12" spans="1:28" x14ac:dyDescent="0.25">
      <c r="A12" s="47">
        <v>41958</v>
      </c>
      <c r="B12" s="66">
        <v>76000</v>
      </c>
      <c r="C12" s="61">
        <v>0</v>
      </c>
      <c r="D12" s="40">
        <v>500</v>
      </c>
      <c r="E12" s="40">
        <v>1000</v>
      </c>
      <c r="F12" s="40">
        <v>2000</v>
      </c>
      <c r="G12" s="40">
        <v>1000</v>
      </c>
      <c r="H12" s="40">
        <v>500</v>
      </c>
      <c r="I12" s="40">
        <v>3000</v>
      </c>
      <c r="J12" s="40">
        <v>0</v>
      </c>
      <c r="K12" s="40">
        <v>3000</v>
      </c>
      <c r="L12" s="40">
        <v>500</v>
      </c>
      <c r="M12" s="40">
        <v>500</v>
      </c>
      <c r="N12" s="40">
        <v>0</v>
      </c>
      <c r="O12" s="40">
        <v>0</v>
      </c>
      <c r="P12" s="40">
        <v>0</v>
      </c>
      <c r="Q12" s="40">
        <v>3000</v>
      </c>
      <c r="R12" s="40">
        <v>1000</v>
      </c>
      <c r="S12" s="40">
        <v>3000</v>
      </c>
      <c r="T12" s="40">
        <v>2000</v>
      </c>
      <c r="U12" s="40">
        <v>2000</v>
      </c>
      <c r="V12" s="40">
        <v>2000</v>
      </c>
      <c r="W12" s="40">
        <v>0</v>
      </c>
      <c r="X12" s="40">
        <v>3000</v>
      </c>
      <c r="Y12" s="40">
        <v>3000</v>
      </c>
      <c r="Z12" s="40"/>
      <c r="AA12" s="51"/>
    </row>
    <row r="13" spans="1:28" x14ac:dyDescent="0.25">
      <c r="A13" s="47">
        <v>41973</v>
      </c>
      <c r="B13" s="66">
        <v>33400</v>
      </c>
      <c r="C13" s="61">
        <v>0</v>
      </c>
      <c r="D13" s="40">
        <v>500</v>
      </c>
      <c r="E13" s="40">
        <v>2000</v>
      </c>
      <c r="F13" s="40">
        <v>3000</v>
      </c>
      <c r="G13" s="40">
        <v>1000</v>
      </c>
      <c r="H13" s="40">
        <v>500</v>
      </c>
      <c r="I13" s="40">
        <v>3000</v>
      </c>
      <c r="J13" s="40">
        <v>0</v>
      </c>
      <c r="K13" s="40">
        <v>3000</v>
      </c>
      <c r="L13" s="40">
        <v>0</v>
      </c>
      <c r="M13" s="40">
        <v>500</v>
      </c>
      <c r="N13" s="40">
        <v>0</v>
      </c>
      <c r="O13" s="40">
        <v>0</v>
      </c>
      <c r="P13" s="40">
        <v>0</v>
      </c>
      <c r="Q13" s="40">
        <v>3000</v>
      </c>
      <c r="R13" s="40">
        <v>500</v>
      </c>
      <c r="S13" s="40">
        <v>3000</v>
      </c>
      <c r="T13" s="40">
        <v>2000</v>
      </c>
      <c r="U13" s="40">
        <v>2000</v>
      </c>
      <c r="V13" s="40">
        <v>2000</v>
      </c>
      <c r="W13" s="40">
        <v>3000</v>
      </c>
      <c r="X13" s="40">
        <v>3000</v>
      </c>
      <c r="Y13" s="40">
        <v>3000</v>
      </c>
      <c r="Z13" s="40"/>
      <c r="AA13" s="51"/>
    </row>
    <row r="14" spans="1:28" x14ac:dyDescent="0.25">
      <c r="A14" s="47">
        <v>41623</v>
      </c>
      <c r="B14" s="67">
        <v>45000</v>
      </c>
      <c r="C14" s="61">
        <v>0</v>
      </c>
      <c r="D14" s="40">
        <v>0</v>
      </c>
      <c r="E14" s="40">
        <v>2000</v>
      </c>
      <c r="F14" s="40">
        <v>3000</v>
      </c>
      <c r="G14" s="40">
        <v>1000</v>
      </c>
      <c r="H14" s="40">
        <v>500</v>
      </c>
      <c r="I14" s="40">
        <v>3000</v>
      </c>
      <c r="J14" s="40">
        <v>0</v>
      </c>
      <c r="K14" s="40">
        <v>3000</v>
      </c>
      <c r="L14" s="40">
        <v>0</v>
      </c>
      <c r="M14" s="40">
        <v>500</v>
      </c>
      <c r="N14" s="40">
        <v>0</v>
      </c>
      <c r="O14" s="40">
        <v>0</v>
      </c>
      <c r="P14" s="40">
        <v>0</v>
      </c>
      <c r="Q14" s="40">
        <v>3000</v>
      </c>
      <c r="R14" s="40">
        <v>500</v>
      </c>
      <c r="S14" s="40">
        <v>3000</v>
      </c>
      <c r="T14" s="40">
        <v>2000</v>
      </c>
      <c r="U14" s="40">
        <v>2000</v>
      </c>
      <c r="V14" s="40">
        <v>2000</v>
      </c>
      <c r="W14" s="40">
        <v>3000</v>
      </c>
      <c r="X14" s="40">
        <v>3000</v>
      </c>
      <c r="Y14" s="40">
        <v>3000</v>
      </c>
      <c r="Z14" s="40"/>
      <c r="AA14" s="51"/>
    </row>
    <row r="15" spans="1:28" x14ac:dyDescent="0.25">
      <c r="A15" s="48" t="s">
        <v>5</v>
      </c>
      <c r="B15" s="66">
        <f>SUM(B3:B14)</f>
        <v>840635</v>
      </c>
      <c r="C15" s="79">
        <f t="shared" ref="C15:Z15" si="0">SUM(C3:C14)</f>
        <v>300000</v>
      </c>
      <c r="D15" s="80">
        <f t="shared" si="0"/>
        <v>20310</v>
      </c>
      <c r="E15" s="80">
        <f t="shared" si="0"/>
        <v>57240</v>
      </c>
      <c r="F15" s="80">
        <f t="shared" si="0"/>
        <v>100745</v>
      </c>
      <c r="G15" s="80">
        <f t="shared" si="0"/>
        <v>111733</v>
      </c>
      <c r="H15" s="80">
        <f t="shared" si="0"/>
        <v>67667</v>
      </c>
      <c r="I15" s="80">
        <f t="shared" si="0"/>
        <v>190226</v>
      </c>
      <c r="J15" s="80">
        <f t="shared" si="0"/>
        <v>4834</v>
      </c>
      <c r="K15" s="80">
        <f t="shared" si="0"/>
        <v>167305</v>
      </c>
      <c r="L15" s="80">
        <f t="shared" si="0"/>
        <v>49565</v>
      </c>
      <c r="M15" s="80">
        <f t="shared" si="0"/>
        <v>50000</v>
      </c>
      <c r="N15" s="80">
        <f t="shared" si="0"/>
        <v>27172</v>
      </c>
      <c r="O15" s="80">
        <f t="shared" si="0"/>
        <v>6000</v>
      </c>
      <c r="P15" s="80">
        <f t="shared" si="0"/>
        <v>14070</v>
      </c>
      <c r="Q15" s="80">
        <f t="shared" si="0"/>
        <v>208629</v>
      </c>
      <c r="R15" s="80">
        <f t="shared" si="0"/>
        <v>10500</v>
      </c>
      <c r="S15" s="80">
        <f t="shared" si="0"/>
        <v>181027</v>
      </c>
      <c r="T15" s="80">
        <f t="shared" si="0"/>
        <v>88164</v>
      </c>
      <c r="U15" s="80">
        <f t="shared" si="0"/>
        <v>27000</v>
      </c>
      <c r="V15" s="80">
        <f t="shared" si="0"/>
        <v>23000</v>
      </c>
      <c r="W15" s="80">
        <f t="shared" si="0"/>
        <v>30000</v>
      </c>
      <c r="X15" s="80">
        <f t="shared" si="0"/>
        <v>38000</v>
      </c>
      <c r="Y15" s="80">
        <f t="shared" si="0"/>
        <v>38000</v>
      </c>
      <c r="Z15" s="80">
        <f t="shared" si="0"/>
        <v>15000</v>
      </c>
      <c r="AA15" s="81">
        <f>SUM(AB3:AB14)</f>
        <v>0</v>
      </c>
    </row>
    <row r="16" spans="1:28" x14ac:dyDescent="0.25">
      <c r="A16" s="49" t="s">
        <v>61</v>
      </c>
      <c r="B16" s="68">
        <f>SUM(C15:AA15)</f>
        <v>1826187</v>
      </c>
      <c r="C16" s="62">
        <f>C15/B16</f>
        <v>0.16427671426858256</v>
      </c>
      <c r="D16" s="39">
        <f>D15/B16</f>
        <v>1.112153355598304E-2</v>
      </c>
      <c r="E16" s="39">
        <f>E15/B16</f>
        <v>3.1343997082445556E-2</v>
      </c>
      <c r="F16" s="39">
        <f>F15/B16</f>
        <v>5.5166858596627837E-2</v>
      </c>
      <c r="G16" s="39">
        <f>G15/B16</f>
        <v>6.1183767051238458E-2</v>
      </c>
      <c r="H16" s="39">
        <f>H15/B16</f>
        <v>3.7053708081373926E-2</v>
      </c>
      <c r="I16" s="39">
        <f>I15/B16</f>
        <v>0.10416567416151797</v>
      </c>
      <c r="J16" s="39">
        <f>J15/B16</f>
        <v>2.6470454559144271E-3</v>
      </c>
      <c r="K16" s="39">
        <f>K15/B16</f>
        <v>9.161438560235069E-2</v>
      </c>
      <c r="L16" s="39">
        <f>L15/B16</f>
        <v>2.714125114240765E-2</v>
      </c>
      <c r="M16" s="39">
        <f>M15/B16</f>
        <v>2.7379452378097094E-2</v>
      </c>
      <c r="N16" s="39">
        <f>N15/B16</f>
        <v>1.4879089600353085E-2</v>
      </c>
      <c r="O16" s="39">
        <f>O15/B16</f>
        <v>3.2855342853716513E-3</v>
      </c>
      <c r="P16" s="39">
        <f>P15/B16</f>
        <v>7.7045778991965226E-3</v>
      </c>
      <c r="Q16" s="39">
        <f>Q15/B16</f>
        <v>0.11424295540380038</v>
      </c>
      <c r="R16" s="39">
        <f>R15/B16</f>
        <v>5.7496849994003903E-3</v>
      </c>
      <c r="S16" s="39">
        <f>S15/B16</f>
        <v>9.912840251299565E-2</v>
      </c>
      <c r="T16" s="39">
        <f>T15/B16</f>
        <v>4.8277640789251043E-2</v>
      </c>
      <c r="U16" s="39">
        <f>U15/B16</f>
        <v>1.4784904284172432E-2</v>
      </c>
      <c r="V16" s="39">
        <f>V15/B16</f>
        <v>1.2594548093924664E-2</v>
      </c>
      <c r="W16" s="39">
        <f>W15/B16</f>
        <v>1.6427671426858258E-2</v>
      </c>
      <c r="X16" s="39">
        <f>X15/B16</f>
        <v>2.0808383807353791E-2</v>
      </c>
      <c r="Y16" s="39">
        <f>Y15/B16</f>
        <v>2.0808383807353791E-2</v>
      </c>
      <c r="Z16" s="39">
        <f>Z15/B16</f>
        <v>8.2138357134291292E-3</v>
      </c>
      <c r="AA16" s="52">
        <f>AA15/B16</f>
        <v>0</v>
      </c>
    </row>
    <row r="17" spans="1:27" ht="15.75" thickBot="1" x14ac:dyDescent="0.3">
      <c r="A17" s="50" t="s">
        <v>62</v>
      </c>
      <c r="B17" s="69">
        <f>SUM(C17:AA17)</f>
        <v>840635</v>
      </c>
      <c r="C17" s="63">
        <f>B15*C16</f>
        <v>138096.75569916991</v>
      </c>
      <c r="D17" s="53">
        <f>B15*D16</f>
        <v>9349.1503608338026</v>
      </c>
      <c r="E17" s="53">
        <f>B15*E16</f>
        <v>26348.860987401618</v>
      </c>
      <c r="F17" s="53">
        <f>B15*F16</f>
        <v>46375.192176376244</v>
      </c>
      <c r="G17" s="53">
        <f>B15*G16</f>
        <v>51433.21601511784</v>
      </c>
      <c r="H17" s="53">
        <f>B15*H16</f>
        <v>31148.643892985769</v>
      </c>
      <c r="I17" s="53">
        <f>B15*I16</f>
        <v>87565.311498767653</v>
      </c>
      <c r="J17" s="53">
        <f>B15*J16</f>
        <v>2225.1990568326246</v>
      </c>
      <c r="K17" s="53">
        <f>B15*K16</f>
        <v>77014.259040832068</v>
      </c>
      <c r="L17" s="53">
        <f>B15*L16</f>
        <v>22815.885654097856</v>
      </c>
      <c r="M17" s="53">
        <f>B15*M16</f>
        <v>23016.125949861649</v>
      </c>
      <c r="N17" s="53">
        <f>B15*N16</f>
        <v>12507.883486192815</v>
      </c>
      <c r="O17" s="53">
        <f>B15*O16</f>
        <v>2761.935113983398</v>
      </c>
      <c r="P17" s="53">
        <f>B15*P16</f>
        <v>6476.7378422910688</v>
      </c>
      <c r="Q17" s="53">
        <f>B15*Q16</f>
        <v>96036.626815873722</v>
      </c>
      <c r="R17" s="53">
        <f>B15*R16</f>
        <v>4833.3864494709469</v>
      </c>
      <c r="S17" s="53">
        <f>B15*S16</f>
        <v>83330.804646512101</v>
      </c>
      <c r="T17" s="53">
        <f>B15*T16</f>
        <v>40583.874564872051</v>
      </c>
      <c r="U17" s="53">
        <f>B15*U16</f>
        <v>12428.708012925292</v>
      </c>
      <c r="V17" s="53">
        <f>B15*V16</f>
        <v>10587.417936936359</v>
      </c>
      <c r="W17" s="53">
        <f>B15*W16</f>
        <v>13809.675569916992</v>
      </c>
      <c r="X17" s="53">
        <f>B15*X16</f>
        <v>17492.255721894853</v>
      </c>
      <c r="Y17" s="53">
        <f>B15*Y16</f>
        <v>17492.255721894853</v>
      </c>
      <c r="Z17" s="53">
        <f>B15*Z16</f>
        <v>6904.8377849584958</v>
      </c>
      <c r="AA17" s="54">
        <f>B15*AA16</f>
        <v>0</v>
      </c>
    </row>
    <row r="18" spans="1:27" ht="15.75" thickBot="1" x14ac:dyDescent="0.3">
      <c r="B18" s="101">
        <f>SUM(C16:AA16)</f>
        <v>1.0000000000000002</v>
      </c>
    </row>
    <row r="19" spans="1:27" ht="15.75" thickBot="1" x14ac:dyDescent="0.3">
      <c r="A19" s="37" t="s">
        <v>47</v>
      </c>
    </row>
    <row r="20" spans="1:27" ht="15.75" thickBot="1" x14ac:dyDescent="0.3">
      <c r="A20" s="20" t="s">
        <v>4</v>
      </c>
      <c r="B20" s="45" t="s">
        <v>46</v>
      </c>
      <c r="C20" s="42" t="s">
        <v>21</v>
      </c>
      <c r="D20" s="42" t="s">
        <v>22</v>
      </c>
      <c r="E20" s="43" t="s">
        <v>23</v>
      </c>
      <c r="F20" s="43" t="s">
        <v>24</v>
      </c>
      <c r="G20" s="43" t="s">
        <v>25</v>
      </c>
      <c r="H20" s="43" t="s">
        <v>26</v>
      </c>
      <c r="I20" s="43" t="s">
        <v>27</v>
      </c>
      <c r="J20" s="43" t="s">
        <v>28</v>
      </c>
      <c r="K20" s="43" t="s">
        <v>29</v>
      </c>
      <c r="L20" s="43" t="s">
        <v>20</v>
      </c>
      <c r="M20" s="43" t="s">
        <v>30</v>
      </c>
      <c r="N20" s="43" t="s">
        <v>31</v>
      </c>
      <c r="O20" s="43" t="s">
        <v>32</v>
      </c>
      <c r="P20" s="43" t="s">
        <v>33</v>
      </c>
      <c r="Q20" s="43" t="s">
        <v>34</v>
      </c>
      <c r="R20" s="43" t="s">
        <v>35</v>
      </c>
      <c r="S20" s="43" t="s">
        <v>36</v>
      </c>
      <c r="T20" s="43" t="s">
        <v>37</v>
      </c>
      <c r="U20" s="43" t="s">
        <v>6</v>
      </c>
      <c r="V20" s="43" t="s">
        <v>0</v>
      </c>
      <c r="W20" s="43" t="s">
        <v>38</v>
      </c>
      <c r="X20" s="43" t="s">
        <v>39</v>
      </c>
      <c r="Y20" s="43" t="s">
        <v>40</v>
      </c>
      <c r="Z20" s="43" t="s">
        <v>43</v>
      </c>
      <c r="AA20" s="43" t="s">
        <v>44</v>
      </c>
    </row>
    <row r="21" spans="1:27" x14ac:dyDescent="0.25">
      <c r="A21" s="26">
        <v>42003</v>
      </c>
      <c r="B21" s="78">
        <v>35435</v>
      </c>
      <c r="C21" s="40">
        <v>0</v>
      </c>
      <c r="D21" s="40">
        <v>0</v>
      </c>
      <c r="E21" s="40">
        <v>1000</v>
      </c>
      <c r="F21" s="40">
        <v>3000</v>
      </c>
      <c r="G21" s="40">
        <v>3000</v>
      </c>
      <c r="H21" s="40">
        <v>500</v>
      </c>
      <c r="I21" s="40">
        <v>3000</v>
      </c>
      <c r="J21" s="40">
        <v>0</v>
      </c>
      <c r="K21" s="40">
        <v>3000</v>
      </c>
      <c r="L21" s="40">
        <v>500</v>
      </c>
      <c r="M21" s="40">
        <v>500</v>
      </c>
      <c r="N21" s="40">
        <v>0</v>
      </c>
      <c r="O21" s="40">
        <v>0</v>
      </c>
      <c r="P21" s="40">
        <v>0</v>
      </c>
      <c r="Q21" s="40">
        <v>3000</v>
      </c>
      <c r="R21" s="40">
        <v>0</v>
      </c>
      <c r="S21" s="40">
        <v>3000</v>
      </c>
      <c r="T21" s="40">
        <v>3000</v>
      </c>
      <c r="U21" s="40">
        <v>2000</v>
      </c>
      <c r="V21" s="40">
        <v>0</v>
      </c>
      <c r="W21" s="40">
        <v>0</v>
      </c>
      <c r="X21" s="40">
        <v>3000</v>
      </c>
      <c r="Y21" s="40">
        <v>3000</v>
      </c>
      <c r="Z21" s="40"/>
      <c r="AA21" s="40"/>
    </row>
    <row r="22" spans="1:27" x14ac:dyDescent="0.25">
      <c r="A22" s="27">
        <v>41654</v>
      </c>
      <c r="B22" s="78">
        <v>234234</v>
      </c>
      <c r="C22" s="40">
        <v>0</v>
      </c>
      <c r="D22" s="40">
        <v>300</v>
      </c>
      <c r="E22" s="40">
        <v>1000</v>
      </c>
      <c r="F22" s="40">
        <v>3000</v>
      </c>
      <c r="G22" s="40">
        <v>3000</v>
      </c>
      <c r="H22" s="40">
        <v>500</v>
      </c>
      <c r="I22" s="40">
        <v>3000</v>
      </c>
      <c r="J22" s="40">
        <v>0</v>
      </c>
      <c r="K22" s="40">
        <v>3000</v>
      </c>
      <c r="L22" s="40">
        <v>0</v>
      </c>
      <c r="M22" s="40">
        <v>500</v>
      </c>
      <c r="N22" s="40">
        <v>0</v>
      </c>
      <c r="O22" s="40">
        <v>1000</v>
      </c>
      <c r="P22" s="40">
        <v>0</v>
      </c>
      <c r="Q22" s="40">
        <v>3000</v>
      </c>
      <c r="R22" s="40">
        <v>0</v>
      </c>
      <c r="S22" s="40">
        <v>3000</v>
      </c>
      <c r="T22" s="40">
        <v>3000</v>
      </c>
      <c r="U22" s="40">
        <v>2000</v>
      </c>
      <c r="V22" s="40">
        <v>2000</v>
      </c>
      <c r="W22" s="40">
        <v>0</v>
      </c>
      <c r="X22" s="40">
        <v>3000</v>
      </c>
      <c r="Y22" s="40">
        <v>3000</v>
      </c>
      <c r="Z22" s="40"/>
      <c r="AA22" s="40"/>
    </row>
    <row r="23" spans="1:27" x14ac:dyDescent="0.25">
      <c r="A23" s="27">
        <v>41669</v>
      </c>
      <c r="B23" s="78">
        <v>23423</v>
      </c>
      <c r="C23" s="40">
        <v>0</v>
      </c>
      <c r="D23" s="40">
        <v>300</v>
      </c>
      <c r="E23" s="40">
        <v>0</v>
      </c>
      <c r="F23" s="40">
        <v>1000</v>
      </c>
      <c r="G23" s="40">
        <v>3000</v>
      </c>
      <c r="H23" s="40">
        <v>500</v>
      </c>
      <c r="I23" s="40">
        <v>3000</v>
      </c>
      <c r="J23" s="40">
        <v>0</v>
      </c>
      <c r="K23" s="40">
        <v>3000</v>
      </c>
      <c r="L23" s="40">
        <v>0</v>
      </c>
      <c r="M23" s="40">
        <v>500</v>
      </c>
      <c r="N23" s="40">
        <v>0</v>
      </c>
      <c r="O23" s="40">
        <v>1000</v>
      </c>
      <c r="P23" s="40">
        <v>0</v>
      </c>
      <c r="Q23" s="40">
        <v>3000</v>
      </c>
      <c r="R23" s="40">
        <v>0</v>
      </c>
      <c r="S23" s="40">
        <v>3000</v>
      </c>
      <c r="T23" s="40">
        <v>3000</v>
      </c>
      <c r="U23" s="40">
        <v>2000</v>
      </c>
      <c r="V23" s="40">
        <v>2000</v>
      </c>
      <c r="W23" s="40">
        <v>0</v>
      </c>
      <c r="X23" s="40">
        <v>3000</v>
      </c>
      <c r="Y23" s="40">
        <v>3000</v>
      </c>
      <c r="Z23" s="40"/>
      <c r="AA23" s="40"/>
    </row>
    <row r="24" spans="1:27" x14ac:dyDescent="0.25">
      <c r="A24" s="27">
        <v>41685</v>
      </c>
      <c r="B24" s="78">
        <v>23423</v>
      </c>
      <c r="C24" s="40">
        <v>0</v>
      </c>
      <c r="D24" s="40">
        <v>300</v>
      </c>
      <c r="E24" s="40">
        <v>1500</v>
      </c>
      <c r="F24" s="40">
        <v>1000</v>
      </c>
      <c r="G24" s="40">
        <v>3000</v>
      </c>
      <c r="H24" s="40">
        <v>500</v>
      </c>
      <c r="I24" s="40">
        <v>3000</v>
      </c>
      <c r="J24" s="40">
        <v>0</v>
      </c>
      <c r="K24" s="40">
        <v>3000</v>
      </c>
      <c r="L24" s="40">
        <v>500</v>
      </c>
      <c r="M24" s="40">
        <v>500</v>
      </c>
      <c r="N24" s="40">
        <v>0</v>
      </c>
      <c r="O24" s="40">
        <v>500</v>
      </c>
      <c r="P24" s="40">
        <v>0</v>
      </c>
      <c r="Q24" s="40">
        <v>3000</v>
      </c>
      <c r="R24" s="40">
        <v>410</v>
      </c>
      <c r="S24" s="40">
        <v>3000</v>
      </c>
      <c r="T24" s="40">
        <v>3000</v>
      </c>
      <c r="U24" s="40">
        <v>2000</v>
      </c>
      <c r="V24" s="40">
        <v>0</v>
      </c>
      <c r="W24" s="40">
        <v>0</v>
      </c>
      <c r="X24" s="40">
        <v>3000</v>
      </c>
      <c r="Y24" s="40">
        <v>3000</v>
      </c>
      <c r="Z24" s="40"/>
      <c r="AA24" s="40"/>
    </row>
    <row r="25" spans="1:27" x14ac:dyDescent="0.25">
      <c r="A25" s="27">
        <v>41698</v>
      </c>
      <c r="B25" s="78">
        <v>32423</v>
      </c>
      <c r="C25" s="40">
        <v>0</v>
      </c>
      <c r="D25" s="40">
        <v>0</v>
      </c>
      <c r="E25" s="40">
        <v>0</v>
      </c>
      <c r="F25" s="40">
        <v>1000</v>
      </c>
      <c r="G25" s="40">
        <v>3000</v>
      </c>
      <c r="H25" s="40">
        <v>0</v>
      </c>
      <c r="I25" s="40">
        <v>3000</v>
      </c>
      <c r="J25" s="40">
        <v>0</v>
      </c>
      <c r="K25" s="40">
        <v>3000</v>
      </c>
      <c r="L25" s="40">
        <v>500</v>
      </c>
      <c r="M25" s="40">
        <v>500</v>
      </c>
      <c r="N25" s="40">
        <v>0</v>
      </c>
      <c r="O25" s="40">
        <v>1000</v>
      </c>
      <c r="P25" s="40">
        <v>0</v>
      </c>
      <c r="Q25" s="40">
        <v>3000</v>
      </c>
      <c r="R25" s="40">
        <v>1000</v>
      </c>
      <c r="S25" s="40">
        <v>3000</v>
      </c>
      <c r="T25" s="40">
        <v>3000</v>
      </c>
      <c r="U25" s="40">
        <v>2000</v>
      </c>
      <c r="V25" s="40">
        <v>0</v>
      </c>
      <c r="W25" s="40">
        <v>2000</v>
      </c>
      <c r="X25" s="40">
        <v>3000</v>
      </c>
      <c r="Y25" s="40">
        <v>3000</v>
      </c>
      <c r="Z25" s="40"/>
      <c r="AA25" s="40"/>
    </row>
    <row r="26" spans="1:27" x14ac:dyDescent="0.25">
      <c r="A26" s="27">
        <v>41713</v>
      </c>
      <c r="B26" s="78">
        <v>23423</v>
      </c>
      <c r="C26" s="40">
        <v>0</v>
      </c>
      <c r="D26" s="40">
        <v>0</v>
      </c>
      <c r="E26" s="40">
        <v>0</v>
      </c>
      <c r="F26" s="40">
        <v>2000</v>
      </c>
      <c r="G26" s="40">
        <v>3000</v>
      </c>
      <c r="H26" s="40">
        <v>0</v>
      </c>
      <c r="I26" s="40">
        <v>3000</v>
      </c>
      <c r="J26" s="40">
        <v>0</v>
      </c>
      <c r="K26" s="40">
        <v>3000</v>
      </c>
      <c r="L26" s="40">
        <v>500</v>
      </c>
      <c r="M26" s="40">
        <v>500</v>
      </c>
      <c r="N26" s="40">
        <v>0</v>
      </c>
      <c r="O26" s="40">
        <v>0</v>
      </c>
      <c r="P26" s="40">
        <v>0</v>
      </c>
      <c r="Q26" s="40">
        <v>3000</v>
      </c>
      <c r="R26" s="40">
        <v>0</v>
      </c>
      <c r="S26" s="40">
        <v>0</v>
      </c>
      <c r="T26" s="40">
        <v>3000</v>
      </c>
      <c r="U26" s="40">
        <v>2000</v>
      </c>
      <c r="V26" s="40">
        <v>0</v>
      </c>
      <c r="W26" s="40">
        <v>0</v>
      </c>
      <c r="X26" s="40">
        <v>3000</v>
      </c>
      <c r="Y26" s="40">
        <v>3000</v>
      </c>
      <c r="Z26" s="40"/>
      <c r="AA26" s="40"/>
    </row>
    <row r="27" spans="1:27" x14ac:dyDescent="0.25">
      <c r="A27" s="27">
        <v>41728</v>
      </c>
      <c r="B27" s="78">
        <v>2342</v>
      </c>
      <c r="C27" s="40">
        <v>0</v>
      </c>
      <c r="D27" s="40">
        <v>0</v>
      </c>
      <c r="E27" s="40">
        <v>0</v>
      </c>
      <c r="F27" s="40">
        <v>1000</v>
      </c>
      <c r="G27" s="40">
        <v>3000</v>
      </c>
      <c r="H27" s="40">
        <v>0</v>
      </c>
      <c r="I27" s="40">
        <v>3000</v>
      </c>
      <c r="J27" s="40">
        <v>0</v>
      </c>
      <c r="K27" s="40">
        <v>3000</v>
      </c>
      <c r="L27" s="40">
        <v>500</v>
      </c>
      <c r="M27" s="40">
        <v>1000</v>
      </c>
      <c r="N27" s="40">
        <v>0</v>
      </c>
      <c r="O27" s="40">
        <v>1000</v>
      </c>
      <c r="P27" s="40">
        <v>0</v>
      </c>
      <c r="Q27" s="40">
        <v>3000</v>
      </c>
      <c r="R27" s="40">
        <v>0</v>
      </c>
      <c r="S27" s="40">
        <v>3000</v>
      </c>
      <c r="T27" s="40">
        <v>3000</v>
      </c>
      <c r="U27" s="40">
        <v>2000</v>
      </c>
      <c r="V27" s="40">
        <v>0</v>
      </c>
      <c r="W27" s="40">
        <v>3000</v>
      </c>
      <c r="X27" s="40">
        <v>3000</v>
      </c>
      <c r="Y27" s="40">
        <v>3000</v>
      </c>
      <c r="Z27" s="40"/>
      <c r="AA27" s="40"/>
    </row>
    <row r="28" spans="1:27" x14ac:dyDescent="0.25">
      <c r="A28" s="27">
        <v>41744</v>
      </c>
      <c r="B28" s="78">
        <v>234324</v>
      </c>
      <c r="C28" s="40">
        <v>0</v>
      </c>
      <c r="D28" s="40">
        <v>0</v>
      </c>
      <c r="E28" s="40">
        <v>0</v>
      </c>
      <c r="F28" s="40">
        <v>1000</v>
      </c>
      <c r="G28" s="40">
        <v>3000</v>
      </c>
      <c r="H28" s="40">
        <v>0</v>
      </c>
      <c r="I28" s="40">
        <v>3000</v>
      </c>
      <c r="J28" s="40">
        <v>0</v>
      </c>
      <c r="K28" s="40">
        <v>3000</v>
      </c>
      <c r="L28" s="40">
        <v>500</v>
      </c>
      <c r="M28" s="40">
        <v>1000</v>
      </c>
      <c r="N28" s="40">
        <v>0</v>
      </c>
      <c r="O28" s="40">
        <v>1000</v>
      </c>
      <c r="P28" s="40">
        <v>0</v>
      </c>
      <c r="Q28" s="40">
        <v>3000</v>
      </c>
      <c r="R28" s="40">
        <v>0</v>
      </c>
      <c r="S28" s="40">
        <v>3000</v>
      </c>
      <c r="T28" s="40">
        <v>3000</v>
      </c>
      <c r="U28" s="40">
        <v>2000</v>
      </c>
      <c r="V28" s="40">
        <v>0</v>
      </c>
      <c r="W28" s="40">
        <v>0</v>
      </c>
      <c r="X28" s="40">
        <v>3000</v>
      </c>
      <c r="Y28" s="40">
        <v>3000</v>
      </c>
      <c r="Z28" s="40"/>
      <c r="AA28" s="40"/>
    </row>
    <row r="29" spans="1:27" x14ac:dyDescent="0.25">
      <c r="A29" s="27">
        <v>41759</v>
      </c>
      <c r="B29" s="78">
        <v>23432</v>
      </c>
      <c r="C29" s="40">
        <v>0</v>
      </c>
      <c r="D29" s="40">
        <v>0</v>
      </c>
      <c r="E29" s="40">
        <v>0</v>
      </c>
      <c r="F29" s="40">
        <v>1000</v>
      </c>
      <c r="G29" s="40">
        <v>3000</v>
      </c>
      <c r="H29" s="40">
        <v>0</v>
      </c>
      <c r="I29" s="40">
        <v>3000</v>
      </c>
      <c r="J29" s="40">
        <v>0</v>
      </c>
      <c r="K29" s="40">
        <v>3000</v>
      </c>
      <c r="L29" s="40">
        <v>0</v>
      </c>
      <c r="M29" s="40">
        <v>1000</v>
      </c>
      <c r="N29" s="40">
        <v>0</v>
      </c>
      <c r="O29" s="40">
        <v>1000</v>
      </c>
      <c r="P29" s="40">
        <v>0</v>
      </c>
      <c r="Q29" s="40">
        <v>0</v>
      </c>
      <c r="R29" s="40">
        <v>0</v>
      </c>
      <c r="S29" s="40">
        <v>2000</v>
      </c>
      <c r="T29" s="40">
        <v>3000</v>
      </c>
      <c r="U29" s="40">
        <v>2000</v>
      </c>
      <c r="V29" s="40">
        <v>0</v>
      </c>
      <c r="W29" s="40">
        <v>1000</v>
      </c>
      <c r="X29" s="40">
        <v>3000</v>
      </c>
      <c r="Y29" s="40">
        <v>3000</v>
      </c>
      <c r="Z29" s="40"/>
      <c r="AA29" s="40"/>
    </row>
    <row r="30" spans="1:27" x14ac:dyDescent="0.25">
      <c r="A30" s="27">
        <v>41774</v>
      </c>
      <c r="B30" s="78">
        <v>234234</v>
      </c>
      <c r="C30" s="40">
        <v>0</v>
      </c>
      <c r="D30" s="40">
        <v>0</v>
      </c>
      <c r="E30" s="40">
        <v>1000</v>
      </c>
      <c r="F30" s="40">
        <v>1000</v>
      </c>
      <c r="G30" s="40">
        <v>3000</v>
      </c>
      <c r="H30" s="40">
        <v>0</v>
      </c>
      <c r="I30" s="40">
        <v>0</v>
      </c>
      <c r="J30" s="40">
        <v>0</v>
      </c>
      <c r="K30" s="40">
        <v>3000</v>
      </c>
      <c r="L30" s="40">
        <v>500</v>
      </c>
      <c r="M30" s="40">
        <v>1000</v>
      </c>
      <c r="N30" s="40">
        <v>0</v>
      </c>
      <c r="O30" s="40">
        <v>1000</v>
      </c>
      <c r="P30" s="40">
        <v>0</v>
      </c>
      <c r="Q30" s="40">
        <v>0</v>
      </c>
      <c r="R30" s="40">
        <v>0</v>
      </c>
      <c r="S30" s="40">
        <v>0</v>
      </c>
      <c r="T30" s="40">
        <v>3000</v>
      </c>
      <c r="U30" s="40">
        <v>0</v>
      </c>
      <c r="V30" s="40">
        <v>2000</v>
      </c>
      <c r="W30" s="40">
        <v>0</v>
      </c>
      <c r="X30" s="40">
        <v>3000</v>
      </c>
      <c r="Y30" s="40">
        <v>3000</v>
      </c>
      <c r="Z30" s="40"/>
      <c r="AA30" s="40"/>
    </row>
    <row r="31" spans="1:27" x14ac:dyDescent="0.25">
      <c r="A31" s="27">
        <v>41789</v>
      </c>
      <c r="B31" s="78">
        <v>23423423</v>
      </c>
      <c r="C31" s="40">
        <v>0</v>
      </c>
      <c r="D31" s="40">
        <v>0</v>
      </c>
      <c r="E31" s="40">
        <v>1000</v>
      </c>
      <c r="F31" s="40">
        <v>21000</v>
      </c>
      <c r="G31" s="40">
        <v>3000</v>
      </c>
      <c r="H31" s="40">
        <v>0</v>
      </c>
      <c r="I31" s="40">
        <v>26861</v>
      </c>
      <c r="J31" s="40">
        <v>2000</v>
      </c>
      <c r="K31" s="40">
        <v>52662</v>
      </c>
      <c r="L31" s="40">
        <v>500</v>
      </c>
      <c r="M31" s="40">
        <v>11000</v>
      </c>
      <c r="N31" s="40">
        <v>0</v>
      </c>
      <c r="O31" s="40">
        <v>2919</v>
      </c>
      <c r="P31" s="40">
        <v>0</v>
      </c>
      <c r="Q31" s="40">
        <v>4908</v>
      </c>
      <c r="R31" s="40">
        <v>2611</v>
      </c>
      <c r="S31" s="40">
        <v>41124</v>
      </c>
      <c r="T31" s="40">
        <v>18000</v>
      </c>
      <c r="U31" s="40">
        <v>13235</v>
      </c>
      <c r="V31" s="40">
        <v>7543</v>
      </c>
      <c r="W31" s="40">
        <v>8662</v>
      </c>
      <c r="X31" s="40">
        <v>18367</v>
      </c>
      <c r="Y31" s="40">
        <v>18618</v>
      </c>
      <c r="Z31" s="40"/>
      <c r="AA31" s="40"/>
    </row>
    <row r="32" spans="1:27" ht="15.75" thickBot="1" x14ac:dyDescent="0.3">
      <c r="A32" s="28">
        <v>41805</v>
      </c>
      <c r="B32" s="78">
        <v>234234</v>
      </c>
      <c r="C32" s="40">
        <v>0</v>
      </c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0"/>
      <c r="Y32" s="40"/>
      <c r="Z32" s="40"/>
      <c r="AA32" s="40"/>
    </row>
    <row r="33" spans="1:27" ht="15.75" thickBot="1" x14ac:dyDescent="0.3">
      <c r="A33" s="23" t="s">
        <v>5</v>
      </c>
      <c r="B33" s="77">
        <f>SUM(B21:B32)</f>
        <v>24524350</v>
      </c>
      <c r="C33" s="82">
        <f t="shared" ref="C33:M33" si="1">SUM(C21:C32) + C15</f>
        <v>300000</v>
      </c>
      <c r="D33" s="82">
        <f t="shared" si="1"/>
        <v>21210</v>
      </c>
      <c r="E33" s="82">
        <f t="shared" si="1"/>
        <v>62740</v>
      </c>
      <c r="F33" s="82">
        <f t="shared" si="1"/>
        <v>136745</v>
      </c>
      <c r="G33" s="82">
        <f t="shared" si="1"/>
        <v>144733</v>
      </c>
      <c r="H33" s="82">
        <f t="shared" si="1"/>
        <v>69667</v>
      </c>
      <c r="I33" s="82">
        <f t="shared" si="1"/>
        <v>244087</v>
      </c>
      <c r="J33" s="82">
        <f t="shared" si="1"/>
        <v>6834</v>
      </c>
      <c r="K33" s="82">
        <f t="shared" si="1"/>
        <v>249967</v>
      </c>
      <c r="L33" s="82">
        <f t="shared" si="1"/>
        <v>53565</v>
      </c>
      <c r="M33" s="82">
        <f t="shared" si="1"/>
        <v>68000</v>
      </c>
      <c r="N33" s="82">
        <f>SUM(N21:N32) + N14</f>
        <v>0</v>
      </c>
      <c r="O33" s="82">
        <f>SUM(O21:O32) + O14</f>
        <v>10419</v>
      </c>
      <c r="P33" s="82">
        <f t="shared" ref="P33:AA33" si="2">SUM(P21:P32) + P15</f>
        <v>14070</v>
      </c>
      <c r="Q33" s="82">
        <f t="shared" si="2"/>
        <v>237537</v>
      </c>
      <c r="R33" s="82">
        <f t="shared" si="2"/>
        <v>14521</v>
      </c>
      <c r="S33" s="82">
        <f t="shared" si="2"/>
        <v>245151</v>
      </c>
      <c r="T33" s="82">
        <f t="shared" si="2"/>
        <v>136164</v>
      </c>
      <c r="U33" s="82">
        <f t="shared" si="2"/>
        <v>58235</v>
      </c>
      <c r="V33" s="82">
        <f t="shared" si="2"/>
        <v>36543</v>
      </c>
      <c r="W33" s="82">
        <f t="shared" si="2"/>
        <v>44662</v>
      </c>
      <c r="X33" s="82">
        <f t="shared" si="2"/>
        <v>86367</v>
      </c>
      <c r="Y33" s="82">
        <f t="shared" si="2"/>
        <v>86618</v>
      </c>
      <c r="Z33" s="82">
        <f t="shared" si="2"/>
        <v>15000</v>
      </c>
      <c r="AA33" s="82">
        <f t="shared" si="2"/>
        <v>0</v>
      </c>
    </row>
    <row r="34" spans="1:27" x14ac:dyDescent="0.25">
      <c r="A34" s="35" t="s">
        <v>61</v>
      </c>
      <c r="B34" s="68">
        <f>SUM(C33:AA33)</f>
        <v>2342835</v>
      </c>
      <c r="C34" s="62">
        <f>C33/B34</f>
        <v>0.12804999071637568</v>
      </c>
      <c r="D34" s="39">
        <f>D33/B34</f>
        <v>9.0531343436477604E-3</v>
      </c>
      <c r="E34" s="39">
        <f>E33/B34</f>
        <v>2.6779521391818033E-2</v>
      </c>
      <c r="F34" s="39">
        <f>F33/B34</f>
        <v>5.8367319935035973E-2</v>
      </c>
      <c r="G34" s="39">
        <f>G33/B34</f>
        <v>6.1776864354510665E-2</v>
      </c>
      <c r="H34" s="39">
        <f>H33/B34</f>
        <v>2.9736195677459148E-2</v>
      </c>
      <c r="I34" s="39">
        <f>I33/B34</f>
        <v>0.10418446027995996</v>
      </c>
      <c r="J34" s="39">
        <f>J33/B34</f>
        <v>2.916978788519038E-3</v>
      </c>
      <c r="K34" s="39">
        <f>K33/B34</f>
        <v>0.10669424009800092</v>
      </c>
      <c r="L34" s="39">
        <f>L33/B34</f>
        <v>2.2863325842408876E-2</v>
      </c>
      <c r="M34" s="39">
        <f>M33/B34</f>
        <v>2.9024664562378486E-2</v>
      </c>
      <c r="N34" s="39">
        <f>N33/B34</f>
        <v>0</v>
      </c>
      <c r="O34" s="39">
        <f>O33/B34</f>
        <v>4.4471761775797267E-3</v>
      </c>
      <c r="P34" s="39">
        <f>P33/B34</f>
        <v>6.0055445645980192E-3</v>
      </c>
      <c r="Q34" s="39">
        <f>Q33/B34</f>
        <v>0.1013887021493191</v>
      </c>
      <c r="R34" s="39">
        <f>R33/B34</f>
        <v>6.1980463839749703E-3</v>
      </c>
      <c r="S34" s="39">
        <f>S33/B34</f>
        <v>0.10463861091370071</v>
      </c>
      <c r="T34" s="39">
        <f>T33/B34</f>
        <v>5.8119329786348588E-2</v>
      </c>
      <c r="U34" s="39">
        <f>U33/B34</f>
        <v>2.4856637364560459E-2</v>
      </c>
      <c r="V34" s="39">
        <f>V33/B34</f>
        <v>1.5597769369161721E-2</v>
      </c>
      <c r="W34" s="39">
        <f>W33/B34</f>
        <v>1.9063228951249234E-2</v>
      </c>
      <c r="X34" s="39">
        <f>X33/B34</f>
        <v>3.686431182733739E-2</v>
      </c>
      <c r="Y34" s="39">
        <f>Y33/B34</f>
        <v>3.6971446986236757E-2</v>
      </c>
      <c r="Z34" s="39">
        <f>Z33/B34</f>
        <v>6.4024995358187833E-3</v>
      </c>
      <c r="AA34" s="52">
        <f>AA33/B34</f>
        <v>0</v>
      </c>
    </row>
    <row r="35" spans="1:27" ht="15.75" thickBot="1" x14ac:dyDescent="0.3">
      <c r="A35" s="35" t="s">
        <v>63</v>
      </c>
      <c r="B35" s="69">
        <f>SUM(C35:AA35)</f>
        <v>24524349.999999996</v>
      </c>
      <c r="C35" s="63">
        <f>B33*C34</f>
        <v>3140342.7898251479</v>
      </c>
      <c r="D35" s="53">
        <f>B33*D34</f>
        <v>222022.23524063797</v>
      </c>
      <c r="E35" s="53">
        <f>B33*E34</f>
        <v>656750.35544543259</v>
      </c>
      <c r="F35" s="53">
        <f>B33*F34</f>
        <v>1431420.5826487995</v>
      </c>
      <c r="G35" s="53">
        <f>B33*G34</f>
        <v>1515037.4433325436</v>
      </c>
      <c r="H35" s="53">
        <f>B33*H34</f>
        <v>729260.87046249525</v>
      </c>
      <c r="I35" s="53">
        <f>B33*I34</f>
        <v>2555056.1684668362</v>
      </c>
      <c r="J35" s="53">
        <f>B33*J34</f>
        <v>71537.008752216876</v>
      </c>
      <c r="K35" s="53">
        <f>B33*K34</f>
        <v>2616606.8871474089</v>
      </c>
      <c r="L35" s="53">
        <f>B33*L34</f>
        <v>560708.20512328006</v>
      </c>
      <c r="M35" s="53">
        <f>B33*M34</f>
        <v>711811.03236036678</v>
      </c>
      <c r="N35" s="53">
        <f>B33*N34</f>
        <v>0</v>
      </c>
      <c r="O35" s="53">
        <f>B33*O34</f>
        <v>109064.10509062737</v>
      </c>
      <c r="P35" s="53">
        <f>B33*P34</f>
        <v>147282.07684279943</v>
      </c>
      <c r="Q35" s="53">
        <f>B33*Q34</f>
        <v>2486492.0175556536</v>
      </c>
      <c r="R35" s="53">
        <f>B33*R34</f>
        <v>152003.05883683657</v>
      </c>
      <c r="S35" s="53">
        <f>B33*S34</f>
        <v>2566193.917561416</v>
      </c>
      <c r="T35" s="53">
        <f>B33*T34</f>
        <v>1425338.785445838</v>
      </c>
      <c r="U35" s="53">
        <f>B33*U34</f>
        <v>609592.87455155829</v>
      </c>
      <c r="V35" s="53">
        <f>B33*V34</f>
        <v>382525.15522860124</v>
      </c>
      <c r="W35" s="53">
        <f>B33*W34</f>
        <v>467513.29893056914</v>
      </c>
      <c r="X35" s="53">
        <f>B33*X34</f>
        <v>904073.28576276172</v>
      </c>
      <c r="Y35" s="53">
        <f>B33*Y34</f>
        <v>906700.7058969154</v>
      </c>
      <c r="Z35" s="53">
        <f>B33*Z34</f>
        <v>157017.13949125737</v>
      </c>
      <c r="AA35" s="54">
        <f>B33*AA34</f>
        <v>0</v>
      </c>
    </row>
    <row r="36" spans="1:27" ht="15.75" thickBot="1" x14ac:dyDescent="0.3">
      <c r="B36" s="101">
        <f>SUM(C34:AA34)</f>
        <v>1</v>
      </c>
    </row>
    <row r="37" spans="1:27" ht="15.75" thickBot="1" x14ac:dyDescent="0.3">
      <c r="A37" s="37" t="s">
        <v>48</v>
      </c>
    </row>
    <row r="38" spans="1:27" ht="15.75" thickBot="1" x14ac:dyDescent="0.3">
      <c r="A38" s="20" t="s">
        <v>4</v>
      </c>
      <c r="B38" s="4" t="s">
        <v>46</v>
      </c>
      <c r="C38" s="21" t="s">
        <v>21</v>
      </c>
      <c r="D38" s="21" t="s">
        <v>22</v>
      </c>
      <c r="E38" s="22" t="s">
        <v>23</v>
      </c>
      <c r="F38" s="22" t="s">
        <v>24</v>
      </c>
      <c r="G38" s="22" t="s">
        <v>25</v>
      </c>
      <c r="H38" s="22" t="s">
        <v>26</v>
      </c>
      <c r="I38" s="22" t="s">
        <v>27</v>
      </c>
      <c r="J38" s="22" t="s">
        <v>28</v>
      </c>
      <c r="K38" s="22" t="s">
        <v>29</v>
      </c>
      <c r="L38" s="22" t="s">
        <v>20</v>
      </c>
      <c r="M38" s="22" t="s">
        <v>30</v>
      </c>
      <c r="N38" s="22" t="s">
        <v>31</v>
      </c>
      <c r="O38" s="22" t="s">
        <v>32</v>
      </c>
      <c r="P38" s="22" t="s">
        <v>33</v>
      </c>
      <c r="Q38" s="22" t="s">
        <v>34</v>
      </c>
      <c r="R38" s="22" t="s">
        <v>35</v>
      </c>
      <c r="S38" s="22" t="s">
        <v>36</v>
      </c>
      <c r="T38" s="22" t="s">
        <v>37</v>
      </c>
      <c r="U38" s="22" t="s">
        <v>6</v>
      </c>
      <c r="V38" s="22" t="s">
        <v>0</v>
      </c>
      <c r="W38" s="22" t="s">
        <v>38</v>
      </c>
      <c r="X38" s="22" t="s">
        <v>39</v>
      </c>
      <c r="Y38" s="22" t="s">
        <v>40</v>
      </c>
      <c r="Z38" s="22" t="s">
        <v>43</v>
      </c>
      <c r="AA38" s="22" t="s">
        <v>44</v>
      </c>
    </row>
    <row r="39" spans="1:27" x14ac:dyDescent="0.25">
      <c r="A39" s="33">
        <v>41820</v>
      </c>
      <c r="B39" s="24">
        <v>35435</v>
      </c>
      <c r="C39" s="4">
        <v>0</v>
      </c>
      <c r="D39" s="4">
        <v>1000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3000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3000</v>
      </c>
      <c r="U39" s="4">
        <v>0</v>
      </c>
      <c r="V39" s="4">
        <v>0</v>
      </c>
      <c r="W39" s="4">
        <v>0</v>
      </c>
      <c r="X39" s="4">
        <v>0</v>
      </c>
      <c r="Y39" s="4">
        <v>0</v>
      </c>
      <c r="Z39" s="4">
        <v>0</v>
      </c>
      <c r="AA39" s="4">
        <v>0</v>
      </c>
    </row>
    <row r="40" spans="1:27" x14ac:dyDescent="0.25">
      <c r="A40" s="34">
        <v>41835</v>
      </c>
      <c r="B40" s="24">
        <v>234234</v>
      </c>
      <c r="C40" s="4">
        <v>0</v>
      </c>
      <c r="D40" s="4">
        <v>1000</v>
      </c>
      <c r="E40" s="4">
        <v>3000</v>
      </c>
      <c r="F40" s="4">
        <v>0</v>
      </c>
      <c r="G40" s="4">
        <v>0</v>
      </c>
      <c r="H40" s="4">
        <v>3000</v>
      </c>
      <c r="I40" s="4">
        <v>0</v>
      </c>
      <c r="J40" s="4">
        <v>0</v>
      </c>
      <c r="K40" s="4">
        <v>3000</v>
      </c>
      <c r="L40" s="4">
        <v>0</v>
      </c>
      <c r="M40" s="4">
        <v>3000</v>
      </c>
      <c r="N40" s="4">
        <v>3000</v>
      </c>
      <c r="O40" s="4">
        <v>0</v>
      </c>
      <c r="P40" s="4">
        <v>3000</v>
      </c>
      <c r="Q40" s="4">
        <v>0</v>
      </c>
      <c r="R40" s="4">
        <v>0</v>
      </c>
      <c r="S40" s="4">
        <v>0</v>
      </c>
      <c r="T40" s="4">
        <v>3000</v>
      </c>
      <c r="U40" s="4">
        <v>0</v>
      </c>
      <c r="V40" s="4">
        <v>0</v>
      </c>
      <c r="W40" s="4">
        <v>3000</v>
      </c>
      <c r="X40" s="4">
        <v>0</v>
      </c>
      <c r="Y40" s="4">
        <v>3000</v>
      </c>
      <c r="Z40" s="4">
        <v>0</v>
      </c>
      <c r="AA40" s="4">
        <v>3000</v>
      </c>
    </row>
    <row r="41" spans="1:27" x14ac:dyDescent="0.25">
      <c r="A41" s="34">
        <v>41850</v>
      </c>
      <c r="B41" s="24">
        <v>23423</v>
      </c>
      <c r="C41" s="4">
        <v>0</v>
      </c>
      <c r="D41" s="4">
        <v>1000</v>
      </c>
      <c r="E41" s="4">
        <v>3000</v>
      </c>
      <c r="F41" s="4">
        <v>3000</v>
      </c>
      <c r="G41" s="4">
        <v>2000</v>
      </c>
      <c r="H41" s="4">
        <v>3000</v>
      </c>
      <c r="I41" s="4">
        <v>3000</v>
      </c>
      <c r="J41" s="4">
        <v>3000</v>
      </c>
      <c r="K41" s="4">
        <v>1000</v>
      </c>
      <c r="L41" s="4">
        <v>2000</v>
      </c>
      <c r="M41" s="4">
        <v>3000</v>
      </c>
      <c r="N41" s="4">
        <v>3000</v>
      </c>
      <c r="O41" s="4">
        <v>0</v>
      </c>
      <c r="P41" s="4">
        <v>3000</v>
      </c>
      <c r="Q41" s="4">
        <v>0</v>
      </c>
      <c r="R41" s="4">
        <v>1000</v>
      </c>
      <c r="S41" s="4">
        <v>3000</v>
      </c>
      <c r="T41" s="4">
        <v>3000</v>
      </c>
      <c r="U41" s="4">
        <v>2000</v>
      </c>
      <c r="V41" s="4">
        <v>2000</v>
      </c>
      <c r="W41" s="4">
        <v>0</v>
      </c>
      <c r="X41" s="4">
        <v>0</v>
      </c>
      <c r="Y41" s="4">
        <v>3000</v>
      </c>
      <c r="Z41" s="4">
        <v>1000</v>
      </c>
      <c r="AA41" s="4">
        <v>3000</v>
      </c>
    </row>
    <row r="42" spans="1:27" x14ac:dyDescent="0.25">
      <c r="A42" s="34">
        <v>41866</v>
      </c>
      <c r="B42" s="24">
        <v>23423</v>
      </c>
      <c r="C42" s="4">
        <v>0</v>
      </c>
      <c r="D42" s="4">
        <v>1000</v>
      </c>
      <c r="E42" s="4">
        <v>1000</v>
      </c>
      <c r="F42" s="4">
        <v>3000</v>
      </c>
      <c r="G42" s="4">
        <v>2000</v>
      </c>
      <c r="H42" s="4">
        <v>2000</v>
      </c>
      <c r="I42" s="4">
        <v>2000</v>
      </c>
      <c r="J42" s="4">
        <v>3000</v>
      </c>
      <c r="K42" s="4">
        <v>2000</v>
      </c>
      <c r="L42" s="4">
        <v>2000</v>
      </c>
      <c r="M42" s="4">
        <v>2000</v>
      </c>
      <c r="N42" s="4">
        <v>2000</v>
      </c>
      <c r="O42" s="4">
        <v>1000</v>
      </c>
      <c r="P42" s="4">
        <v>1000</v>
      </c>
      <c r="Q42" s="4">
        <v>1000</v>
      </c>
      <c r="R42" s="4">
        <v>0</v>
      </c>
      <c r="S42" s="4">
        <v>3000</v>
      </c>
      <c r="T42" s="4">
        <v>0</v>
      </c>
      <c r="U42" s="4">
        <v>3000</v>
      </c>
      <c r="V42" s="4">
        <v>2000</v>
      </c>
      <c r="W42" s="4">
        <v>2000</v>
      </c>
      <c r="X42" s="4">
        <v>0</v>
      </c>
      <c r="Y42" s="4">
        <v>3000</v>
      </c>
      <c r="Z42" s="4">
        <v>0</v>
      </c>
      <c r="AA42" s="4">
        <v>3000</v>
      </c>
    </row>
    <row r="43" spans="1:27" x14ac:dyDescent="0.25">
      <c r="A43" s="34">
        <v>41881</v>
      </c>
      <c r="B43" s="24">
        <v>32423</v>
      </c>
      <c r="C43" s="4">
        <v>0</v>
      </c>
      <c r="D43" s="4">
        <v>3000</v>
      </c>
      <c r="E43" s="4">
        <v>1000</v>
      </c>
      <c r="F43" s="4">
        <v>3000</v>
      </c>
      <c r="G43" s="4">
        <v>3000</v>
      </c>
      <c r="H43" s="4">
        <v>0</v>
      </c>
      <c r="I43" s="4">
        <v>2000</v>
      </c>
      <c r="J43" s="4">
        <v>2000</v>
      </c>
      <c r="K43" s="4">
        <v>2000</v>
      </c>
      <c r="L43" s="4">
        <v>0</v>
      </c>
      <c r="M43" s="4">
        <v>0</v>
      </c>
      <c r="N43" s="4">
        <v>0</v>
      </c>
      <c r="O43" s="4">
        <v>0</v>
      </c>
      <c r="P43" s="4">
        <v>0</v>
      </c>
      <c r="Q43" s="4">
        <v>0</v>
      </c>
      <c r="R43" s="4">
        <v>0</v>
      </c>
      <c r="S43" s="4">
        <v>0</v>
      </c>
      <c r="T43" s="4">
        <v>2000</v>
      </c>
      <c r="U43" s="4">
        <v>3000</v>
      </c>
      <c r="V43" s="4">
        <v>1000</v>
      </c>
      <c r="W43" s="4">
        <v>1000</v>
      </c>
      <c r="X43" s="4">
        <v>1000</v>
      </c>
      <c r="Y43" s="4">
        <v>0</v>
      </c>
      <c r="Z43" s="4">
        <v>0</v>
      </c>
      <c r="AA43" s="4">
        <v>0</v>
      </c>
    </row>
    <row r="44" spans="1:27" x14ac:dyDescent="0.25">
      <c r="A44" s="34">
        <v>41897</v>
      </c>
      <c r="B44" s="24">
        <v>23423</v>
      </c>
      <c r="C44" s="4">
        <v>0</v>
      </c>
      <c r="D44" s="4">
        <v>3000</v>
      </c>
      <c r="E44" s="4">
        <v>1000</v>
      </c>
      <c r="F44" s="4">
        <v>1000</v>
      </c>
      <c r="G44" s="4">
        <v>3000</v>
      </c>
      <c r="H44" s="4">
        <v>1000</v>
      </c>
      <c r="I44" s="4">
        <v>1000</v>
      </c>
      <c r="J44" s="4">
        <v>0</v>
      </c>
      <c r="K44" s="4">
        <v>0</v>
      </c>
      <c r="L44" s="4">
        <v>1000</v>
      </c>
      <c r="M44" s="4">
        <v>1000</v>
      </c>
      <c r="N44" s="4">
        <v>1000</v>
      </c>
      <c r="O44" s="4">
        <v>1000</v>
      </c>
      <c r="P44" s="4">
        <v>2000</v>
      </c>
      <c r="Q44" s="4">
        <v>2000</v>
      </c>
      <c r="R44" s="4">
        <v>1000</v>
      </c>
      <c r="S44" s="4">
        <v>3000</v>
      </c>
      <c r="T44" s="4">
        <v>2000</v>
      </c>
      <c r="U44" s="4">
        <v>3000</v>
      </c>
      <c r="V44" s="4">
        <v>0</v>
      </c>
      <c r="W44" s="4">
        <v>0</v>
      </c>
      <c r="X44" s="4">
        <v>0</v>
      </c>
      <c r="Y44" s="4">
        <v>0</v>
      </c>
      <c r="Z44" s="4">
        <v>2000</v>
      </c>
      <c r="AA44" s="4">
        <v>0</v>
      </c>
    </row>
    <row r="45" spans="1:27" x14ac:dyDescent="0.25">
      <c r="A45" s="34">
        <v>41912</v>
      </c>
      <c r="B45" s="24">
        <v>2342</v>
      </c>
      <c r="C45" s="4">
        <v>0</v>
      </c>
      <c r="D45" s="4">
        <v>3000</v>
      </c>
      <c r="E45" s="4">
        <v>3000</v>
      </c>
      <c r="F45" s="4">
        <v>0</v>
      </c>
      <c r="G45" s="4">
        <v>3000</v>
      </c>
      <c r="H45" s="4">
        <v>0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2000</v>
      </c>
      <c r="O45" s="4">
        <v>0</v>
      </c>
      <c r="P45" s="4">
        <v>3000</v>
      </c>
      <c r="Q45" s="4">
        <v>2000</v>
      </c>
      <c r="R45" s="4">
        <v>1000</v>
      </c>
      <c r="S45" s="4">
        <v>3000</v>
      </c>
      <c r="T45" s="4">
        <v>2000</v>
      </c>
      <c r="U45" s="4">
        <v>1000</v>
      </c>
      <c r="V45" s="4">
        <v>0</v>
      </c>
      <c r="W45" s="4">
        <v>2000</v>
      </c>
      <c r="X45" s="4">
        <v>3000</v>
      </c>
      <c r="Y45" s="4">
        <v>1000</v>
      </c>
      <c r="Z45" s="4">
        <v>1000</v>
      </c>
      <c r="AA45" s="4">
        <v>1000</v>
      </c>
    </row>
    <row r="46" spans="1:27" x14ac:dyDescent="0.25">
      <c r="A46" s="34">
        <v>41927</v>
      </c>
      <c r="B46" s="24">
        <v>234324</v>
      </c>
      <c r="C46" s="4">
        <v>0</v>
      </c>
      <c r="D46" s="4">
        <v>3000</v>
      </c>
      <c r="E46" s="4">
        <v>3000</v>
      </c>
      <c r="F46" s="4">
        <v>2000</v>
      </c>
      <c r="G46" s="4">
        <v>3000</v>
      </c>
      <c r="H46" s="4">
        <v>0</v>
      </c>
      <c r="I46" s="4">
        <v>0</v>
      </c>
      <c r="J46" s="4">
        <v>0</v>
      </c>
      <c r="K46" s="4">
        <v>1000</v>
      </c>
      <c r="L46" s="4">
        <v>0</v>
      </c>
      <c r="M46" s="4">
        <v>3000</v>
      </c>
      <c r="N46" s="4">
        <v>2000</v>
      </c>
      <c r="O46" s="4">
        <v>0</v>
      </c>
      <c r="P46" s="4">
        <v>3000</v>
      </c>
      <c r="Q46" s="4">
        <v>3000</v>
      </c>
      <c r="R46" s="4">
        <v>0</v>
      </c>
      <c r="S46" s="4">
        <v>3000</v>
      </c>
      <c r="T46" s="4">
        <v>0</v>
      </c>
      <c r="U46" s="4">
        <v>1000</v>
      </c>
      <c r="V46" s="4">
        <v>1000</v>
      </c>
      <c r="W46" s="4">
        <v>0</v>
      </c>
      <c r="X46" s="4">
        <v>3000</v>
      </c>
      <c r="Y46" s="4">
        <v>0</v>
      </c>
      <c r="Z46" s="4">
        <v>2000</v>
      </c>
      <c r="AA46" s="4">
        <v>2000</v>
      </c>
    </row>
    <row r="47" spans="1:27" x14ac:dyDescent="0.25">
      <c r="A47" s="34">
        <v>41942</v>
      </c>
      <c r="B47" s="24">
        <v>23432</v>
      </c>
      <c r="C47" s="4">
        <v>0</v>
      </c>
      <c r="D47" s="4">
        <v>0</v>
      </c>
      <c r="E47" s="4">
        <v>2000</v>
      </c>
      <c r="F47" s="4">
        <v>3000</v>
      </c>
      <c r="G47" s="4">
        <v>0</v>
      </c>
      <c r="H47" s="4">
        <v>3000</v>
      </c>
      <c r="I47" s="4">
        <v>3000</v>
      </c>
      <c r="J47" s="4">
        <v>3000</v>
      </c>
      <c r="K47" s="4">
        <v>3000</v>
      </c>
      <c r="L47" s="4">
        <v>3000</v>
      </c>
      <c r="M47" s="4">
        <v>3000</v>
      </c>
      <c r="N47" s="4">
        <v>0</v>
      </c>
      <c r="O47" s="4">
        <v>2000</v>
      </c>
      <c r="P47" s="4">
        <v>3000</v>
      </c>
      <c r="Q47" s="4">
        <v>3000</v>
      </c>
      <c r="R47" s="4">
        <v>1000</v>
      </c>
      <c r="S47" s="4">
        <v>0</v>
      </c>
      <c r="T47" s="4">
        <v>1000</v>
      </c>
      <c r="U47" s="4">
        <v>1000</v>
      </c>
      <c r="V47" s="4">
        <v>1000</v>
      </c>
      <c r="W47" s="4">
        <v>2000</v>
      </c>
      <c r="X47" s="4">
        <v>3000</v>
      </c>
      <c r="Y47" s="4">
        <v>3000</v>
      </c>
      <c r="Z47" s="4">
        <v>2000</v>
      </c>
      <c r="AA47" s="4">
        <v>2000</v>
      </c>
    </row>
    <row r="48" spans="1:27" x14ac:dyDescent="0.25">
      <c r="A48" s="34">
        <v>41958</v>
      </c>
      <c r="B48" s="24">
        <v>234234</v>
      </c>
      <c r="C48" s="4">
        <v>0</v>
      </c>
      <c r="D48" s="4">
        <v>2000</v>
      </c>
      <c r="E48" s="4">
        <v>2000</v>
      </c>
      <c r="F48" s="4">
        <v>3000</v>
      </c>
      <c r="G48" s="4">
        <v>3000</v>
      </c>
      <c r="H48" s="4">
        <v>0</v>
      </c>
      <c r="I48" s="4">
        <v>0</v>
      </c>
      <c r="J48" s="4">
        <v>0</v>
      </c>
      <c r="K48" s="4">
        <v>0</v>
      </c>
      <c r="L48" s="4">
        <v>0</v>
      </c>
      <c r="M48" s="4">
        <v>3000</v>
      </c>
      <c r="N48" s="4">
        <v>2000</v>
      </c>
      <c r="O48" s="4">
        <v>2000</v>
      </c>
      <c r="P48" s="4">
        <v>0</v>
      </c>
      <c r="Q48" s="4">
        <v>3000</v>
      </c>
      <c r="R48" s="4">
        <v>0</v>
      </c>
      <c r="S48" s="4">
        <v>0</v>
      </c>
      <c r="T48" s="4">
        <v>1000</v>
      </c>
      <c r="U48" s="4">
        <v>3000</v>
      </c>
      <c r="V48" s="4">
        <v>3000</v>
      </c>
      <c r="W48" s="4">
        <v>0</v>
      </c>
      <c r="X48" s="4">
        <v>0</v>
      </c>
      <c r="Y48" s="4">
        <v>3000</v>
      </c>
      <c r="Z48" s="4">
        <v>0</v>
      </c>
      <c r="AA48" s="4">
        <v>1000</v>
      </c>
    </row>
    <row r="49" spans="1:27" x14ac:dyDescent="0.25">
      <c r="A49" s="47">
        <v>41973</v>
      </c>
      <c r="B49" s="24" t="s">
        <v>46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3000</v>
      </c>
      <c r="N49" s="4">
        <v>0</v>
      </c>
      <c r="O49" s="4">
        <v>0</v>
      </c>
      <c r="P49" s="4">
        <v>3000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v>3000</v>
      </c>
      <c r="W49" s="4">
        <v>0</v>
      </c>
      <c r="X49" s="4">
        <v>0</v>
      </c>
      <c r="Y49" s="4">
        <v>3000</v>
      </c>
      <c r="Z49" s="4">
        <v>0</v>
      </c>
      <c r="AA49" s="4">
        <v>0</v>
      </c>
    </row>
    <row r="50" spans="1:27" ht="15.75" thickBot="1" x14ac:dyDescent="0.3">
      <c r="A50" s="25"/>
      <c r="B50" s="25">
        <v>234234</v>
      </c>
      <c r="C50" s="29"/>
      <c r="D50" s="29"/>
      <c r="E50" s="29"/>
      <c r="F50" s="29"/>
      <c r="G50" s="29"/>
      <c r="H50" s="29"/>
      <c r="I50" s="29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29"/>
      <c r="X50" s="29"/>
      <c r="Y50" s="29"/>
      <c r="Z50" s="29"/>
      <c r="AA50" s="29"/>
    </row>
    <row r="51" spans="1:27" ht="15.75" thickBot="1" x14ac:dyDescent="0.3">
      <c r="A51" s="23" t="s">
        <v>5</v>
      </c>
      <c r="B51">
        <f>SUM(B39:B50)</f>
        <v>1100927</v>
      </c>
      <c r="C51" s="82">
        <f t="shared" ref="C51:M51" si="3">SUM(C39:C50) + C33</f>
        <v>300000</v>
      </c>
      <c r="D51" s="82">
        <f t="shared" si="3"/>
        <v>39210</v>
      </c>
      <c r="E51" s="82">
        <f t="shared" si="3"/>
        <v>81740</v>
      </c>
      <c r="F51" s="82">
        <f t="shared" si="3"/>
        <v>154745</v>
      </c>
      <c r="G51" s="82">
        <f t="shared" si="3"/>
        <v>163733</v>
      </c>
      <c r="H51" s="82">
        <f t="shared" si="3"/>
        <v>81667</v>
      </c>
      <c r="I51" s="82">
        <f t="shared" si="3"/>
        <v>255087</v>
      </c>
      <c r="J51" s="82">
        <f t="shared" si="3"/>
        <v>17834</v>
      </c>
      <c r="K51" s="82">
        <f t="shared" si="3"/>
        <v>261967</v>
      </c>
      <c r="L51" s="82">
        <f t="shared" si="3"/>
        <v>61565</v>
      </c>
      <c r="M51" s="82">
        <f t="shared" si="3"/>
        <v>89000</v>
      </c>
      <c r="N51" s="82">
        <f>SUM(N39:N50) + N32</f>
        <v>18000</v>
      </c>
      <c r="O51" s="82">
        <f>SUM(O39:O50) + O32</f>
        <v>6000</v>
      </c>
      <c r="P51" s="82">
        <f t="shared" ref="P51:AA51" si="4">SUM(P39:P50) + P33</f>
        <v>35070</v>
      </c>
      <c r="Q51" s="82">
        <f t="shared" si="4"/>
        <v>251537</v>
      </c>
      <c r="R51" s="82">
        <f t="shared" si="4"/>
        <v>18521</v>
      </c>
      <c r="S51" s="82">
        <f t="shared" si="4"/>
        <v>260151</v>
      </c>
      <c r="T51" s="82">
        <f t="shared" si="4"/>
        <v>153164</v>
      </c>
      <c r="U51" s="82">
        <f t="shared" si="4"/>
        <v>75235</v>
      </c>
      <c r="V51" s="82">
        <f t="shared" si="4"/>
        <v>49543</v>
      </c>
      <c r="W51" s="82">
        <f t="shared" si="4"/>
        <v>54662</v>
      </c>
      <c r="X51" s="82">
        <f t="shared" si="4"/>
        <v>96367</v>
      </c>
      <c r="Y51" s="82">
        <f t="shared" si="4"/>
        <v>105618</v>
      </c>
      <c r="Z51" s="82">
        <f t="shared" si="4"/>
        <v>23000</v>
      </c>
      <c r="AA51" s="82">
        <f t="shared" si="4"/>
        <v>15000</v>
      </c>
    </row>
    <row r="52" spans="1:27" x14ac:dyDescent="0.25">
      <c r="A52" s="35" t="s">
        <v>61</v>
      </c>
      <c r="B52" s="68">
        <f>SUM(C51:AA51)</f>
        <v>2668416</v>
      </c>
      <c r="C52" s="62">
        <f>C51/B52</f>
        <v>0.11242624838106202</v>
      </c>
      <c r="D52" s="39">
        <f>D51/B52</f>
        <v>1.4694110663404807E-2</v>
      </c>
      <c r="E52" s="39">
        <f>E51/B52</f>
        <v>3.0632405142226701E-2</v>
      </c>
      <c r="F52" s="39">
        <f>F51/B52</f>
        <v>5.7991332685758144E-2</v>
      </c>
      <c r="G52" s="39">
        <f>G51/B52</f>
        <v>6.1359623087254761E-2</v>
      </c>
      <c r="H52" s="39">
        <f>H51/B52</f>
        <v>3.0605048088453973E-2</v>
      </c>
      <c r="I52" s="39">
        <f>I51/B52</f>
        <v>9.5594914735933234E-2</v>
      </c>
      <c r="J52" s="39">
        <f>J51/B52</f>
        <v>6.6833657120928674E-3</v>
      </c>
      <c r="K52" s="39">
        <f>K51/B52</f>
        <v>9.8173223365472254E-2</v>
      </c>
      <c r="L52" s="39">
        <f>L51/B52</f>
        <v>2.3071739938600278E-2</v>
      </c>
      <c r="M52" s="39">
        <f>M51/B52</f>
        <v>3.3353120353048403E-2</v>
      </c>
      <c r="N52" s="39">
        <f>N51/B52</f>
        <v>6.7455749028637211E-3</v>
      </c>
      <c r="O52" s="39">
        <f>O51/B52</f>
        <v>2.2485249676212405E-3</v>
      </c>
      <c r="P52" s="39">
        <f>P51/B52</f>
        <v>1.3142628435746151E-2</v>
      </c>
      <c r="Q52" s="39">
        <f>Q51/B52</f>
        <v>9.4264537463423989E-2</v>
      </c>
      <c r="R52" s="39">
        <f>R51/B52</f>
        <v>6.9408218208854991E-3</v>
      </c>
      <c r="S52" s="39">
        <f>S51/B52</f>
        <v>9.7492669808605562E-2</v>
      </c>
      <c r="T52" s="39">
        <f>T51/B52</f>
        <v>5.7398846356789948E-2</v>
      </c>
      <c r="U52" s="39">
        <f>U51/B52</f>
        <v>2.8194629323164005E-2</v>
      </c>
      <c r="V52" s="39">
        <f>V51/B52</f>
        <v>1.8566445411809854E-2</v>
      </c>
      <c r="W52" s="39">
        <f>W51/B52</f>
        <v>2.0484811963352043E-2</v>
      </c>
      <c r="X52" s="39">
        <f>X51/B52</f>
        <v>3.6113934259126013E-2</v>
      </c>
      <c r="Y52" s="39">
        <f>Y51/B52</f>
        <v>3.9580785005036694E-2</v>
      </c>
      <c r="Z52" s="39">
        <f>Z51/B52</f>
        <v>8.6193457092147551E-3</v>
      </c>
      <c r="AA52" s="52">
        <f>AA51/B52</f>
        <v>5.6213124190531011E-3</v>
      </c>
    </row>
    <row r="53" spans="1:27" ht="15.75" thickBot="1" x14ac:dyDescent="0.3">
      <c r="A53" s="35" t="s">
        <v>63</v>
      </c>
      <c r="B53" s="69">
        <f>SUM(C53:AA53)</f>
        <v>1100927.0000000002</v>
      </c>
      <c r="C53" s="63">
        <f>B51*C52</f>
        <v>123773.09235141746</v>
      </c>
      <c r="D53" s="53">
        <f>B51*D52</f>
        <v>16177.143170330264</v>
      </c>
      <c r="E53" s="53">
        <f>B51*E52</f>
        <v>33724.041896016213</v>
      </c>
      <c r="F53" s="53">
        <f>B51*F52</f>
        <v>63844.223919733653</v>
      </c>
      <c r="G53" s="53">
        <f>B51*G52</f>
        <v>67552.465766582129</v>
      </c>
      <c r="H53" s="53">
        <f>B51*H52</f>
        <v>33693.923776877367</v>
      </c>
      <c r="I53" s="53">
        <f>B51*I52</f>
        <v>105243.02269548677</v>
      </c>
      <c r="J53" s="53">
        <f>B51*J52</f>
        <v>7357.8977633172644</v>
      </c>
      <c r="K53" s="53">
        <f>B51*K52</f>
        <v>108081.55228007927</v>
      </c>
      <c r="L53" s="53">
        <f>B51*L52</f>
        <v>25400.30143538339</v>
      </c>
      <c r="M53" s="53">
        <f>B51*M52</f>
        <v>36719.350730920516</v>
      </c>
      <c r="N53" s="53">
        <f>B51*N52</f>
        <v>7426.3855410850483</v>
      </c>
      <c r="O53" s="53">
        <f>B51*O52</f>
        <v>2475.4618470283494</v>
      </c>
      <c r="P53" s="53">
        <f>B51*P52</f>
        <v>14469.074495880703</v>
      </c>
      <c r="Q53" s="53">
        <f>B51*Q52</f>
        <v>103778.37443599498</v>
      </c>
      <c r="R53" s="53">
        <f>B51*R52</f>
        <v>7641.33814480201</v>
      </c>
      <c r="S53" s="53">
        <f>B51*S52</f>
        <v>107332.3124943787</v>
      </c>
      <c r="T53" s="53">
        <f>B51*T52</f>
        <v>63191.939723041687</v>
      </c>
      <c r="U53" s="53">
        <f>B51*U52</f>
        <v>31040.228676862978</v>
      </c>
      <c r="V53" s="53">
        <f>B51*V52</f>
        <v>20440.301047887588</v>
      </c>
      <c r="W53" s="53">
        <f>B51*W52</f>
        <v>22552.282580377276</v>
      </c>
      <c r="X53" s="53">
        <f>B51*X52</f>
        <v>39758.805302096822</v>
      </c>
      <c r="Y53" s="53">
        <f>B51*Y52</f>
        <v>43575.554893240034</v>
      </c>
      <c r="Z53" s="53">
        <f>B51*Z52</f>
        <v>9489.2704136086722</v>
      </c>
      <c r="AA53" s="54">
        <f>B51*AA52</f>
        <v>6188.6546175708736</v>
      </c>
    </row>
    <row r="54" spans="1:27" x14ac:dyDescent="0.25">
      <c r="A54"/>
      <c r="B54" s="101">
        <f>SUM(C52:AA52)</f>
        <v>1</v>
      </c>
    </row>
    <row r="55" spans="1:27" x14ac:dyDescent="0.25">
      <c r="A55" s="141">
        <v>2015</v>
      </c>
      <c r="B55" s="85"/>
      <c r="C55" s="102"/>
      <c r="D55" s="102"/>
      <c r="E55" s="111"/>
      <c r="F55" s="111"/>
    </row>
    <row r="56" spans="1:27" x14ac:dyDescent="0.25">
      <c r="A56" s="142" t="s">
        <v>94</v>
      </c>
      <c r="B56" s="85" t="s">
        <v>46</v>
      </c>
      <c r="C56" s="102"/>
      <c r="D56" s="102"/>
      <c r="E56" s="111"/>
      <c r="F56" s="111"/>
    </row>
    <row r="57" spans="1:27" x14ac:dyDescent="0.25">
      <c r="A57" s="143">
        <v>46021</v>
      </c>
      <c r="B57" s="85"/>
      <c r="C57" s="102"/>
      <c r="D57" s="102"/>
      <c r="E57" s="111"/>
      <c r="F57" s="111"/>
    </row>
    <row r="58" spans="1:27" x14ac:dyDescent="0.25">
      <c r="A58" s="143">
        <v>45672</v>
      </c>
      <c r="B58" s="85"/>
      <c r="C58" s="102"/>
      <c r="D58" s="102"/>
      <c r="E58" s="111"/>
      <c r="F58" s="111"/>
    </row>
    <row r="59" spans="1:27" x14ac:dyDescent="0.25">
      <c r="A59" s="143">
        <v>45687</v>
      </c>
      <c r="B59" s="85"/>
      <c r="C59" s="102"/>
      <c r="D59" s="102"/>
      <c r="E59" s="111"/>
      <c r="F59" s="111"/>
    </row>
    <row r="60" spans="1:27" x14ac:dyDescent="0.25">
      <c r="A60" s="143">
        <v>45703</v>
      </c>
      <c r="B60" s="85"/>
      <c r="C60" s="102"/>
      <c r="D60" s="102"/>
      <c r="E60" s="111"/>
      <c r="F60" s="111"/>
    </row>
    <row r="61" spans="1:27" x14ac:dyDescent="0.25">
      <c r="A61" s="143">
        <v>45716</v>
      </c>
      <c r="B61" s="85"/>
      <c r="C61" s="102"/>
      <c r="D61" s="102"/>
      <c r="E61" s="111"/>
      <c r="F61" s="111"/>
    </row>
    <row r="62" spans="1:27" x14ac:dyDescent="0.25">
      <c r="A62" s="143">
        <v>45731</v>
      </c>
      <c r="B62" s="85"/>
      <c r="C62" s="102"/>
      <c r="D62" s="102"/>
      <c r="E62" s="111"/>
      <c r="F62" s="111"/>
    </row>
    <row r="63" spans="1:27" x14ac:dyDescent="0.25">
      <c r="A63" s="143">
        <v>45746</v>
      </c>
      <c r="B63" s="85"/>
      <c r="C63" s="102"/>
      <c r="D63" s="102"/>
      <c r="E63" s="111"/>
      <c r="F63" s="111"/>
    </row>
    <row r="64" spans="1:27" x14ac:dyDescent="0.25">
      <c r="A64" s="143">
        <v>45762</v>
      </c>
      <c r="B64" s="85"/>
      <c r="C64" s="102"/>
      <c r="D64" s="102"/>
      <c r="E64" s="111"/>
      <c r="F64" s="111"/>
    </row>
    <row r="65" spans="1:32" x14ac:dyDescent="0.25">
      <c r="A65" s="143">
        <v>45777</v>
      </c>
      <c r="B65" s="85"/>
      <c r="C65" s="102"/>
      <c r="D65" s="102"/>
      <c r="E65" s="111"/>
      <c r="F65" s="111"/>
    </row>
    <row r="66" spans="1:32" x14ac:dyDescent="0.25">
      <c r="A66" s="143">
        <v>45792</v>
      </c>
      <c r="B66" s="85"/>
      <c r="C66" s="102"/>
      <c r="D66" s="102"/>
      <c r="E66" s="111"/>
      <c r="F66" s="111"/>
    </row>
    <row r="67" spans="1:32" x14ac:dyDescent="0.25">
      <c r="A67" s="143">
        <v>45807</v>
      </c>
      <c r="B67" s="85"/>
      <c r="C67" s="102"/>
      <c r="D67" s="102"/>
      <c r="E67" s="111"/>
      <c r="F67" s="111"/>
      <c r="AF67" s="1"/>
    </row>
    <row r="68" spans="1:32" x14ac:dyDescent="0.25">
      <c r="A68" s="143">
        <v>45823</v>
      </c>
      <c r="B68" s="85"/>
      <c r="C68" s="102"/>
      <c r="D68" s="102"/>
      <c r="E68" s="111"/>
      <c r="F68" s="111"/>
      <c r="AF68" s="1"/>
    </row>
    <row r="69" spans="1:32" x14ac:dyDescent="0.25">
      <c r="A69" s="144" t="s">
        <v>5</v>
      </c>
      <c r="B69" s="145">
        <f>SUM(B57:B68)</f>
        <v>0</v>
      </c>
      <c r="C69" s="102"/>
      <c r="D69" s="102"/>
      <c r="E69" s="111"/>
      <c r="F69" s="111"/>
      <c r="AF69" s="1"/>
    </row>
    <row r="70" spans="1:32" x14ac:dyDescent="0.25">
      <c r="A70" s="146" t="s">
        <v>61</v>
      </c>
      <c r="B70" s="147">
        <f>SUM(C69:AF69)</f>
        <v>0</v>
      </c>
      <c r="C70" s="102"/>
      <c r="D70" s="102"/>
      <c r="E70" s="111"/>
      <c r="F70" s="111"/>
      <c r="AF70" s="1"/>
    </row>
    <row r="71" spans="1:32" x14ac:dyDescent="0.25">
      <c r="A71" s="85" t="s">
        <v>95</v>
      </c>
      <c r="B71" s="148">
        <f>SUM(C71:AF71)</f>
        <v>0</v>
      </c>
      <c r="C71" s="102"/>
      <c r="D71" s="102"/>
      <c r="E71" s="111"/>
      <c r="F71" s="111"/>
      <c r="AF71" s="1"/>
    </row>
    <row r="72" spans="1:32" x14ac:dyDescent="0.25">
      <c r="A72" s="85"/>
      <c r="B72" s="149">
        <f>SUM(C70:AF70)</f>
        <v>0</v>
      </c>
      <c r="C72" s="102"/>
      <c r="D72" s="102"/>
      <c r="E72" s="111"/>
      <c r="F72" s="111"/>
    </row>
    <row r="73" spans="1:32" x14ac:dyDescent="0.25">
      <c r="A73" s="102"/>
      <c r="B73" s="102"/>
      <c r="C73" s="102"/>
      <c r="D73" s="102"/>
      <c r="E73" s="111"/>
      <c r="F73" s="111"/>
      <c r="AF73" s="1"/>
    </row>
    <row r="74" spans="1:32" x14ac:dyDescent="0.25">
      <c r="A74" s="102"/>
      <c r="B74" s="102"/>
      <c r="C74" s="102"/>
      <c r="D74" s="102"/>
      <c r="E74" s="111"/>
      <c r="F74" s="111"/>
      <c r="AF74" s="1"/>
    </row>
    <row r="75" spans="1:32" x14ac:dyDescent="0.25">
      <c r="A75" s="136"/>
      <c r="B75" s="102"/>
      <c r="C75" s="102"/>
      <c r="D75" s="102"/>
      <c r="E75" s="111"/>
      <c r="F75" s="111"/>
      <c r="AF75" s="1"/>
    </row>
    <row r="76" spans="1:32" x14ac:dyDescent="0.25">
      <c r="A76" s="136"/>
      <c r="B76" s="102"/>
      <c r="C76" s="102"/>
      <c r="D76" s="102"/>
      <c r="E76" s="111"/>
      <c r="F76" s="111"/>
      <c r="AF76" s="1"/>
    </row>
    <row r="77" spans="1:32" x14ac:dyDescent="0.25">
      <c r="A77" s="137"/>
      <c r="B77" s="111"/>
      <c r="C77" s="111"/>
      <c r="D77" s="111"/>
      <c r="E77" s="111"/>
      <c r="F77" s="111"/>
      <c r="AF77" s="1"/>
    </row>
    <row r="78" spans="1:32" x14ac:dyDescent="0.25">
      <c r="A78" s="137"/>
      <c r="B78" s="111"/>
      <c r="C78" s="111"/>
      <c r="D78" s="111"/>
      <c r="E78" s="111"/>
      <c r="F78" s="111"/>
      <c r="AF78" s="1"/>
    </row>
    <row r="79" spans="1:32" x14ac:dyDescent="0.25">
      <c r="A79" s="137"/>
      <c r="B79" s="111"/>
      <c r="C79" s="111"/>
      <c r="D79" s="111"/>
      <c r="E79" s="111"/>
      <c r="F79" s="111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AF79" s="1"/>
    </row>
    <row r="80" spans="1:32" x14ac:dyDescent="0.25">
      <c r="A80" s="137"/>
      <c r="B80" s="111"/>
      <c r="C80" s="111"/>
      <c r="D80" s="111"/>
      <c r="E80" s="111"/>
      <c r="F80" s="111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AF80" s="1"/>
    </row>
    <row r="81" spans="1:32" x14ac:dyDescent="0.25">
      <c r="A81" s="137"/>
      <c r="B81" s="111"/>
      <c r="C81" s="111"/>
      <c r="D81" s="111"/>
      <c r="E81" s="111"/>
      <c r="F81" s="111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AF81" s="1"/>
    </row>
    <row r="82" spans="1:32" x14ac:dyDescent="0.25">
      <c r="A82" s="137"/>
      <c r="B82" s="111"/>
      <c r="C82" s="111"/>
      <c r="D82" s="111"/>
      <c r="E82" s="111"/>
      <c r="F82" s="111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AF82" s="1"/>
    </row>
    <row r="83" spans="1:32" x14ac:dyDescent="0.25">
      <c r="A83" s="137"/>
      <c r="B83" s="111"/>
      <c r="C83" s="111"/>
      <c r="D83" s="111"/>
      <c r="E83" s="111"/>
      <c r="F83" s="111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AF83" s="1"/>
    </row>
    <row r="84" spans="1:32" x14ac:dyDescent="0.25">
      <c r="A84" s="137"/>
      <c r="B84" s="111"/>
      <c r="C84" s="111"/>
      <c r="D84" s="111"/>
      <c r="E84" s="111"/>
      <c r="F84" s="111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AF84" s="1"/>
    </row>
    <row r="85" spans="1:32" x14ac:dyDescent="0.25">
      <c r="A85" s="137"/>
      <c r="B85" s="111"/>
      <c r="C85" s="111"/>
      <c r="D85" s="111"/>
      <c r="E85" s="111"/>
      <c r="F85" s="111"/>
      <c r="G85" s="3"/>
      <c r="H85" s="3"/>
      <c r="I85" s="3"/>
      <c r="J85" s="3"/>
      <c r="AF85" s="1"/>
    </row>
    <row r="86" spans="1:32" x14ac:dyDescent="0.25">
      <c r="A86" s="137"/>
      <c r="B86" s="111"/>
      <c r="C86" s="111"/>
      <c r="D86" s="111"/>
      <c r="E86" s="111"/>
      <c r="F86" s="111"/>
      <c r="G86" s="3"/>
      <c r="H86" s="3"/>
      <c r="I86" s="3"/>
      <c r="J86" s="3"/>
      <c r="AF86" s="1"/>
    </row>
    <row r="87" spans="1:32" x14ac:dyDescent="0.25">
      <c r="A87" s="135"/>
      <c r="B87" s="111"/>
      <c r="C87" s="111"/>
      <c r="D87" s="111"/>
      <c r="E87" s="111"/>
      <c r="F87" s="111"/>
      <c r="G87" s="3"/>
      <c r="H87" s="3"/>
      <c r="I87" s="3"/>
      <c r="J87" s="3"/>
      <c r="AF87" s="1"/>
    </row>
    <row r="88" spans="1:32" x14ac:dyDescent="0.25">
      <c r="A88" s="135"/>
      <c r="B88" s="138"/>
      <c r="C88" s="111"/>
      <c r="D88" s="111"/>
      <c r="E88" s="111"/>
      <c r="F88" s="111"/>
      <c r="G88" s="3"/>
      <c r="H88" s="3"/>
      <c r="I88" s="3"/>
      <c r="J88" s="3"/>
      <c r="AF88" s="1"/>
    </row>
    <row r="89" spans="1:32" x14ac:dyDescent="0.25">
      <c r="A89" s="135"/>
      <c r="B89" s="139"/>
      <c r="C89" s="111"/>
      <c r="D89" s="111"/>
      <c r="E89" s="111"/>
      <c r="F89" s="111"/>
      <c r="G89" s="3"/>
      <c r="H89" s="3"/>
      <c r="I89" s="3"/>
      <c r="J89" s="3"/>
      <c r="AF89" s="1"/>
    </row>
    <row r="90" spans="1:32" x14ac:dyDescent="0.25">
      <c r="A90" s="135"/>
      <c r="B90" s="140"/>
      <c r="C90" s="111"/>
      <c r="D90" s="111"/>
      <c r="E90" s="111"/>
      <c r="F90" s="111"/>
      <c r="G90" s="3"/>
      <c r="H90" s="3"/>
      <c r="I90" s="3"/>
      <c r="J90" s="3"/>
      <c r="AF90" s="1"/>
    </row>
    <row r="91" spans="1:32" x14ac:dyDescent="0.25">
      <c r="A91" s="135"/>
      <c r="B91" s="111"/>
      <c r="C91" s="111"/>
      <c r="D91" s="111"/>
      <c r="E91" s="111"/>
      <c r="F91" s="111"/>
      <c r="G91" s="3"/>
      <c r="H91" s="3"/>
      <c r="I91" s="3"/>
      <c r="J91" s="3"/>
      <c r="AF91" s="1"/>
    </row>
    <row r="92" spans="1:32" x14ac:dyDescent="0.25">
      <c r="A92" s="135"/>
      <c r="B92" s="111"/>
      <c r="C92" s="111"/>
      <c r="D92" s="111"/>
      <c r="E92" s="111"/>
      <c r="F92" s="111"/>
      <c r="G92" s="3"/>
      <c r="H92" s="3"/>
      <c r="I92" s="3"/>
      <c r="J92" s="3"/>
      <c r="AF92" s="1"/>
    </row>
    <row r="93" spans="1:32" x14ac:dyDescent="0.25">
      <c r="A93" s="135"/>
      <c r="B93" s="111"/>
      <c r="C93" s="111"/>
      <c r="D93" s="111"/>
      <c r="E93" s="111"/>
      <c r="F93" s="111"/>
      <c r="G93" s="3"/>
      <c r="H93" s="3"/>
      <c r="I93" s="3"/>
      <c r="J93" s="3"/>
      <c r="AF93" s="1"/>
    </row>
    <row r="94" spans="1:32" x14ac:dyDescent="0.25">
      <c r="A94" s="36"/>
      <c r="B94" s="3"/>
      <c r="C94" s="3"/>
      <c r="D94" s="3"/>
      <c r="E94" s="3"/>
      <c r="F94" s="3"/>
      <c r="G94" s="3"/>
      <c r="H94" s="3"/>
      <c r="I94" s="3"/>
      <c r="J94" s="3"/>
      <c r="AF94" s="1"/>
    </row>
    <row r="95" spans="1:32" x14ac:dyDescent="0.25">
      <c r="A95" s="36"/>
      <c r="B95" s="3"/>
      <c r="C95" s="3"/>
      <c r="D95" s="3"/>
      <c r="E95" s="3"/>
      <c r="F95" s="3"/>
      <c r="G95" s="3"/>
      <c r="H95" s="3"/>
      <c r="I95" s="3"/>
      <c r="J95" s="3"/>
      <c r="AF95" s="1"/>
    </row>
    <row r="96" spans="1:32" x14ac:dyDescent="0.25">
      <c r="A96" s="36"/>
      <c r="B96" s="3"/>
      <c r="C96" s="3"/>
      <c r="D96" s="3"/>
      <c r="E96" s="3"/>
      <c r="F96" s="3"/>
      <c r="G96" s="3"/>
      <c r="H96" s="3"/>
      <c r="I96" s="3"/>
      <c r="J96" s="3"/>
      <c r="AF96" s="1"/>
    </row>
    <row r="97" spans="1:32" x14ac:dyDescent="0.25">
      <c r="A97" s="36"/>
      <c r="B97" s="3"/>
      <c r="C97" s="3"/>
      <c r="D97" s="3"/>
      <c r="E97" s="3"/>
      <c r="F97" s="3"/>
      <c r="G97" s="3"/>
      <c r="H97" s="3"/>
      <c r="I97" s="3"/>
      <c r="J97" s="3"/>
      <c r="AF97" s="1"/>
    </row>
    <row r="98" spans="1:32" x14ac:dyDescent="0.25">
      <c r="A98"/>
      <c r="AF98" s="1"/>
    </row>
    <row r="99" spans="1:32" x14ac:dyDescent="0.25">
      <c r="A99"/>
      <c r="AF99" s="1"/>
    </row>
    <row r="100" spans="1:32" x14ac:dyDescent="0.25">
      <c r="A100"/>
      <c r="AF100" s="1"/>
    </row>
    <row r="101" spans="1:32" x14ac:dyDescent="0.25">
      <c r="A101"/>
      <c r="AF101" s="1"/>
    </row>
    <row r="102" spans="1:32" x14ac:dyDescent="0.25">
      <c r="A102"/>
      <c r="AF102" s="1"/>
    </row>
    <row r="103" spans="1:32" x14ac:dyDescent="0.25">
      <c r="A103"/>
      <c r="AF103" s="1"/>
    </row>
    <row r="104" spans="1:32" x14ac:dyDescent="0.25">
      <c r="A104"/>
      <c r="AF104" s="1"/>
    </row>
    <row r="105" spans="1:32" x14ac:dyDescent="0.25">
      <c r="A105"/>
      <c r="AF105" s="1"/>
    </row>
    <row r="106" spans="1:32" x14ac:dyDescent="0.25">
      <c r="A106"/>
      <c r="AF106" s="1"/>
    </row>
    <row r="107" spans="1:32" x14ac:dyDescent="0.25">
      <c r="A107"/>
      <c r="AF107" s="1"/>
    </row>
    <row r="108" spans="1:32" x14ac:dyDescent="0.25">
      <c r="A108"/>
      <c r="AF108" s="1"/>
    </row>
    <row r="109" spans="1:32" x14ac:dyDescent="0.25">
      <c r="A109"/>
      <c r="AF109" s="1"/>
    </row>
    <row r="110" spans="1:32" x14ac:dyDescent="0.25">
      <c r="A110"/>
      <c r="AF110" s="1"/>
    </row>
    <row r="111" spans="1:32" x14ac:dyDescent="0.25">
      <c r="A111"/>
      <c r="AF111" s="1"/>
    </row>
    <row r="112" spans="1:32" x14ac:dyDescent="0.25">
      <c r="A112"/>
      <c r="AF112" s="1"/>
    </row>
    <row r="113" spans="1:32" x14ac:dyDescent="0.25">
      <c r="A113"/>
      <c r="AF113" s="1"/>
    </row>
    <row r="114" spans="1:32" x14ac:dyDescent="0.25">
      <c r="A114"/>
      <c r="AF114" s="1"/>
    </row>
    <row r="115" spans="1:32" x14ac:dyDescent="0.25">
      <c r="A115"/>
      <c r="AF115" s="1"/>
    </row>
    <row r="116" spans="1:32" x14ac:dyDescent="0.25">
      <c r="A116"/>
      <c r="AF116" s="1"/>
    </row>
    <row r="117" spans="1:32" x14ac:dyDescent="0.25">
      <c r="A117"/>
      <c r="AF117" s="1"/>
    </row>
    <row r="118" spans="1:32" x14ac:dyDescent="0.25">
      <c r="A118"/>
      <c r="AF118" s="1"/>
    </row>
    <row r="119" spans="1:32" x14ac:dyDescent="0.25">
      <c r="A119"/>
      <c r="AF119" s="1"/>
    </row>
    <row r="120" spans="1:32" x14ac:dyDescent="0.25">
      <c r="A120"/>
      <c r="AF120" s="1"/>
    </row>
    <row r="121" spans="1:32" x14ac:dyDescent="0.25">
      <c r="A121"/>
      <c r="AF121" s="2"/>
    </row>
    <row r="122" spans="1:32" x14ac:dyDescent="0.25">
      <c r="A122"/>
      <c r="AF122" s="2"/>
    </row>
    <row r="123" spans="1:32" x14ac:dyDescent="0.25">
      <c r="A123"/>
      <c r="AF123" s="2"/>
    </row>
    <row r="124" spans="1:32" x14ac:dyDescent="0.25">
      <c r="A124"/>
      <c r="B124" s="4"/>
      <c r="C124" s="4"/>
      <c r="AF124" s="2"/>
    </row>
    <row r="125" spans="1:32" x14ac:dyDescent="0.25">
      <c r="A125"/>
      <c r="B125" s="4"/>
      <c r="C125" s="4"/>
      <c r="AF125" s="2"/>
    </row>
    <row r="126" spans="1:32" x14ac:dyDescent="0.25">
      <c r="A126"/>
      <c r="B126" s="4"/>
      <c r="C126" s="4"/>
      <c r="AF126" s="2"/>
    </row>
    <row r="127" spans="1:32" x14ac:dyDescent="0.25">
      <c r="B127" s="4"/>
      <c r="C127" s="4"/>
      <c r="AF127" s="2"/>
    </row>
    <row r="128" spans="1:32" x14ac:dyDescent="0.25">
      <c r="B128" s="4"/>
      <c r="C128" s="4"/>
      <c r="AF128" s="2"/>
    </row>
    <row r="129" spans="2:32" x14ac:dyDescent="0.25">
      <c r="B129" s="4"/>
      <c r="C129" s="4"/>
      <c r="AF129" s="2"/>
    </row>
    <row r="130" spans="2:32" x14ac:dyDescent="0.25">
      <c r="B130" s="4"/>
      <c r="C130" s="4"/>
    </row>
    <row r="131" spans="2:32" x14ac:dyDescent="0.25">
      <c r="B131" s="4"/>
      <c r="C131" s="4"/>
    </row>
    <row r="132" spans="2:32" x14ac:dyDescent="0.25">
      <c r="B132" s="4"/>
      <c r="C132" s="4"/>
    </row>
    <row r="133" spans="2:32" x14ac:dyDescent="0.25">
      <c r="B133" s="4"/>
      <c r="C133" s="4"/>
    </row>
    <row r="134" spans="2:32" x14ac:dyDescent="0.25">
      <c r="B134" s="4"/>
      <c r="C134" s="4"/>
    </row>
    <row r="135" spans="2:32" x14ac:dyDescent="0.25">
      <c r="B135" s="4"/>
      <c r="C135" s="4"/>
    </row>
    <row r="136" spans="2:32" x14ac:dyDescent="0.25">
      <c r="B136" s="4"/>
      <c r="C136" s="4"/>
    </row>
    <row r="137" spans="2:32" x14ac:dyDescent="0.25">
      <c r="B137" s="4"/>
      <c r="C137" s="4"/>
    </row>
    <row r="138" spans="2:32" x14ac:dyDescent="0.25">
      <c r="B138" s="4"/>
      <c r="C138" s="4"/>
    </row>
    <row r="139" spans="2:32" x14ac:dyDescent="0.25">
      <c r="B139" s="4"/>
      <c r="C139" s="4"/>
    </row>
    <row r="140" spans="2:32" x14ac:dyDescent="0.25">
      <c r="B140" s="4"/>
      <c r="C140" s="4"/>
    </row>
    <row r="141" spans="2:32" x14ac:dyDescent="0.25">
      <c r="B141" s="4"/>
      <c r="C141" s="4"/>
    </row>
  </sheetData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HE148"/>
  <sheetViews>
    <sheetView topLeftCell="F1" workbookViewId="0">
      <pane ySplit="2" topLeftCell="A3" activePane="bottomLeft" state="frozen"/>
      <selection pane="bottomLeft" activeCell="M24" sqref="M24"/>
    </sheetView>
  </sheetViews>
  <sheetFormatPr defaultRowHeight="15" x14ac:dyDescent="0.25"/>
  <cols>
    <col min="1" max="1" width="16.28515625" customWidth="1"/>
    <col min="2" max="2" width="9.28515625" bestFit="1" customWidth="1"/>
    <col min="3" max="3" width="16.5703125" customWidth="1"/>
    <col min="4" max="4" width="14.28515625" customWidth="1"/>
    <col min="5" max="5" width="18.28515625" customWidth="1"/>
    <col min="6" max="6" width="16.7109375" customWidth="1"/>
    <col min="7" max="7" width="15.5703125" customWidth="1"/>
    <col min="8" max="8" width="13.5703125" customWidth="1"/>
    <col min="9" max="9" width="17.42578125" customWidth="1"/>
    <col min="11" max="11" width="9.28515625" bestFit="1" customWidth="1"/>
    <col min="13" max="13" width="15.85546875" bestFit="1" customWidth="1"/>
    <col min="15" max="15" width="9.28515625" bestFit="1" customWidth="1"/>
    <col min="33" max="34" width="8.7109375" customWidth="1"/>
  </cols>
  <sheetData>
    <row r="1" spans="1:165" x14ac:dyDescent="0.25">
      <c r="A1" s="13" t="s">
        <v>41</v>
      </c>
      <c r="B1" s="4"/>
      <c r="C1" s="4"/>
      <c r="D1" s="4"/>
      <c r="E1" s="13" t="s">
        <v>42</v>
      </c>
      <c r="F1" s="4"/>
      <c r="G1" s="4"/>
      <c r="H1" s="4"/>
      <c r="I1" s="13" t="s">
        <v>82</v>
      </c>
      <c r="J1" s="4"/>
      <c r="K1" s="4"/>
      <c r="L1" s="4"/>
      <c r="M1" s="13" t="s">
        <v>83</v>
      </c>
      <c r="N1" s="4"/>
      <c r="O1" s="4"/>
      <c r="P1" s="4"/>
      <c r="Q1" s="13" t="s">
        <v>84</v>
      </c>
      <c r="R1" s="4"/>
      <c r="S1" s="4"/>
      <c r="T1" s="4"/>
      <c r="U1" s="150" t="s">
        <v>97</v>
      </c>
    </row>
    <row r="2" spans="1:165" x14ac:dyDescent="0.25">
      <c r="A2" s="4" t="s">
        <v>13</v>
      </c>
      <c r="B2" s="4" t="s">
        <v>14</v>
      </c>
      <c r="C2" s="4" t="s">
        <v>15</v>
      </c>
      <c r="D2" s="4" t="s">
        <v>7</v>
      </c>
      <c r="E2" s="4" t="s">
        <v>13</v>
      </c>
      <c r="F2" s="4" t="s">
        <v>14</v>
      </c>
      <c r="G2" s="4" t="s">
        <v>15</v>
      </c>
      <c r="H2" s="4" t="s">
        <v>7</v>
      </c>
      <c r="I2" s="4" t="s">
        <v>13</v>
      </c>
      <c r="J2" s="4" t="s">
        <v>14</v>
      </c>
      <c r="K2" s="4" t="s">
        <v>15</v>
      </c>
      <c r="L2" s="4" t="s">
        <v>7</v>
      </c>
      <c r="M2" s="4" t="s">
        <v>13</v>
      </c>
      <c r="N2" s="4" t="s">
        <v>14</v>
      </c>
      <c r="O2" s="4" t="s">
        <v>15</v>
      </c>
      <c r="P2" s="4" t="s">
        <v>7</v>
      </c>
      <c r="Q2" s="4" t="s">
        <v>13</v>
      </c>
      <c r="R2" s="4" t="s">
        <v>14</v>
      </c>
      <c r="S2" s="4" t="s">
        <v>15</v>
      </c>
      <c r="T2" s="4" t="s">
        <v>7</v>
      </c>
      <c r="U2" t="s">
        <v>13</v>
      </c>
      <c r="V2" t="s">
        <v>14</v>
      </c>
      <c r="W2" t="s">
        <v>15</v>
      </c>
      <c r="X2" t="s">
        <v>7</v>
      </c>
    </row>
    <row r="3" spans="1:165" x14ac:dyDescent="0.25">
      <c r="A3" s="16">
        <v>43586.259375000001</v>
      </c>
      <c r="B3" s="4">
        <v>10000</v>
      </c>
      <c r="C3" s="17"/>
      <c r="D3" s="4">
        <v>10000</v>
      </c>
      <c r="E3" s="16">
        <v>43587.187615740739</v>
      </c>
      <c r="F3" s="4">
        <v>20000</v>
      </c>
      <c r="G3" s="17"/>
      <c r="H3" s="4">
        <v>20000</v>
      </c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</row>
    <row r="4" spans="1:165" x14ac:dyDescent="0.25">
      <c r="A4" s="16">
        <v>43586.259398148148</v>
      </c>
      <c r="B4" s="4">
        <v>0</v>
      </c>
      <c r="C4" s="18">
        <v>300</v>
      </c>
      <c r="D4" s="4">
        <v>10300</v>
      </c>
      <c r="E4" s="16">
        <v>43587.195613425924</v>
      </c>
      <c r="F4" s="4"/>
      <c r="G4" s="18">
        <v>600</v>
      </c>
      <c r="H4" s="4">
        <v>21200</v>
      </c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99"/>
      <c r="V4" s="97"/>
      <c r="W4" s="97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</row>
    <row r="5" spans="1:165" ht="15.75" customHeight="1" x14ac:dyDescent="0.25">
      <c r="A5" s="16">
        <v>43586.259699074071</v>
      </c>
      <c r="B5" s="4">
        <v>0</v>
      </c>
      <c r="C5" s="4"/>
      <c r="D5" s="4">
        <v>10000</v>
      </c>
      <c r="E5" s="16">
        <v>43587.206620370373</v>
      </c>
      <c r="F5" s="4"/>
      <c r="G5" s="4"/>
      <c r="H5" s="4">
        <v>20000</v>
      </c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99"/>
      <c r="V5" s="97"/>
      <c r="W5" s="97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</row>
    <row r="6" spans="1:165" x14ac:dyDescent="0.25">
      <c r="A6" s="16">
        <v>43586.260092592594</v>
      </c>
      <c r="B6" s="4"/>
      <c r="C6" s="18">
        <v>300</v>
      </c>
      <c r="D6" s="4">
        <v>10300</v>
      </c>
      <c r="E6" s="16">
        <v>43587.206643518519</v>
      </c>
      <c r="F6" s="4"/>
      <c r="G6" s="17">
        <v>600</v>
      </c>
      <c r="H6" s="4">
        <v>21200</v>
      </c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99"/>
      <c r="V6" s="97"/>
      <c r="W6" s="97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</row>
    <row r="7" spans="1:165" x14ac:dyDescent="0.25">
      <c r="A7" s="16">
        <v>43586.26017361111</v>
      </c>
      <c r="B7" s="4"/>
      <c r="C7" s="4"/>
      <c r="D7" s="4">
        <v>10000</v>
      </c>
      <c r="E7" s="16">
        <v>43587.206666666665</v>
      </c>
      <c r="F7" s="4"/>
      <c r="G7" s="17">
        <v>600</v>
      </c>
      <c r="H7" s="4">
        <v>22400</v>
      </c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99"/>
      <c r="V7" s="97"/>
      <c r="W7" s="97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</row>
    <row r="8" spans="1:165" x14ac:dyDescent="0.25">
      <c r="A8" s="16">
        <v>43586.260243055556</v>
      </c>
      <c r="B8" s="4">
        <v>-3000</v>
      </c>
      <c r="C8" s="17"/>
      <c r="D8" s="4">
        <v>7000</v>
      </c>
      <c r="E8" s="16">
        <v>43587.206666666665</v>
      </c>
      <c r="F8" s="4"/>
      <c r="G8" s="18">
        <v>600</v>
      </c>
      <c r="H8" s="4">
        <v>23600</v>
      </c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99"/>
      <c r="V8" s="97"/>
      <c r="W8" s="97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</row>
    <row r="9" spans="1:165" x14ac:dyDescent="0.25">
      <c r="A9" s="19">
        <v>43586.260254629633</v>
      </c>
      <c r="B9" s="5">
        <v>0</v>
      </c>
      <c r="C9" s="18">
        <v>210</v>
      </c>
      <c r="D9" s="5">
        <v>7210</v>
      </c>
      <c r="E9" s="16">
        <v>43587.206712962965</v>
      </c>
      <c r="F9" s="4"/>
      <c r="G9" s="18"/>
      <c r="H9" s="4">
        <v>21600</v>
      </c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99"/>
      <c r="V9" s="97"/>
      <c r="W9" s="97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</row>
    <row r="10" spans="1:165" x14ac:dyDescent="0.25">
      <c r="A10" s="19">
        <v>43586.260347222225</v>
      </c>
      <c r="B10" s="5">
        <v>0</v>
      </c>
      <c r="C10" s="5"/>
      <c r="D10" s="5">
        <v>7000</v>
      </c>
      <c r="E10" s="19">
        <v>43587.206747685188</v>
      </c>
      <c r="F10" s="4"/>
      <c r="G10" s="4"/>
      <c r="H10" s="4">
        <v>20000</v>
      </c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99"/>
      <c r="V10" s="97"/>
      <c r="W10" s="97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</row>
    <row r="11" spans="1:165" x14ac:dyDescent="0.25">
      <c r="A11" s="19">
        <v>43586.952615740738</v>
      </c>
      <c r="B11" s="5"/>
      <c r="C11" s="18">
        <v>210</v>
      </c>
      <c r="D11" s="5">
        <v>7210</v>
      </c>
      <c r="E11" s="19">
        <v>43587.206805555557</v>
      </c>
      <c r="F11" s="5">
        <v>-5000</v>
      </c>
      <c r="G11" s="17"/>
      <c r="H11" s="5">
        <v>15000</v>
      </c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99"/>
      <c r="V11" s="97"/>
      <c r="W11" s="97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</row>
    <row r="12" spans="1:165" s="14" customFormat="1" x14ac:dyDescent="0.25">
      <c r="A12" s="19">
        <v>43586.952766203707</v>
      </c>
      <c r="B12" s="5"/>
      <c r="C12" s="5"/>
      <c r="D12" s="5">
        <v>7000</v>
      </c>
      <c r="E12" s="19">
        <v>43587.206817129627</v>
      </c>
      <c r="F12" s="5">
        <v>0</v>
      </c>
      <c r="G12" s="17">
        <v>450</v>
      </c>
      <c r="H12" s="5">
        <v>15900</v>
      </c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99"/>
      <c r="V12" s="97"/>
      <c r="W12" s="97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</row>
    <row r="13" spans="1:165" x14ac:dyDescent="0.25">
      <c r="A13" s="16">
        <v>43586.952800925923</v>
      </c>
      <c r="B13" s="4"/>
      <c r="C13" s="18">
        <v>210</v>
      </c>
      <c r="D13" s="4">
        <v>7210</v>
      </c>
      <c r="E13" s="16">
        <v>43587.20684027778</v>
      </c>
      <c r="F13" s="4">
        <v>0</v>
      </c>
      <c r="G13" s="18">
        <v>450</v>
      </c>
      <c r="H13" s="4">
        <v>16800</v>
      </c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99"/>
      <c r="V13" s="97"/>
      <c r="W13" s="97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</row>
    <row r="14" spans="1:165" x14ac:dyDescent="0.25">
      <c r="A14" s="16">
        <v>43586.958854166667</v>
      </c>
      <c r="B14" s="4"/>
      <c r="C14" s="4"/>
      <c r="D14" s="4">
        <v>5770</v>
      </c>
      <c r="E14" s="16">
        <v>43587.206863425927</v>
      </c>
      <c r="F14" s="4">
        <v>0</v>
      </c>
      <c r="G14" s="18"/>
      <c r="H14" s="4">
        <v>16000</v>
      </c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99"/>
      <c r="V14" s="97"/>
      <c r="W14" s="97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</row>
    <row r="15" spans="1:165" x14ac:dyDescent="0.25">
      <c r="A15" s="16">
        <v>43586.958958333336</v>
      </c>
      <c r="B15" s="4"/>
      <c r="C15" s="18">
        <v>210</v>
      </c>
      <c r="D15" s="4">
        <v>5980</v>
      </c>
      <c r="E15" s="16">
        <v>43587.206886574073</v>
      </c>
      <c r="F15" s="4">
        <v>0</v>
      </c>
      <c r="G15" s="4"/>
      <c r="H15" s="4">
        <v>15000</v>
      </c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99"/>
      <c r="V15" s="97"/>
      <c r="W15" s="97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</row>
    <row r="16" spans="1:165" x14ac:dyDescent="0.25">
      <c r="A16" s="16">
        <v>43586.959027777775</v>
      </c>
      <c r="B16" s="4"/>
      <c r="C16" s="4"/>
      <c r="D16" s="4">
        <v>5560</v>
      </c>
      <c r="E16" s="16">
        <v>43587.206932870373</v>
      </c>
      <c r="F16" s="4">
        <v>2000</v>
      </c>
      <c r="G16" s="17"/>
      <c r="H16" s="4">
        <v>17000</v>
      </c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99"/>
      <c r="V16" s="97"/>
      <c r="W16" s="97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</row>
    <row r="17" spans="1:185" x14ac:dyDescent="0.25">
      <c r="A17" s="16">
        <v>43586.961481481485</v>
      </c>
      <c r="B17" s="4"/>
      <c r="C17" s="18">
        <v>210</v>
      </c>
      <c r="D17" s="4">
        <v>7420</v>
      </c>
      <c r="E17" s="16">
        <v>43587.206944444442</v>
      </c>
      <c r="F17" s="4">
        <v>0</v>
      </c>
      <c r="G17" s="18">
        <v>510</v>
      </c>
      <c r="H17" s="4">
        <v>18020</v>
      </c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99"/>
      <c r="V17" s="97"/>
      <c r="W17" s="97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</row>
    <row r="18" spans="1:185" x14ac:dyDescent="0.25">
      <c r="A18" s="16">
        <v>43586.961539351854</v>
      </c>
      <c r="B18" s="4"/>
      <c r="C18" s="4"/>
      <c r="D18" s="4">
        <v>7000</v>
      </c>
      <c r="E18" s="16">
        <v>43587.206979166665</v>
      </c>
      <c r="F18" s="4">
        <v>0</v>
      </c>
      <c r="G18" s="4"/>
      <c r="H18" s="4">
        <v>17000</v>
      </c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100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4"/>
      <c r="EI18" s="4"/>
      <c r="EJ18" s="4"/>
      <c r="EK18" s="4"/>
      <c r="EL18" s="4"/>
      <c r="EM18" s="4"/>
      <c r="EN18" s="4"/>
      <c r="EO18" s="4"/>
      <c r="EP18" s="4"/>
      <c r="EQ18" s="4"/>
      <c r="ER18" s="4"/>
      <c r="ES18" s="4"/>
      <c r="ET18" s="4"/>
      <c r="EU18" s="4"/>
      <c r="EV18" s="4"/>
      <c r="EW18" s="4"/>
      <c r="EX18" s="4"/>
      <c r="EY18" s="4"/>
      <c r="EZ18" s="4"/>
      <c r="FA18" s="4"/>
      <c r="FB18" s="4"/>
      <c r="FC18" s="4"/>
      <c r="FD18" s="4"/>
      <c r="FE18" s="4"/>
      <c r="FF18" s="4"/>
      <c r="FG18" s="4"/>
      <c r="FH18" s="4"/>
      <c r="FI18" s="4"/>
      <c r="FJ18" s="4"/>
      <c r="FK18" s="4"/>
      <c r="FL18" s="4"/>
      <c r="FM18" s="4"/>
    </row>
    <row r="19" spans="1:185" x14ac:dyDescent="0.25">
      <c r="A19" s="12">
        <v>43586.961597222224</v>
      </c>
      <c r="B19" s="5"/>
      <c r="C19" s="18">
        <v>210</v>
      </c>
      <c r="D19" s="5">
        <v>7420</v>
      </c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100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4"/>
      <c r="EI19" s="4"/>
      <c r="EJ19" s="4"/>
      <c r="EK19" s="4"/>
      <c r="EL19" s="4"/>
      <c r="EM19" s="4"/>
      <c r="EN19" s="4"/>
      <c r="EO19" s="4"/>
      <c r="EP19" s="4"/>
      <c r="EQ19" s="4"/>
      <c r="ER19" s="4"/>
      <c r="ES19" s="4"/>
      <c r="ET19" s="4"/>
      <c r="EU19" s="4"/>
      <c r="EV19" s="4"/>
      <c r="EW19" s="4"/>
      <c r="EX19" s="4"/>
      <c r="EY19" s="4"/>
      <c r="EZ19" s="4"/>
      <c r="FA19" s="4"/>
      <c r="FB19" s="4"/>
      <c r="FC19" s="4"/>
      <c r="FD19" s="4"/>
      <c r="FE19" s="4"/>
      <c r="FF19" s="4"/>
      <c r="FG19" s="4"/>
      <c r="FH19" s="4"/>
      <c r="FI19" s="4"/>
      <c r="FJ19" s="4"/>
      <c r="FK19" s="4"/>
      <c r="FL19" s="4"/>
      <c r="FM19" s="4"/>
      <c r="FN19" s="4"/>
      <c r="FO19" s="4"/>
      <c r="FP19" s="4"/>
      <c r="FQ19" s="4"/>
      <c r="FR19" s="4"/>
      <c r="FS19" s="4"/>
      <c r="FT19" s="4"/>
      <c r="FU19" s="4"/>
    </row>
    <row r="20" spans="1:185" x14ac:dyDescent="0.25">
      <c r="A20" s="7">
        <v>43586.961863425924</v>
      </c>
      <c r="B20" s="5"/>
      <c r="C20" s="5"/>
      <c r="D20" s="10">
        <v>7000</v>
      </c>
      <c r="E20" s="12">
        <v>43587.18712962963</v>
      </c>
      <c r="F20" s="5"/>
      <c r="G20" s="18">
        <v>1500</v>
      </c>
      <c r="H20" s="5">
        <v>53000</v>
      </c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100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</row>
    <row r="21" spans="1:185" x14ac:dyDescent="0.25">
      <c r="A21" s="7">
        <v>43586.962094907409</v>
      </c>
      <c r="B21" s="5"/>
      <c r="C21" s="18">
        <v>210</v>
      </c>
      <c r="D21" s="10">
        <v>7420</v>
      </c>
      <c r="E21" s="12">
        <v>43587.187175925923</v>
      </c>
      <c r="F21" s="5"/>
      <c r="G21" s="5"/>
      <c r="H21" s="5">
        <v>50000</v>
      </c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100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/>
      <c r="FC21" s="4"/>
      <c r="FD21" s="4"/>
      <c r="FE21" s="4"/>
      <c r="FF21" s="4"/>
      <c r="FG21" s="4"/>
      <c r="FH21" s="4"/>
      <c r="FI21" s="4"/>
      <c r="FJ21" s="4"/>
      <c r="FK21" s="4"/>
      <c r="FL21" s="4"/>
      <c r="FM21" s="4"/>
      <c r="FN21" s="4"/>
      <c r="FO21" s="4"/>
      <c r="FP21" s="4"/>
      <c r="FQ21" s="4"/>
      <c r="FR21" s="4"/>
      <c r="FS21" s="4"/>
      <c r="FT21" s="4"/>
      <c r="FU21" s="4"/>
      <c r="FV21" s="4"/>
      <c r="FW21" s="4"/>
      <c r="FX21" s="4"/>
      <c r="FY21" s="4"/>
      <c r="FZ21" s="4"/>
      <c r="GA21" s="4"/>
      <c r="GB21" s="4"/>
      <c r="GC21" s="4"/>
    </row>
    <row r="22" spans="1:185" x14ac:dyDescent="0.25">
      <c r="A22" s="7">
        <v>43586.971516203703</v>
      </c>
      <c r="B22" s="5"/>
      <c r="C22" s="5"/>
      <c r="D22" s="10">
        <v>7000</v>
      </c>
      <c r="E22" s="12">
        <v>43587.187476851854</v>
      </c>
      <c r="F22" s="5">
        <v>-20000</v>
      </c>
      <c r="G22" s="17"/>
      <c r="H22" s="5">
        <v>30000</v>
      </c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100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4"/>
      <c r="EI22" s="4"/>
      <c r="EJ22" s="4"/>
      <c r="EK22" s="4"/>
      <c r="EL22" s="4"/>
      <c r="EM22" s="4"/>
      <c r="EN22" s="4"/>
      <c r="EO22" s="4"/>
      <c r="EP22" s="4"/>
      <c r="EQ22" s="4"/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/>
      <c r="FD22" s="4"/>
      <c r="FE22" s="4"/>
      <c r="FF22" s="4"/>
      <c r="FG22" s="4"/>
      <c r="FH22" s="4"/>
      <c r="FI22" s="4"/>
      <c r="FJ22" s="4"/>
      <c r="FK22" s="4"/>
      <c r="FL22" s="4"/>
      <c r="FM22" s="4"/>
      <c r="FN22" s="4"/>
      <c r="FO22" s="4"/>
      <c r="FP22" s="4"/>
      <c r="FQ22" s="4"/>
      <c r="FR22" s="4"/>
      <c r="FS22" s="4"/>
      <c r="FT22" s="4"/>
      <c r="FU22" s="4"/>
      <c r="FV22" s="4"/>
      <c r="FW22" s="4"/>
      <c r="FX22" s="4"/>
      <c r="FY22" s="4"/>
      <c r="FZ22" s="4"/>
      <c r="GA22" s="4"/>
      <c r="GB22" s="4"/>
      <c r="GC22" s="4"/>
    </row>
    <row r="23" spans="1:185" x14ac:dyDescent="0.25">
      <c r="A23" s="7">
        <v>43586.971550925926</v>
      </c>
      <c r="B23" s="5"/>
      <c r="C23" s="17">
        <v>210</v>
      </c>
      <c r="D23" s="10">
        <v>7420</v>
      </c>
      <c r="E23" s="11">
        <v>43587.1875</v>
      </c>
      <c r="F23" s="4">
        <v>0</v>
      </c>
      <c r="G23" s="18">
        <v>900</v>
      </c>
      <c r="H23" s="4">
        <v>31800</v>
      </c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100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/>
      <c r="EX23" s="4"/>
      <c r="EY23" s="4"/>
      <c r="EZ23" s="4"/>
      <c r="FA23" s="4"/>
      <c r="FB23" s="4"/>
      <c r="FC23" s="4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4"/>
      <c r="FX23" s="4"/>
      <c r="FY23" s="4"/>
      <c r="FZ23" s="4"/>
      <c r="GA23" s="4"/>
      <c r="GB23" s="4"/>
      <c r="GC23" s="4"/>
    </row>
    <row r="24" spans="1:185" x14ac:dyDescent="0.25">
      <c r="A24" s="7">
        <v>43586.971550925926</v>
      </c>
      <c r="B24" s="5"/>
      <c r="C24" s="17">
        <v>210</v>
      </c>
      <c r="D24" s="10">
        <v>7840</v>
      </c>
      <c r="E24" s="11">
        <v>43587.1875462963</v>
      </c>
      <c r="F24" s="4">
        <v>0</v>
      </c>
      <c r="G24" s="4">
        <v>1500</v>
      </c>
      <c r="H24" s="4">
        <v>30000</v>
      </c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100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4"/>
      <c r="EI24" s="4"/>
      <c r="EJ24" s="4"/>
      <c r="EK24" s="4"/>
      <c r="EL24" s="4"/>
      <c r="EM24" s="4"/>
      <c r="EN24" s="4"/>
      <c r="EO24" s="4"/>
      <c r="EP24" s="4"/>
      <c r="EQ24" s="4"/>
      <c r="ER24" s="4"/>
      <c r="ES24" s="4"/>
      <c r="ET24" s="4"/>
      <c r="EU24" s="4"/>
      <c r="EV24" s="4"/>
      <c r="EW24" s="4"/>
      <c r="EX24" s="4"/>
      <c r="EY24" s="4"/>
      <c r="EZ24" s="4"/>
      <c r="FA24" s="4"/>
      <c r="FB24" s="4"/>
      <c r="FC24" s="4"/>
      <c r="FD24" s="4"/>
      <c r="FE24" s="4"/>
      <c r="FF24" s="4"/>
      <c r="FG24" s="4"/>
      <c r="FH24" s="4"/>
      <c r="FI24" s="4"/>
      <c r="FJ24" s="4"/>
      <c r="FK24" s="4"/>
      <c r="FL24" s="4"/>
      <c r="FM24" s="4"/>
      <c r="FN24" s="4"/>
      <c r="FO24" s="4"/>
      <c r="FP24" s="4"/>
      <c r="FQ24" s="4"/>
      <c r="FR24" s="4"/>
      <c r="FS24" s="4"/>
      <c r="FT24" s="4"/>
      <c r="FU24" s="4"/>
      <c r="FV24" s="4"/>
      <c r="FW24" s="4"/>
      <c r="FX24" s="4"/>
      <c r="FY24" s="4"/>
      <c r="FZ24" s="4"/>
      <c r="GA24" s="4"/>
      <c r="GB24" s="4"/>
      <c r="GC24" s="4"/>
    </row>
    <row r="25" spans="1:185" x14ac:dyDescent="0.25">
      <c r="A25" s="7">
        <v>43586.971562500003</v>
      </c>
      <c r="B25" s="5"/>
      <c r="C25" s="18">
        <v>210</v>
      </c>
      <c r="D25" s="10">
        <v>8260</v>
      </c>
      <c r="E25" s="11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100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  <c r="FC25" s="4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</row>
    <row r="26" spans="1:185" x14ac:dyDescent="0.25">
      <c r="A26" s="7">
        <v>43586.971620370372</v>
      </c>
      <c r="B26" s="5"/>
      <c r="C26" s="5"/>
      <c r="D26" s="10">
        <v>7000</v>
      </c>
      <c r="E26" s="11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100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</row>
    <row r="27" spans="1:185" x14ac:dyDescent="0.25">
      <c r="A27" s="7">
        <v>43587.008402777778</v>
      </c>
      <c r="B27" s="5"/>
      <c r="C27" s="18">
        <v>210</v>
      </c>
      <c r="D27" s="10">
        <v>7420</v>
      </c>
      <c r="E27" s="11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</row>
    <row r="28" spans="1:185" x14ac:dyDescent="0.25">
      <c r="A28" s="7">
        <v>43587.178761574076</v>
      </c>
      <c r="B28" s="5"/>
      <c r="C28" s="5"/>
      <c r="D28" s="10">
        <v>7000</v>
      </c>
      <c r="E28" s="11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/>
      <c r="FF28" s="4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4"/>
      <c r="FX28" s="4"/>
      <c r="FY28" s="4"/>
      <c r="FZ28" s="4"/>
      <c r="GA28" s="4"/>
      <c r="GB28" s="4"/>
      <c r="GC28" s="4"/>
    </row>
    <row r="29" spans="1:185" x14ac:dyDescent="0.25">
      <c r="A29" s="7">
        <v>43587.186921296299</v>
      </c>
      <c r="B29" s="5"/>
      <c r="C29" s="17">
        <v>210</v>
      </c>
      <c r="D29" s="10">
        <v>7420</v>
      </c>
      <c r="E29" s="11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4"/>
      <c r="EI29" s="4"/>
      <c r="EJ29" s="4"/>
      <c r="EK29" s="4"/>
      <c r="EL29" s="4"/>
      <c r="EM29" s="4"/>
      <c r="EN29" s="4"/>
      <c r="EO29" s="4"/>
      <c r="EP29" s="4"/>
      <c r="EQ29" s="4"/>
      <c r="ER29" s="4"/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/>
      <c r="FF29" s="4"/>
      <c r="FG29" s="4"/>
      <c r="FH29" s="4"/>
      <c r="FI29" s="4"/>
      <c r="FJ29" s="4"/>
      <c r="FK29" s="4"/>
      <c r="FL29" s="4"/>
      <c r="FM29" s="4"/>
      <c r="FN29" s="4"/>
      <c r="FO29" s="4"/>
      <c r="FP29" s="4"/>
      <c r="FQ29" s="4"/>
      <c r="FR29" s="4"/>
      <c r="FS29" s="4"/>
      <c r="FT29" s="4"/>
      <c r="FU29" s="4"/>
      <c r="FV29" s="4"/>
      <c r="FW29" s="4"/>
      <c r="FX29" s="4"/>
      <c r="FY29" s="4"/>
      <c r="FZ29" s="4"/>
      <c r="GA29" s="4"/>
      <c r="GB29" s="4"/>
      <c r="GC29" s="4"/>
    </row>
    <row r="30" spans="1:185" x14ac:dyDescent="0.25">
      <c r="A30" s="7">
        <v>43587.187326388892</v>
      </c>
      <c r="B30" s="5">
        <v>-2000</v>
      </c>
      <c r="C30" s="18"/>
      <c r="D30" s="10">
        <v>5420</v>
      </c>
      <c r="E30" s="11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4"/>
      <c r="EI30" s="4"/>
      <c r="EJ30" s="4"/>
      <c r="EK30" s="4"/>
      <c r="EL30" s="4"/>
      <c r="EM30" s="4"/>
      <c r="EN30" s="4"/>
      <c r="EO30" s="4"/>
      <c r="EP30" s="4"/>
      <c r="EQ30" s="4"/>
      <c r="ER30" s="4"/>
      <c r="ES30" s="4"/>
      <c r="ET30" s="4"/>
      <c r="EU30" s="4"/>
      <c r="EV30" s="4"/>
      <c r="EW30" s="4"/>
      <c r="EX30" s="4"/>
      <c r="EY30" s="4"/>
      <c r="EZ30" s="4"/>
      <c r="FA30" s="4"/>
      <c r="FB30" s="4"/>
      <c r="FC30" s="4"/>
      <c r="FD30" s="4"/>
      <c r="FE30" s="4"/>
      <c r="FF30" s="4"/>
      <c r="FG30" s="4"/>
      <c r="FH30" s="4"/>
      <c r="FI30" s="4"/>
      <c r="FJ30" s="4"/>
      <c r="FK30" s="4"/>
      <c r="FL30" s="4"/>
      <c r="FM30" s="4"/>
      <c r="FN30" s="4"/>
      <c r="FO30" s="4"/>
      <c r="FP30" s="4"/>
      <c r="FQ30" s="4"/>
      <c r="FR30" s="4"/>
      <c r="FS30" s="4"/>
      <c r="FT30" s="4"/>
      <c r="FU30" s="4"/>
      <c r="FV30" s="4"/>
      <c r="FW30" s="4"/>
      <c r="FX30" s="4"/>
      <c r="FY30" s="4"/>
      <c r="FZ30" s="4"/>
      <c r="GA30" s="4"/>
      <c r="GB30" s="4"/>
      <c r="GC30" s="4"/>
    </row>
    <row r="31" spans="1:185" x14ac:dyDescent="0.25">
      <c r="A31" s="7">
        <v>43587.187372685185</v>
      </c>
      <c r="B31" s="5">
        <v>0</v>
      </c>
      <c r="C31" s="5"/>
      <c r="D31" s="10">
        <v>5000</v>
      </c>
      <c r="E31" s="11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4"/>
      <c r="EI31" s="4"/>
      <c r="EJ31" s="4"/>
      <c r="EK31" s="4"/>
      <c r="EL31" s="4"/>
      <c r="EM31" s="4"/>
      <c r="EN31" s="4"/>
      <c r="EO31" s="4"/>
      <c r="EP31" s="4"/>
      <c r="EQ31" s="4"/>
      <c r="ER31" s="4"/>
      <c r="ES31" s="4"/>
      <c r="ET31" s="4"/>
      <c r="EU31" s="4"/>
      <c r="EV31" s="4"/>
      <c r="EW31" s="4"/>
      <c r="EX31" s="4"/>
      <c r="EY31" s="4"/>
      <c r="EZ31" s="4"/>
      <c r="FA31" s="4"/>
      <c r="FB31" s="4"/>
      <c r="FC31" s="4"/>
      <c r="FD31" s="4"/>
      <c r="FE31" s="4"/>
      <c r="FF31" s="4"/>
      <c r="FG31" s="4"/>
      <c r="FH31" s="4"/>
      <c r="FI31" s="4"/>
      <c r="FJ31" s="4"/>
      <c r="FK31" s="4"/>
      <c r="FL31" s="4"/>
      <c r="FM31" s="4"/>
      <c r="FN31" s="4"/>
      <c r="FO31" s="4"/>
      <c r="FP31" s="4"/>
      <c r="FQ31" s="4"/>
      <c r="FR31" s="4"/>
      <c r="FS31" s="4"/>
      <c r="FT31" s="4"/>
      <c r="FU31" s="4"/>
      <c r="FV31" s="4"/>
      <c r="FW31" s="4"/>
      <c r="FX31" s="4"/>
      <c r="FY31" s="4"/>
      <c r="FZ31" s="4"/>
      <c r="GA31" s="4"/>
      <c r="GB31" s="4"/>
      <c r="GC31" s="4"/>
    </row>
    <row r="32" spans="1:185" x14ac:dyDescent="0.25">
      <c r="A32" s="7">
        <v>45708.459594907406</v>
      </c>
      <c r="B32" s="5">
        <v>20000</v>
      </c>
      <c r="C32" s="17"/>
      <c r="D32" s="10">
        <v>25000</v>
      </c>
      <c r="E32" s="11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4"/>
      <c r="EI32" s="4"/>
      <c r="EJ32" s="4"/>
      <c r="EK32" s="4"/>
      <c r="EL32" s="4"/>
      <c r="EM32" s="4"/>
      <c r="EN32" s="4"/>
      <c r="EO32" s="4"/>
      <c r="EP32" s="4"/>
      <c r="EQ32" s="4"/>
      <c r="ER32" s="4"/>
      <c r="ES32" s="4"/>
      <c r="ET32" s="4"/>
      <c r="EU32" s="4"/>
      <c r="EV32" s="4"/>
      <c r="EW32" s="4"/>
      <c r="EX32" s="4"/>
      <c r="EY32" s="4"/>
      <c r="EZ32" s="4"/>
      <c r="FA32" s="4"/>
      <c r="FB32" s="4"/>
      <c r="FC32" s="4"/>
      <c r="FD32" s="4"/>
      <c r="FE32" s="4"/>
      <c r="FF32" s="4"/>
      <c r="FG32" s="4"/>
      <c r="FH32" s="4"/>
      <c r="FI32" s="4"/>
      <c r="FJ32" s="4"/>
      <c r="FK32" s="4"/>
      <c r="FL32" s="4"/>
      <c r="FM32" s="4"/>
      <c r="FN32" s="4"/>
      <c r="FO32" s="4"/>
      <c r="FP32" s="4"/>
      <c r="FQ32" s="4"/>
      <c r="FR32" s="4"/>
      <c r="FS32" s="4"/>
      <c r="FT32" s="4"/>
      <c r="FU32" s="4"/>
      <c r="FV32" s="4"/>
      <c r="FW32" s="4"/>
      <c r="FX32" s="4"/>
      <c r="FY32" s="4"/>
      <c r="FZ32" s="4"/>
      <c r="GA32" s="4"/>
      <c r="GB32" s="4"/>
      <c r="GC32" s="4"/>
    </row>
    <row r="33" spans="1:185" x14ac:dyDescent="0.25">
      <c r="A33" s="7">
        <v>45708.45994212963</v>
      </c>
      <c r="B33" s="5">
        <v>0</v>
      </c>
      <c r="C33" s="17">
        <v>750</v>
      </c>
      <c r="D33" s="10">
        <v>26500</v>
      </c>
      <c r="E33" s="11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4"/>
      <c r="EI33" s="4"/>
      <c r="EJ33" s="4"/>
      <c r="EK33" s="4"/>
      <c r="EL33" s="4"/>
      <c r="EM33" s="4"/>
      <c r="EN33" s="4"/>
      <c r="EO33" s="4"/>
      <c r="EP33" s="4"/>
      <c r="EQ33" s="4"/>
      <c r="ER33" s="4"/>
      <c r="ES33" s="4"/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/>
      <c r="FF33" s="4"/>
      <c r="FG33" s="4"/>
      <c r="FH33" s="4"/>
      <c r="FI33" s="4"/>
      <c r="FJ33" s="4"/>
      <c r="FK33" s="4"/>
      <c r="FL33" s="4"/>
      <c r="FM33" s="4"/>
      <c r="FN33" s="4"/>
      <c r="FO33" s="4"/>
      <c r="FP33" s="4"/>
      <c r="FQ33" s="4"/>
      <c r="FR33" s="4"/>
      <c r="FS33" s="4"/>
      <c r="FT33" s="4"/>
      <c r="FU33" s="4"/>
      <c r="FV33" s="4"/>
      <c r="FW33" s="4"/>
      <c r="FX33" s="4"/>
      <c r="FY33" s="4"/>
      <c r="FZ33" s="4"/>
      <c r="GA33" s="4"/>
      <c r="GB33" s="4"/>
      <c r="GC33" s="4"/>
    </row>
    <row r="34" spans="1:185" x14ac:dyDescent="0.25">
      <c r="A34" s="7">
        <v>45708.459988425922</v>
      </c>
      <c r="B34" s="5">
        <v>0</v>
      </c>
      <c r="C34" s="17">
        <v>750</v>
      </c>
      <c r="D34" s="10">
        <v>28000</v>
      </c>
      <c r="E34" s="11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4"/>
      <c r="EI34" s="4"/>
      <c r="EJ34" s="4"/>
      <c r="EK34" s="4"/>
      <c r="EL34" s="4"/>
      <c r="EM34" s="4"/>
      <c r="EN34" s="4"/>
      <c r="EO34" s="4"/>
      <c r="EP34" s="4"/>
      <c r="EQ34" s="4"/>
      <c r="ER34" s="4"/>
      <c r="ES34" s="4"/>
      <c r="ET34" s="4"/>
      <c r="EU34" s="4"/>
      <c r="EV34" s="4"/>
      <c r="EW34" s="4"/>
      <c r="EX34" s="4"/>
      <c r="EY34" s="4"/>
      <c r="EZ34" s="4"/>
      <c r="FA34" s="4"/>
      <c r="FB34" s="4"/>
      <c r="FC34" s="4"/>
      <c r="FD34" s="4"/>
      <c r="FE34" s="4"/>
      <c r="FF34" s="4"/>
      <c r="FG34" s="4"/>
      <c r="FH34" s="4"/>
      <c r="FI34" s="4"/>
      <c r="FJ34" s="4"/>
      <c r="FK34" s="4"/>
      <c r="FL34" s="4"/>
      <c r="FM34" s="4"/>
      <c r="FN34" s="4"/>
      <c r="FO34" s="4"/>
      <c r="FP34" s="4"/>
      <c r="FQ34" s="4"/>
      <c r="FR34" s="4"/>
      <c r="FS34" s="4"/>
      <c r="FT34" s="4"/>
      <c r="FU34" s="4"/>
      <c r="FV34" s="4"/>
      <c r="FW34" s="4"/>
      <c r="FX34" s="4"/>
      <c r="FY34" s="4"/>
      <c r="FZ34" s="4"/>
      <c r="GA34" s="4"/>
      <c r="GB34" s="4"/>
      <c r="GC34" s="4"/>
    </row>
    <row r="35" spans="1:185" x14ac:dyDescent="0.25">
      <c r="A35" s="7">
        <v>45708.460011574076</v>
      </c>
      <c r="B35" s="5">
        <v>0</v>
      </c>
      <c r="C35" s="18">
        <v>750</v>
      </c>
      <c r="D35" s="10">
        <v>29500</v>
      </c>
      <c r="E35" s="11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4"/>
      <c r="EI35" s="4"/>
      <c r="EJ35" s="4"/>
      <c r="EK35" s="4"/>
      <c r="EL35" s="4"/>
      <c r="EM35" s="4"/>
      <c r="EN35" s="4"/>
      <c r="EO35" s="4"/>
      <c r="EP35" s="4"/>
      <c r="EQ35" s="4"/>
      <c r="ER35" s="4"/>
      <c r="ES35" s="4"/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/>
      <c r="FF35" s="4"/>
      <c r="FG35" s="4"/>
      <c r="FH35" s="4"/>
      <c r="FI35" s="4"/>
      <c r="FJ35" s="4"/>
      <c r="FK35" s="4"/>
      <c r="FL35" s="4"/>
      <c r="FM35" s="4"/>
      <c r="FN35" s="4"/>
      <c r="FO35" s="4"/>
      <c r="FP35" s="4"/>
      <c r="FQ35" s="4"/>
      <c r="FR35" s="4"/>
      <c r="FS35" s="4"/>
      <c r="FT35" s="4"/>
      <c r="FU35" s="4"/>
      <c r="FV35" s="4"/>
      <c r="FW35" s="4"/>
      <c r="FX35" s="4"/>
      <c r="FY35" s="4"/>
      <c r="FZ35" s="4"/>
      <c r="GA35" s="4"/>
      <c r="GB35" s="4"/>
      <c r="GC35" s="4"/>
    </row>
    <row r="36" spans="1:185" x14ac:dyDescent="0.25">
      <c r="A36" s="7">
        <v>45708.460104166668</v>
      </c>
      <c r="B36" s="5">
        <v>0</v>
      </c>
      <c r="C36" s="5">
        <v>1200</v>
      </c>
      <c r="D36" s="10">
        <v>25000</v>
      </c>
      <c r="E36" s="11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4"/>
      <c r="EI36" s="4"/>
      <c r="EJ36" s="4"/>
      <c r="EK36" s="4"/>
      <c r="EL36" s="4"/>
      <c r="EM36" s="4"/>
      <c r="EN36" s="4"/>
      <c r="EO36" s="4"/>
      <c r="EP36" s="4"/>
      <c r="EQ36" s="4"/>
      <c r="ER36" s="4"/>
      <c r="ES36" s="4"/>
      <c r="ET36" s="4"/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/>
      <c r="FJ36" s="4"/>
      <c r="FK36" s="4"/>
      <c r="FL36" s="4"/>
      <c r="FM36" s="4"/>
      <c r="FN36" s="4"/>
      <c r="FO36" s="4"/>
      <c r="FP36" s="4"/>
      <c r="FQ36" s="4"/>
      <c r="FR36" s="4"/>
      <c r="FS36" s="4"/>
      <c r="FT36" s="4"/>
      <c r="FU36" s="4"/>
      <c r="FV36" s="4"/>
      <c r="FW36" s="4"/>
      <c r="FX36" s="4"/>
      <c r="FY36" s="4"/>
      <c r="FZ36" s="4"/>
      <c r="GA36" s="4"/>
      <c r="GB36" s="4"/>
      <c r="GC36" s="4"/>
    </row>
    <row r="37" spans="1:185" x14ac:dyDescent="0.25">
      <c r="A37" s="7"/>
      <c r="B37" s="5"/>
      <c r="C37" s="5"/>
      <c r="D37" s="10"/>
      <c r="E37" s="11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4"/>
      <c r="EI37" s="4"/>
      <c r="EJ37" s="4"/>
      <c r="EK37" s="4"/>
      <c r="EL37" s="4"/>
      <c r="EM37" s="4"/>
      <c r="EN37" s="4"/>
      <c r="EO37" s="4"/>
      <c r="EP37" s="4"/>
      <c r="EQ37" s="4"/>
      <c r="ER37" s="4"/>
      <c r="ES37" s="4"/>
      <c r="ET37" s="4"/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/>
      <c r="FJ37" s="4"/>
      <c r="FK37" s="4"/>
      <c r="FL37" s="4"/>
      <c r="FM37" s="4"/>
      <c r="FN37" s="4"/>
      <c r="FO37" s="4"/>
      <c r="FP37" s="4"/>
      <c r="FQ37" s="4"/>
      <c r="FR37" s="4"/>
      <c r="FS37" s="4"/>
      <c r="FT37" s="4"/>
      <c r="FU37" s="4"/>
      <c r="FV37" s="4"/>
      <c r="FW37" s="4"/>
      <c r="FX37" s="4"/>
      <c r="FY37" s="4"/>
      <c r="FZ37" s="4"/>
      <c r="GA37" s="4"/>
      <c r="GB37" s="4"/>
      <c r="GC37" s="4"/>
    </row>
    <row r="38" spans="1:185" x14ac:dyDescent="0.25">
      <c r="A38" s="7"/>
      <c r="B38" s="5"/>
      <c r="C38" s="5"/>
      <c r="D38" s="10"/>
      <c r="E38" s="11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4"/>
      <c r="EI38" s="4"/>
      <c r="EJ38" s="4"/>
      <c r="EK38" s="4"/>
      <c r="EL38" s="4"/>
      <c r="EM38" s="4"/>
      <c r="EN38" s="4"/>
      <c r="EO38" s="4"/>
      <c r="EP38" s="4"/>
      <c r="EQ38" s="4"/>
      <c r="ER38" s="4"/>
      <c r="ES38" s="4"/>
      <c r="ET38" s="4"/>
      <c r="EU38" s="4"/>
      <c r="EV38" s="4"/>
      <c r="EW38" s="4"/>
      <c r="EX38" s="4"/>
      <c r="EY38" s="4"/>
      <c r="EZ38" s="4"/>
      <c r="FA38" s="4"/>
      <c r="FB38" s="4"/>
      <c r="FC38" s="4"/>
      <c r="FD38" s="4"/>
      <c r="FE38" s="4"/>
      <c r="FF38" s="4"/>
      <c r="FG38" s="4"/>
      <c r="FH38" s="4"/>
      <c r="FI38" s="4"/>
      <c r="FJ38" s="4"/>
      <c r="FK38" s="4"/>
      <c r="FL38" s="4"/>
      <c r="FM38" s="4"/>
      <c r="FN38" s="4"/>
      <c r="FO38" s="4"/>
      <c r="FP38" s="4"/>
      <c r="FQ38" s="4"/>
      <c r="FR38" s="4"/>
      <c r="FS38" s="4"/>
      <c r="FT38" s="4"/>
      <c r="FU38" s="4"/>
      <c r="FV38" s="4"/>
      <c r="FW38" s="4"/>
      <c r="FX38" s="4"/>
      <c r="FY38" s="4"/>
      <c r="FZ38" s="4"/>
      <c r="GA38" s="4"/>
      <c r="GB38" s="4"/>
      <c r="GC38" s="4"/>
    </row>
    <row r="39" spans="1:185" x14ac:dyDescent="0.25">
      <c r="A39" s="7"/>
      <c r="B39" s="5"/>
      <c r="C39" s="5"/>
      <c r="D39" s="10"/>
      <c r="E39" s="11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4"/>
      <c r="EI39" s="4"/>
      <c r="EJ39" s="4"/>
      <c r="EK39" s="4"/>
      <c r="EL39" s="4"/>
      <c r="EM39" s="4"/>
      <c r="EN39" s="4"/>
      <c r="EO39" s="4"/>
      <c r="EP39" s="4"/>
      <c r="EQ39" s="4"/>
      <c r="ER39" s="4"/>
      <c r="ES39" s="4"/>
      <c r="ET39" s="4"/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/>
      <c r="FJ39" s="4"/>
      <c r="FK39" s="4"/>
      <c r="FL39" s="4"/>
      <c r="FM39" s="4"/>
      <c r="FN39" s="4"/>
      <c r="FO39" s="4"/>
      <c r="FP39" s="4"/>
      <c r="FQ39" s="4"/>
      <c r="FR39" s="4"/>
      <c r="FS39" s="4"/>
      <c r="FT39" s="4"/>
      <c r="FU39" s="4"/>
      <c r="FV39" s="4"/>
      <c r="FW39" s="4"/>
      <c r="FX39" s="4"/>
      <c r="FY39" s="4"/>
      <c r="FZ39" s="4"/>
      <c r="GA39" s="4"/>
      <c r="GB39" s="4"/>
      <c r="GC39" s="4"/>
    </row>
    <row r="40" spans="1:185" x14ac:dyDescent="0.25">
      <c r="A40" s="7"/>
      <c r="B40" s="5"/>
      <c r="C40" s="5"/>
      <c r="D40" s="10"/>
      <c r="E40" s="11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4"/>
      <c r="EI40" s="4"/>
      <c r="EJ40" s="4"/>
      <c r="EK40" s="4"/>
      <c r="EL40" s="4"/>
      <c r="EM40" s="4"/>
      <c r="EN40" s="4"/>
      <c r="EO40" s="4"/>
      <c r="EP40" s="4"/>
      <c r="EQ40" s="4"/>
      <c r="ER40" s="4"/>
      <c r="ES40" s="4"/>
      <c r="ET40" s="4"/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/>
      <c r="FJ40" s="4"/>
      <c r="FK40" s="4"/>
      <c r="FL40" s="4"/>
      <c r="FM40" s="4"/>
      <c r="FN40" s="4"/>
      <c r="FO40" s="4"/>
      <c r="FP40" s="4"/>
      <c r="FQ40" s="4"/>
      <c r="FR40" s="4"/>
      <c r="FS40" s="4"/>
      <c r="FT40" s="4"/>
      <c r="FU40" s="4"/>
      <c r="FV40" s="4"/>
      <c r="FW40" s="4"/>
      <c r="FX40" s="4"/>
      <c r="FY40" s="4"/>
      <c r="FZ40" s="4"/>
      <c r="GA40" s="4"/>
      <c r="GB40" s="4"/>
      <c r="GC40" s="4"/>
    </row>
    <row r="41" spans="1:185" x14ac:dyDescent="0.25">
      <c r="A41" s="7"/>
      <c r="B41" s="5"/>
      <c r="C41" s="5"/>
      <c r="D41" s="10"/>
      <c r="E41" s="11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4"/>
      <c r="EI41" s="4"/>
      <c r="EJ41" s="4"/>
      <c r="EK41" s="4"/>
      <c r="EL41" s="4"/>
      <c r="EM41" s="4"/>
      <c r="EN41" s="4"/>
      <c r="EO41" s="4"/>
      <c r="EP41" s="4"/>
      <c r="EQ41" s="4"/>
      <c r="ER41" s="4"/>
      <c r="ES41" s="4"/>
      <c r="ET41" s="4"/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/>
      <c r="FJ41" s="4"/>
      <c r="FK41" s="4"/>
      <c r="FL41" s="4"/>
      <c r="FM41" s="4"/>
      <c r="FN41" s="4"/>
      <c r="FO41" s="4"/>
      <c r="FP41" s="4"/>
      <c r="FQ41" s="4"/>
      <c r="FR41" s="4"/>
      <c r="FS41" s="4"/>
      <c r="FT41" s="4"/>
      <c r="FU41" s="4"/>
      <c r="FV41" s="4"/>
      <c r="FW41" s="4"/>
      <c r="FX41" s="4"/>
      <c r="FY41" s="4"/>
      <c r="FZ41" s="4"/>
      <c r="GA41" s="4"/>
      <c r="GB41" s="4"/>
      <c r="GC41" s="4"/>
    </row>
    <row r="42" spans="1:185" x14ac:dyDescent="0.25">
      <c r="A42" s="7"/>
      <c r="B42" s="5"/>
      <c r="C42" s="5"/>
      <c r="D42" s="10"/>
      <c r="E42" s="11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4"/>
      <c r="EI42" s="4"/>
      <c r="EJ42" s="4"/>
      <c r="EK42" s="4"/>
      <c r="EL42" s="4"/>
      <c r="EM42" s="4"/>
      <c r="EN42" s="4"/>
      <c r="EO42" s="4"/>
      <c r="EP42" s="4"/>
      <c r="EQ42" s="4"/>
      <c r="ER42" s="4"/>
      <c r="ES42" s="4"/>
      <c r="ET42" s="4"/>
      <c r="EU42" s="4"/>
      <c r="EV42" s="4"/>
      <c r="EW42" s="4"/>
      <c r="EX42" s="4"/>
      <c r="EY42" s="4"/>
      <c r="EZ42" s="4"/>
      <c r="FA42" s="4"/>
      <c r="FB42" s="4"/>
      <c r="FC42" s="4"/>
      <c r="FD42" s="4"/>
      <c r="FE42" s="4"/>
      <c r="FF42" s="4"/>
      <c r="FG42" s="4"/>
      <c r="FH42" s="4"/>
      <c r="FI42" s="4"/>
      <c r="FJ42" s="4"/>
      <c r="FK42" s="4"/>
      <c r="FL42" s="4"/>
      <c r="FM42" s="4"/>
      <c r="FN42" s="4"/>
      <c r="FO42" s="4"/>
      <c r="FP42" s="4"/>
      <c r="FQ42" s="4"/>
      <c r="FR42" s="4"/>
      <c r="FS42" s="4"/>
      <c r="FT42" s="4"/>
      <c r="FU42" s="4"/>
      <c r="FV42" s="4"/>
      <c r="FW42" s="4"/>
      <c r="FX42" s="4"/>
      <c r="FY42" s="4"/>
      <c r="FZ42" s="4"/>
      <c r="GA42" s="4"/>
      <c r="GB42" s="4"/>
      <c r="GC42" s="4"/>
    </row>
    <row r="43" spans="1:185" x14ac:dyDescent="0.25">
      <c r="A43" s="7"/>
      <c r="B43" s="5"/>
      <c r="C43" s="5"/>
      <c r="D43" s="10"/>
      <c r="E43" s="11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4"/>
      <c r="EI43" s="4"/>
      <c r="EJ43" s="4"/>
      <c r="EK43" s="4"/>
      <c r="EL43" s="4"/>
      <c r="EM43" s="4"/>
      <c r="EN43" s="4"/>
      <c r="EO43" s="4"/>
      <c r="EP43" s="4"/>
      <c r="EQ43" s="4"/>
      <c r="ER43" s="4"/>
      <c r="ES43" s="4"/>
      <c r="ET43" s="4"/>
      <c r="EU43" s="4"/>
      <c r="EV43" s="4"/>
      <c r="EW43" s="4"/>
      <c r="EX43" s="4"/>
      <c r="EY43" s="4"/>
      <c r="EZ43" s="4"/>
      <c r="FA43" s="4"/>
      <c r="FB43" s="4"/>
      <c r="FC43" s="4"/>
      <c r="FD43" s="4"/>
      <c r="FE43" s="4"/>
      <c r="FF43" s="4"/>
      <c r="FG43" s="4"/>
      <c r="FH43" s="4"/>
      <c r="FI43" s="4"/>
      <c r="FJ43" s="4"/>
      <c r="FK43" s="4"/>
      <c r="FL43" s="4"/>
      <c r="FM43" s="4"/>
      <c r="FN43" s="4"/>
      <c r="FO43" s="4"/>
      <c r="FP43" s="4"/>
      <c r="FQ43" s="4"/>
      <c r="FR43" s="4"/>
      <c r="FS43" s="4"/>
      <c r="FT43" s="4"/>
      <c r="FU43" s="4"/>
      <c r="FV43" s="4"/>
      <c r="FW43" s="4"/>
      <c r="FX43" s="4"/>
      <c r="FY43" s="4"/>
      <c r="FZ43" s="4"/>
      <c r="GA43" s="4"/>
      <c r="GB43" s="4"/>
      <c r="GC43" s="4"/>
    </row>
    <row r="44" spans="1:185" x14ac:dyDescent="0.25">
      <c r="A44" s="7"/>
      <c r="B44" s="5"/>
      <c r="C44" s="5"/>
      <c r="D44" s="10"/>
      <c r="E44" s="11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4"/>
      <c r="EI44" s="4"/>
      <c r="EJ44" s="4"/>
      <c r="EK44" s="4"/>
      <c r="EL44" s="4"/>
      <c r="EM44" s="4"/>
      <c r="EN44" s="4"/>
      <c r="EO44" s="4"/>
      <c r="EP44" s="4"/>
      <c r="EQ44" s="4"/>
      <c r="ER44" s="4"/>
      <c r="ES44" s="4"/>
      <c r="ET44" s="4"/>
      <c r="EU44" s="4"/>
      <c r="EV44" s="4"/>
      <c r="EW44" s="4"/>
      <c r="EX44" s="4"/>
      <c r="EY44" s="4"/>
      <c r="EZ44" s="4"/>
      <c r="FA44" s="4"/>
      <c r="FB44" s="4"/>
      <c r="FC44" s="4"/>
      <c r="FD44" s="4"/>
      <c r="FE44" s="4"/>
      <c r="FF44" s="4"/>
      <c r="FG44" s="4"/>
      <c r="FH44" s="4"/>
      <c r="FI44" s="4"/>
      <c r="FJ44" s="4"/>
      <c r="FK44" s="4"/>
      <c r="FL44" s="4"/>
      <c r="FM44" s="4"/>
      <c r="FN44" s="4"/>
      <c r="FO44" s="4"/>
      <c r="FP44" s="4"/>
      <c r="FQ44" s="4"/>
      <c r="FR44" s="4"/>
      <c r="FS44" s="4"/>
      <c r="FT44" s="4"/>
      <c r="FU44" s="4"/>
      <c r="FV44" s="4"/>
      <c r="FW44" s="4"/>
      <c r="FX44" s="4"/>
      <c r="FY44" s="4"/>
      <c r="FZ44" s="4"/>
      <c r="GA44" s="4"/>
      <c r="GB44" s="4"/>
      <c r="GC44" s="4"/>
    </row>
    <row r="45" spans="1:185" x14ac:dyDescent="0.25">
      <c r="A45" s="7"/>
      <c r="B45" s="5"/>
      <c r="C45" s="5"/>
      <c r="D45" s="10"/>
      <c r="E45" s="11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4"/>
      <c r="EI45" s="4"/>
      <c r="EJ45" s="4"/>
      <c r="EK45" s="4"/>
      <c r="EL45" s="4"/>
      <c r="EM45" s="4"/>
      <c r="EN45" s="4"/>
      <c r="EO45" s="4"/>
      <c r="EP45" s="4"/>
      <c r="EQ45" s="4"/>
      <c r="ER45" s="4"/>
      <c r="ES45" s="4"/>
      <c r="ET45" s="4"/>
      <c r="EU45" s="4"/>
      <c r="EV45" s="4"/>
      <c r="EW45" s="4"/>
      <c r="EX45" s="4"/>
      <c r="EY45" s="4"/>
      <c r="EZ45" s="4"/>
      <c r="FA45" s="4"/>
      <c r="FB45" s="4"/>
      <c r="FC45" s="4"/>
      <c r="FD45" s="4"/>
      <c r="FE45" s="4"/>
      <c r="FF45" s="4"/>
      <c r="FG45" s="4"/>
      <c r="FH45" s="4"/>
      <c r="FI45" s="4"/>
      <c r="FJ45" s="4"/>
      <c r="FK45" s="4"/>
      <c r="FL45" s="4"/>
      <c r="FM45" s="4"/>
      <c r="FN45" s="4"/>
      <c r="FO45" s="4"/>
      <c r="FP45" s="4"/>
      <c r="FQ45" s="4"/>
      <c r="FR45" s="4"/>
      <c r="FS45" s="4"/>
      <c r="FT45" s="4"/>
      <c r="FU45" s="4"/>
      <c r="FV45" s="4"/>
      <c r="FW45" s="4"/>
      <c r="FX45" s="4"/>
      <c r="FY45" s="4"/>
      <c r="FZ45" s="4"/>
      <c r="GA45" s="4"/>
      <c r="GB45" s="4"/>
      <c r="GC45" s="4"/>
    </row>
    <row r="46" spans="1:185" x14ac:dyDescent="0.25">
      <c r="A46" s="7"/>
      <c r="B46" s="5"/>
      <c r="C46" s="5"/>
      <c r="D46" s="10"/>
      <c r="E46" s="11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4"/>
      <c r="EI46" s="4"/>
      <c r="EJ46" s="4"/>
      <c r="EK46" s="4"/>
      <c r="EL46" s="4"/>
      <c r="EM46" s="4"/>
      <c r="EN46" s="4"/>
      <c r="EO46" s="4"/>
      <c r="EP46" s="4"/>
      <c r="EQ46" s="4"/>
      <c r="ER46" s="4"/>
      <c r="ES46" s="4"/>
      <c r="ET46" s="4"/>
      <c r="EU46" s="4"/>
      <c r="EV46" s="4"/>
      <c r="EW46" s="4"/>
      <c r="EX46" s="4"/>
      <c r="EY46" s="4"/>
      <c r="EZ46" s="4"/>
      <c r="FA46" s="4"/>
      <c r="FB46" s="4"/>
      <c r="FC46" s="4"/>
      <c r="FD46" s="4"/>
      <c r="FE46" s="4"/>
      <c r="FF46" s="4"/>
      <c r="FG46" s="4"/>
      <c r="FH46" s="4"/>
      <c r="FI46" s="4"/>
      <c r="FJ46" s="4"/>
      <c r="FK46" s="4"/>
      <c r="FL46" s="4"/>
      <c r="FM46" s="4"/>
      <c r="FN46" s="4"/>
      <c r="FO46" s="4"/>
      <c r="FP46" s="4"/>
      <c r="FQ46" s="4"/>
      <c r="FR46" s="4"/>
      <c r="FS46" s="4"/>
      <c r="FT46" s="4"/>
      <c r="FU46" s="4"/>
      <c r="FV46" s="4"/>
      <c r="FW46" s="4"/>
      <c r="FX46" s="4"/>
      <c r="FY46" s="4"/>
      <c r="FZ46" s="4"/>
      <c r="GA46" s="4"/>
      <c r="GB46" s="4"/>
      <c r="GC46" s="4"/>
    </row>
    <row r="47" spans="1:185" x14ac:dyDescent="0.25">
      <c r="A47" s="7"/>
      <c r="B47" s="5"/>
      <c r="C47" s="5"/>
      <c r="D47" s="10"/>
      <c r="E47" s="11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4"/>
      <c r="EI47" s="4"/>
      <c r="EJ47" s="4"/>
      <c r="EK47" s="4"/>
      <c r="EL47" s="4"/>
      <c r="EM47" s="4"/>
      <c r="EN47" s="4"/>
      <c r="EO47" s="4"/>
      <c r="EP47" s="4"/>
      <c r="EQ47" s="4"/>
      <c r="ER47" s="4"/>
      <c r="ES47" s="4"/>
      <c r="ET47" s="4"/>
      <c r="EU47" s="4"/>
      <c r="EV47" s="4"/>
      <c r="EW47" s="4"/>
      <c r="EX47" s="4"/>
      <c r="EY47" s="4"/>
      <c r="EZ47" s="4"/>
      <c r="FA47" s="4"/>
      <c r="FB47" s="4"/>
      <c r="FC47" s="4"/>
      <c r="FD47" s="4"/>
      <c r="FE47" s="4"/>
      <c r="FF47" s="4"/>
      <c r="FG47" s="4"/>
      <c r="FH47" s="4"/>
      <c r="FI47" s="4"/>
      <c r="FJ47" s="4"/>
      <c r="FK47" s="4"/>
      <c r="FL47" s="4"/>
      <c r="FM47" s="4"/>
      <c r="FN47" s="4"/>
      <c r="FO47" s="4"/>
      <c r="FP47" s="4"/>
      <c r="FQ47" s="4"/>
      <c r="FR47" s="4"/>
      <c r="FS47" s="4"/>
      <c r="FT47" s="4"/>
      <c r="FU47" s="4"/>
      <c r="FV47" s="4"/>
      <c r="FW47" s="4"/>
      <c r="FX47" s="4"/>
      <c r="FY47" s="4"/>
      <c r="FZ47" s="4"/>
      <c r="GA47" s="4"/>
      <c r="GB47" s="4"/>
      <c r="GC47" s="4"/>
    </row>
    <row r="48" spans="1:185" x14ac:dyDescent="0.25">
      <c r="A48" s="7"/>
      <c r="B48" s="5"/>
      <c r="C48" s="5"/>
      <c r="D48" s="10"/>
      <c r="E48" s="11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4"/>
      <c r="EI48" s="4"/>
      <c r="EJ48" s="4"/>
      <c r="EK48" s="4"/>
      <c r="EL48" s="4"/>
      <c r="EM48" s="4"/>
      <c r="EN48" s="4"/>
      <c r="EO48" s="4"/>
      <c r="EP48" s="4"/>
      <c r="EQ48" s="4"/>
      <c r="ER48" s="4"/>
      <c r="ES48" s="4"/>
      <c r="ET48" s="4"/>
      <c r="EU48" s="4"/>
      <c r="EV48" s="4"/>
      <c r="EW48" s="4"/>
      <c r="EX48" s="4"/>
      <c r="EY48" s="4"/>
      <c r="EZ48" s="4"/>
      <c r="FA48" s="4"/>
      <c r="FB48" s="4"/>
      <c r="FC48" s="4"/>
      <c r="FD48" s="4"/>
      <c r="FE48" s="4"/>
      <c r="FF48" s="4"/>
      <c r="FG48" s="4"/>
      <c r="FH48" s="4"/>
      <c r="FI48" s="4"/>
      <c r="FJ48" s="4"/>
      <c r="FK48" s="4"/>
      <c r="FL48" s="4"/>
      <c r="FM48" s="4"/>
      <c r="FN48" s="4"/>
      <c r="FO48" s="4"/>
      <c r="FP48" s="4"/>
      <c r="FQ48" s="4"/>
      <c r="FR48" s="4"/>
      <c r="FS48" s="4"/>
      <c r="FT48" s="4"/>
      <c r="FU48" s="4"/>
      <c r="FV48" s="4"/>
      <c r="FW48" s="4"/>
      <c r="FX48" s="4"/>
      <c r="FY48" s="4"/>
      <c r="FZ48" s="4"/>
      <c r="GA48" s="4"/>
      <c r="GB48" s="4"/>
      <c r="GC48" s="4"/>
    </row>
    <row r="49" spans="1:213" x14ac:dyDescent="0.25">
      <c r="A49" s="7"/>
      <c r="B49" s="5"/>
      <c r="C49" s="5"/>
      <c r="D49" s="10"/>
      <c r="E49" s="11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4"/>
      <c r="EI49" s="4"/>
      <c r="EJ49" s="4"/>
      <c r="EK49" s="4"/>
      <c r="EL49" s="4"/>
      <c r="EM49" s="4"/>
      <c r="EN49" s="4"/>
      <c r="EO49" s="4"/>
      <c r="EP49" s="4"/>
      <c r="EQ49" s="4"/>
      <c r="ER49" s="4"/>
      <c r="ES49" s="4"/>
      <c r="ET49" s="4"/>
      <c r="EU49" s="4"/>
      <c r="EV49" s="4"/>
      <c r="EW49" s="4"/>
      <c r="EX49" s="4"/>
      <c r="EY49" s="4"/>
      <c r="EZ49" s="4"/>
      <c r="FA49" s="4"/>
      <c r="FB49" s="4"/>
      <c r="FC49" s="4"/>
      <c r="FD49" s="4"/>
      <c r="FE49" s="4"/>
      <c r="FF49" s="4"/>
      <c r="FG49" s="4"/>
      <c r="FH49" s="4"/>
      <c r="FI49" s="4"/>
      <c r="FJ49" s="4"/>
      <c r="FK49" s="4"/>
      <c r="FL49" s="4"/>
      <c r="FM49" s="4"/>
      <c r="FN49" s="4"/>
      <c r="FO49" s="4"/>
      <c r="FP49" s="4"/>
      <c r="FQ49" s="4"/>
      <c r="FR49" s="4"/>
      <c r="FS49" s="4"/>
      <c r="FT49" s="4"/>
      <c r="FU49" s="4"/>
      <c r="FV49" s="4"/>
      <c r="FW49" s="4"/>
      <c r="FX49" s="4"/>
      <c r="FY49" s="4"/>
      <c r="FZ49" s="4"/>
      <c r="GA49" s="4"/>
      <c r="GB49" s="4"/>
      <c r="GC49" s="4"/>
    </row>
    <row r="50" spans="1:213" x14ac:dyDescent="0.25">
      <c r="A50" s="7"/>
      <c r="B50" s="5"/>
      <c r="C50" s="5"/>
      <c r="D50" s="10"/>
      <c r="E50" s="11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</row>
    <row r="51" spans="1:213" x14ac:dyDescent="0.25">
      <c r="A51" s="7"/>
      <c r="B51" s="5"/>
      <c r="C51" s="5"/>
      <c r="D51" s="10"/>
      <c r="E51" s="11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  <c r="FC51" s="4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/>
      <c r="FX51" s="4"/>
      <c r="FY51" s="4"/>
      <c r="FZ51" s="4"/>
      <c r="GA51" s="4"/>
      <c r="GB51" s="4"/>
      <c r="GC51" s="4"/>
    </row>
    <row r="52" spans="1:213" x14ac:dyDescent="0.25">
      <c r="A52" s="98">
        <v>1</v>
      </c>
      <c r="B52" s="5">
        <v>2</v>
      </c>
      <c r="C52" s="5">
        <v>3</v>
      </c>
      <c r="D52" s="5">
        <v>4</v>
      </c>
      <c r="E52" s="98">
        <v>5</v>
      </c>
      <c r="F52" s="5">
        <v>6</v>
      </c>
      <c r="G52" s="5">
        <v>7</v>
      </c>
      <c r="H52" s="5">
        <v>8</v>
      </c>
      <c r="I52" s="98">
        <v>9</v>
      </c>
      <c r="J52" s="5">
        <v>10</v>
      </c>
      <c r="K52" s="5">
        <v>11</v>
      </c>
      <c r="L52" s="5">
        <v>12</v>
      </c>
      <c r="M52" s="98">
        <v>13</v>
      </c>
      <c r="N52" s="5">
        <v>14</v>
      </c>
      <c r="O52" s="5">
        <v>15</v>
      </c>
      <c r="P52" s="5">
        <v>16</v>
      </c>
      <c r="Q52" s="98">
        <v>17</v>
      </c>
      <c r="R52" s="5">
        <v>18</v>
      </c>
      <c r="S52" s="5">
        <v>19</v>
      </c>
      <c r="T52" s="5">
        <v>20</v>
      </c>
      <c r="U52" s="98">
        <v>21</v>
      </c>
      <c r="V52" s="5">
        <v>22</v>
      </c>
      <c r="W52" s="5">
        <v>23</v>
      </c>
      <c r="X52" s="5">
        <v>24</v>
      </c>
      <c r="Y52" s="98">
        <v>25</v>
      </c>
      <c r="Z52" s="5">
        <v>26</v>
      </c>
      <c r="AA52" s="5">
        <v>27</v>
      </c>
      <c r="AB52" s="5">
        <v>28</v>
      </c>
      <c r="AC52" s="98">
        <v>29</v>
      </c>
      <c r="AD52" s="4">
        <v>30</v>
      </c>
      <c r="AE52" s="5">
        <v>31</v>
      </c>
      <c r="AF52" s="5">
        <v>32</v>
      </c>
      <c r="AG52" s="98">
        <v>33</v>
      </c>
      <c r="AH52" s="97">
        <v>34</v>
      </c>
      <c r="AI52" s="4">
        <v>35</v>
      </c>
      <c r="AJ52" s="5">
        <v>36</v>
      </c>
      <c r="AK52" s="98">
        <v>37</v>
      </c>
      <c r="AL52" s="5">
        <v>38</v>
      </c>
      <c r="AM52" s="97">
        <v>39</v>
      </c>
      <c r="AN52" s="4">
        <v>40</v>
      </c>
      <c r="AO52" s="98">
        <v>41</v>
      </c>
      <c r="AP52" s="5">
        <v>42</v>
      </c>
      <c r="AQ52" s="5">
        <v>43</v>
      </c>
      <c r="AR52" s="97">
        <v>44</v>
      </c>
      <c r="AS52" s="98">
        <v>45</v>
      </c>
      <c r="AT52" s="5">
        <v>46</v>
      </c>
      <c r="AU52" s="5">
        <v>47</v>
      </c>
      <c r="AV52" s="5">
        <v>48</v>
      </c>
      <c r="AW52" s="98">
        <v>49</v>
      </c>
      <c r="AX52" s="4">
        <v>50</v>
      </c>
      <c r="AY52" s="5">
        <v>51</v>
      </c>
      <c r="AZ52" s="5">
        <v>52</v>
      </c>
      <c r="BA52" s="98">
        <v>53</v>
      </c>
      <c r="BB52" s="97">
        <v>54</v>
      </c>
      <c r="BC52" s="4">
        <v>55</v>
      </c>
      <c r="BD52" s="5">
        <v>56</v>
      </c>
      <c r="BE52" s="98">
        <v>57</v>
      </c>
      <c r="BF52" s="5">
        <v>58</v>
      </c>
      <c r="BG52" s="97">
        <v>59</v>
      </c>
      <c r="BH52" s="4">
        <v>60</v>
      </c>
      <c r="BI52" s="98">
        <v>61</v>
      </c>
      <c r="BJ52" s="5">
        <v>62</v>
      </c>
      <c r="BK52" s="5">
        <v>63</v>
      </c>
      <c r="BL52" s="97">
        <v>64</v>
      </c>
      <c r="BM52" s="98">
        <v>65</v>
      </c>
      <c r="BN52" s="5">
        <v>66</v>
      </c>
      <c r="BO52" s="5">
        <v>67</v>
      </c>
      <c r="BP52" s="5">
        <v>68</v>
      </c>
      <c r="BQ52" s="98">
        <v>69</v>
      </c>
      <c r="BR52" s="4">
        <v>70</v>
      </c>
      <c r="BS52" s="5">
        <v>71</v>
      </c>
      <c r="BT52" s="5">
        <v>72</v>
      </c>
      <c r="BU52" s="98">
        <v>73</v>
      </c>
      <c r="BV52" s="97">
        <v>74</v>
      </c>
      <c r="BW52" s="4">
        <v>75</v>
      </c>
      <c r="BX52" s="5">
        <v>76</v>
      </c>
      <c r="BY52" s="98">
        <v>77</v>
      </c>
      <c r="BZ52" s="5">
        <v>78</v>
      </c>
      <c r="CA52" s="97">
        <v>79</v>
      </c>
      <c r="CB52" s="4">
        <v>80</v>
      </c>
      <c r="CC52" s="98">
        <v>81</v>
      </c>
      <c r="CD52" s="5">
        <v>82</v>
      </c>
      <c r="CE52" s="5">
        <v>83</v>
      </c>
      <c r="CF52" s="97">
        <v>84</v>
      </c>
      <c r="CG52" s="98">
        <v>85</v>
      </c>
      <c r="CH52" s="5">
        <v>86</v>
      </c>
      <c r="CI52" s="5">
        <v>87</v>
      </c>
      <c r="CJ52" s="5">
        <v>88</v>
      </c>
      <c r="CK52" s="98">
        <v>89</v>
      </c>
      <c r="CL52" s="4">
        <v>90</v>
      </c>
      <c r="CM52" s="5">
        <v>91</v>
      </c>
      <c r="CN52" s="5">
        <v>92</v>
      </c>
      <c r="CO52" s="98">
        <v>93</v>
      </c>
      <c r="CP52" s="97">
        <v>94</v>
      </c>
      <c r="CQ52" s="4">
        <v>95</v>
      </c>
      <c r="CR52" s="5">
        <v>96</v>
      </c>
      <c r="CS52" s="98">
        <v>97</v>
      </c>
      <c r="CT52" s="5">
        <v>98</v>
      </c>
      <c r="CU52" s="97">
        <v>99</v>
      </c>
      <c r="CV52" s="4">
        <v>100</v>
      </c>
      <c r="CW52" s="98">
        <v>101</v>
      </c>
      <c r="CX52" s="5">
        <v>102</v>
      </c>
      <c r="CY52" s="5">
        <v>103</v>
      </c>
      <c r="CZ52" s="97">
        <v>104</v>
      </c>
      <c r="DA52" s="98">
        <v>105</v>
      </c>
      <c r="DB52" s="5">
        <v>106</v>
      </c>
      <c r="DC52" s="5">
        <v>107</v>
      </c>
      <c r="DD52" s="5">
        <v>108</v>
      </c>
      <c r="DE52" s="98">
        <v>109</v>
      </c>
      <c r="DF52" s="4">
        <v>110</v>
      </c>
      <c r="DG52" s="5">
        <v>111</v>
      </c>
      <c r="DH52" s="5">
        <v>112</v>
      </c>
      <c r="DI52" s="98">
        <v>113</v>
      </c>
      <c r="DJ52" s="97">
        <v>114</v>
      </c>
      <c r="DK52" s="4">
        <v>115</v>
      </c>
      <c r="DL52" s="5">
        <v>116</v>
      </c>
      <c r="DM52" s="98">
        <v>117</v>
      </c>
      <c r="DN52" s="5">
        <v>118</v>
      </c>
      <c r="DO52" s="97">
        <v>119</v>
      </c>
      <c r="DP52" s="4">
        <v>120</v>
      </c>
      <c r="DQ52" s="98">
        <v>121</v>
      </c>
      <c r="DR52" s="5">
        <v>122</v>
      </c>
      <c r="DS52" s="5">
        <v>123</v>
      </c>
      <c r="DT52" s="97">
        <v>124</v>
      </c>
      <c r="DU52" s="98">
        <v>125</v>
      </c>
      <c r="DV52" s="5">
        <v>126</v>
      </c>
      <c r="DW52" s="5">
        <v>127</v>
      </c>
      <c r="DX52" s="5">
        <v>128</v>
      </c>
      <c r="DY52" s="98">
        <v>129</v>
      </c>
      <c r="DZ52" s="4">
        <v>130</v>
      </c>
      <c r="EA52" s="5">
        <v>131</v>
      </c>
      <c r="EB52" s="5">
        <v>132</v>
      </c>
      <c r="EC52" s="98">
        <v>133</v>
      </c>
      <c r="ED52" s="97">
        <v>134</v>
      </c>
      <c r="EE52" s="4">
        <v>135</v>
      </c>
      <c r="EF52" s="5">
        <v>136</v>
      </c>
      <c r="EG52" s="98">
        <v>137</v>
      </c>
      <c r="EH52" s="5">
        <v>138</v>
      </c>
      <c r="EI52" s="97">
        <v>139</v>
      </c>
      <c r="EJ52" s="4">
        <v>140</v>
      </c>
      <c r="EK52" s="98">
        <v>141</v>
      </c>
      <c r="EL52" s="5">
        <v>142</v>
      </c>
      <c r="EM52" s="5">
        <v>143</v>
      </c>
      <c r="EN52" s="97">
        <v>144</v>
      </c>
      <c r="EO52" s="98">
        <v>145</v>
      </c>
      <c r="EP52" s="5">
        <v>146</v>
      </c>
      <c r="EQ52" s="5">
        <v>147</v>
      </c>
      <c r="ER52" s="5">
        <v>148</v>
      </c>
      <c r="ES52" s="98">
        <v>149</v>
      </c>
      <c r="ET52" s="4">
        <v>150</v>
      </c>
      <c r="EU52" s="5">
        <v>151</v>
      </c>
      <c r="EV52" s="5">
        <v>152</v>
      </c>
      <c r="EW52" s="98">
        <v>153</v>
      </c>
      <c r="EX52" s="97">
        <v>154</v>
      </c>
      <c r="EY52" s="4">
        <v>155</v>
      </c>
      <c r="EZ52" s="5">
        <v>156</v>
      </c>
      <c r="FA52" s="98">
        <v>157</v>
      </c>
      <c r="FB52" s="5">
        <v>158</v>
      </c>
      <c r="FC52" s="97">
        <v>159</v>
      </c>
      <c r="FD52" s="4">
        <v>160</v>
      </c>
      <c r="FE52" s="98">
        <v>161</v>
      </c>
      <c r="FF52" s="5">
        <v>162</v>
      </c>
      <c r="FG52" s="5">
        <v>163</v>
      </c>
      <c r="FH52" s="97">
        <v>164</v>
      </c>
      <c r="FI52" s="98">
        <v>165</v>
      </c>
      <c r="FJ52" s="5">
        <v>166</v>
      </c>
      <c r="FK52" s="5">
        <v>167</v>
      </c>
      <c r="FL52" s="5">
        <v>168</v>
      </c>
      <c r="FM52" s="98">
        <v>169</v>
      </c>
      <c r="FN52" s="4">
        <v>170</v>
      </c>
      <c r="FO52" s="5">
        <v>171</v>
      </c>
      <c r="FP52" s="5">
        <v>172</v>
      </c>
      <c r="FQ52" s="98">
        <v>173</v>
      </c>
      <c r="FR52" s="97">
        <v>174</v>
      </c>
      <c r="FS52" s="4">
        <v>175</v>
      </c>
      <c r="FT52" s="5">
        <v>176</v>
      </c>
      <c r="FU52" s="98">
        <v>177</v>
      </c>
      <c r="FV52" s="5">
        <v>178</v>
      </c>
      <c r="FW52" s="97">
        <v>179</v>
      </c>
      <c r="FX52" s="4">
        <v>180</v>
      </c>
      <c r="FY52" s="98">
        <v>181</v>
      </c>
      <c r="FZ52" s="5">
        <v>182</v>
      </c>
      <c r="GA52" s="5">
        <v>183</v>
      </c>
      <c r="GB52" s="97">
        <v>184</v>
      </c>
      <c r="GC52" s="98">
        <v>185</v>
      </c>
      <c r="GD52" s="5">
        <v>186</v>
      </c>
      <c r="GE52" s="5">
        <v>187</v>
      </c>
      <c r="GF52" s="5">
        <v>188</v>
      </c>
      <c r="GG52" s="98">
        <v>189</v>
      </c>
      <c r="GH52" s="4">
        <v>190</v>
      </c>
      <c r="GI52" s="5">
        <v>191</v>
      </c>
      <c r="GJ52" s="5">
        <v>192</v>
      </c>
      <c r="GK52" s="98">
        <v>193</v>
      </c>
      <c r="GL52" s="97">
        <v>194</v>
      </c>
      <c r="GM52" s="4">
        <v>195</v>
      </c>
      <c r="GN52" s="5">
        <v>196</v>
      </c>
      <c r="GO52" s="98">
        <v>197</v>
      </c>
      <c r="GP52" s="5">
        <v>198</v>
      </c>
      <c r="GQ52" s="97">
        <v>199</v>
      </c>
      <c r="GR52" s="4">
        <v>200</v>
      </c>
      <c r="GS52" s="98">
        <v>201</v>
      </c>
      <c r="GT52" s="5">
        <v>202</v>
      </c>
      <c r="GU52" s="5">
        <v>203</v>
      </c>
      <c r="GV52" s="97">
        <v>204</v>
      </c>
      <c r="GW52" s="98">
        <v>205</v>
      </c>
      <c r="GX52" s="5">
        <v>206</v>
      </c>
      <c r="GY52" s="5">
        <v>207</v>
      </c>
      <c r="GZ52" s="5">
        <v>208</v>
      </c>
      <c r="HA52" s="98">
        <v>209</v>
      </c>
      <c r="HB52" s="4">
        <v>210</v>
      </c>
      <c r="HC52" s="5">
        <v>211</v>
      </c>
      <c r="HD52" s="5">
        <v>212</v>
      </c>
      <c r="HE52" s="98">
        <v>213</v>
      </c>
    </row>
    <row r="53" spans="1:213" x14ac:dyDescent="0.25">
      <c r="A53" s="7"/>
      <c r="B53" s="5"/>
      <c r="C53" s="5"/>
      <c r="D53" s="10"/>
      <c r="E53" s="11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</row>
    <row r="54" spans="1:213" x14ac:dyDescent="0.25">
      <c r="A54" s="7"/>
      <c r="B54" s="5"/>
      <c r="C54" s="5"/>
      <c r="D54" s="10"/>
      <c r="E54" s="11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  <c r="EV54" s="4"/>
      <c r="EW54" s="4"/>
      <c r="EX54" s="4"/>
      <c r="EY54" s="4"/>
      <c r="EZ54" s="4"/>
      <c r="FA54" s="4"/>
      <c r="FB54" s="4"/>
      <c r="FC54" s="4"/>
      <c r="FD54" s="4"/>
      <c r="FE54" s="4"/>
      <c r="FF54" s="4"/>
      <c r="FG54" s="4"/>
      <c r="FH54" s="4"/>
      <c r="FI54" s="4"/>
      <c r="FJ54" s="4"/>
      <c r="FK54" s="4"/>
      <c r="FL54" s="4"/>
      <c r="FM54" s="4"/>
      <c r="FN54" s="4"/>
      <c r="FO54" s="4"/>
      <c r="FP54" s="4"/>
      <c r="FQ54" s="4"/>
      <c r="FR54" s="4"/>
      <c r="FS54" s="4"/>
      <c r="FT54" s="4"/>
      <c r="FU54" s="4"/>
      <c r="FV54" s="4"/>
      <c r="FW54" s="4"/>
      <c r="FX54" s="4"/>
      <c r="FY54" s="4"/>
      <c r="FZ54" s="4"/>
      <c r="GA54" s="4"/>
      <c r="GB54" s="4"/>
      <c r="GC54" s="4"/>
    </row>
    <row r="55" spans="1:213" x14ac:dyDescent="0.25">
      <c r="A55" s="7"/>
      <c r="B55" s="5"/>
      <c r="C55" s="5"/>
      <c r="D55" s="10"/>
      <c r="E55" s="11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4"/>
      <c r="EI55" s="4"/>
      <c r="EJ55" s="4"/>
      <c r="EK55" s="4"/>
      <c r="EL55" s="4"/>
      <c r="EM55" s="4"/>
      <c r="EN55" s="4"/>
      <c r="EO55" s="4"/>
      <c r="EP55" s="4"/>
      <c r="EQ55" s="4"/>
      <c r="ER55" s="4"/>
      <c r="ES55" s="4"/>
      <c r="ET55" s="4"/>
      <c r="EU55" s="4"/>
      <c r="EV55" s="4"/>
      <c r="EW55" s="4"/>
      <c r="EX55" s="4"/>
      <c r="EY55" s="4"/>
      <c r="EZ55" s="4"/>
      <c r="FA55" s="4"/>
      <c r="FB55" s="4"/>
      <c r="FC55" s="4"/>
      <c r="FD55" s="4"/>
      <c r="FE55" s="4"/>
      <c r="FF55" s="4"/>
      <c r="FG55" s="4"/>
      <c r="FH55" s="4"/>
      <c r="FI55" s="4"/>
      <c r="FJ55" s="4"/>
      <c r="FK55" s="4"/>
      <c r="FL55" s="4"/>
      <c r="FM55" s="4"/>
      <c r="FN55" s="4"/>
      <c r="FO55" s="4"/>
      <c r="FP55" s="4"/>
      <c r="FQ55" s="4"/>
      <c r="FR55" s="4"/>
      <c r="FS55" s="4"/>
      <c r="FT55" s="4"/>
      <c r="FU55" s="4"/>
      <c r="FV55" s="4"/>
      <c r="FW55" s="4"/>
      <c r="FX55" s="4"/>
      <c r="FY55" s="4"/>
      <c r="FZ55" s="4"/>
      <c r="GA55" s="4"/>
      <c r="GB55" s="4"/>
      <c r="GC55" s="4"/>
    </row>
    <row r="56" spans="1:213" x14ac:dyDescent="0.25">
      <c r="A56" s="7"/>
      <c r="B56" s="5"/>
      <c r="C56" s="5"/>
      <c r="D56" s="10"/>
      <c r="E56" s="11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4"/>
      <c r="EI56" s="4"/>
      <c r="EJ56" s="4"/>
      <c r="EK56" s="4"/>
      <c r="EL56" s="4"/>
      <c r="EM56" s="4"/>
      <c r="EN56" s="4"/>
      <c r="EO56" s="4"/>
      <c r="EP56" s="4"/>
      <c r="EQ56" s="4"/>
      <c r="ER56" s="4"/>
      <c r="ES56" s="4"/>
      <c r="ET56" s="4"/>
      <c r="EU56" s="4"/>
      <c r="EV56" s="4"/>
      <c r="EW56" s="4"/>
      <c r="EX56" s="4"/>
      <c r="EY56" s="4"/>
      <c r="EZ56" s="4"/>
      <c r="FA56" s="4"/>
      <c r="FB56" s="4"/>
      <c r="FC56" s="4"/>
      <c r="FD56" s="4"/>
      <c r="FE56" s="4"/>
      <c r="FF56" s="4"/>
      <c r="FG56" s="4"/>
      <c r="FH56" s="4"/>
      <c r="FI56" s="4"/>
      <c r="FJ56" s="4"/>
      <c r="FK56" s="4"/>
      <c r="FL56" s="4"/>
      <c r="FM56" s="4"/>
      <c r="FN56" s="4"/>
      <c r="FO56" s="4"/>
      <c r="FP56" s="4"/>
      <c r="FQ56" s="4"/>
      <c r="FR56" s="4"/>
      <c r="FS56" s="4"/>
      <c r="FT56" s="4"/>
      <c r="FU56" s="4"/>
      <c r="FV56" s="4"/>
      <c r="FW56" s="4"/>
      <c r="FX56" s="4"/>
      <c r="FY56" s="4"/>
      <c r="FZ56" s="4"/>
      <c r="GA56" s="4"/>
      <c r="GB56" s="4"/>
      <c r="GC56" s="4"/>
    </row>
    <row r="57" spans="1:213" x14ac:dyDescent="0.25">
      <c r="A57" s="7"/>
      <c r="B57" s="5"/>
      <c r="C57" s="5"/>
      <c r="D57" s="10"/>
      <c r="E57" s="11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4"/>
      <c r="EI57" s="4"/>
      <c r="EJ57" s="4"/>
      <c r="EK57" s="4"/>
      <c r="EL57" s="4"/>
      <c r="EM57" s="4"/>
      <c r="EN57" s="4"/>
      <c r="EO57" s="4"/>
      <c r="EP57" s="4"/>
      <c r="EQ57" s="4"/>
      <c r="ER57" s="4"/>
      <c r="ES57" s="4"/>
      <c r="ET57" s="4"/>
      <c r="EU57" s="4"/>
      <c r="EV57" s="4"/>
      <c r="EW57" s="4"/>
      <c r="EX57" s="4"/>
      <c r="EY57" s="4"/>
      <c r="EZ57" s="4"/>
      <c r="FA57" s="4"/>
      <c r="FB57" s="4"/>
      <c r="FC57" s="4"/>
      <c r="FD57" s="4"/>
      <c r="FE57" s="4"/>
      <c r="FF57" s="4"/>
      <c r="FG57" s="4"/>
      <c r="FH57" s="4"/>
      <c r="FI57" s="4"/>
      <c r="FJ57" s="4"/>
      <c r="FK57" s="4"/>
      <c r="FL57" s="4"/>
      <c r="FM57" s="4"/>
      <c r="FN57" s="4"/>
      <c r="FO57" s="4"/>
      <c r="FP57" s="4"/>
      <c r="FQ57" s="4"/>
      <c r="FR57" s="4"/>
      <c r="FS57" s="4"/>
      <c r="FT57" s="4"/>
      <c r="FU57" s="4"/>
      <c r="FV57" s="4"/>
      <c r="FW57" s="4"/>
      <c r="FX57" s="4"/>
      <c r="FY57" s="4"/>
      <c r="FZ57" s="4"/>
      <c r="GA57" s="4"/>
      <c r="GB57" s="4"/>
      <c r="GC57" s="4"/>
    </row>
    <row r="58" spans="1:213" x14ac:dyDescent="0.25">
      <c r="A58" s="7"/>
      <c r="B58" s="5"/>
      <c r="C58" s="5"/>
      <c r="D58" s="10"/>
      <c r="E58" s="11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4"/>
      <c r="EI58" s="4"/>
      <c r="EJ58" s="4"/>
      <c r="EK58" s="4"/>
      <c r="EL58" s="4"/>
      <c r="EM58" s="4"/>
      <c r="EN58" s="4"/>
      <c r="EO58" s="4"/>
      <c r="EP58" s="4"/>
      <c r="EQ58" s="4"/>
      <c r="ER58" s="4"/>
      <c r="ES58" s="4"/>
      <c r="ET58" s="4"/>
      <c r="EU58" s="4"/>
      <c r="EV58" s="4"/>
      <c r="EW58" s="4"/>
      <c r="EX58" s="4"/>
      <c r="EY58" s="4"/>
      <c r="EZ58" s="4"/>
      <c r="FA58" s="4"/>
      <c r="FB58" s="4"/>
      <c r="FC58" s="4"/>
      <c r="FD58" s="4"/>
      <c r="FE58" s="4"/>
      <c r="FF58" s="4"/>
      <c r="FG58" s="4"/>
      <c r="FH58" s="4"/>
      <c r="FI58" s="4"/>
      <c r="FJ58" s="4"/>
      <c r="FK58" s="4"/>
      <c r="FL58" s="4"/>
      <c r="FM58" s="4"/>
      <c r="FN58" s="4"/>
      <c r="FO58" s="4"/>
      <c r="FP58" s="4"/>
      <c r="FQ58" s="4"/>
      <c r="FR58" s="4"/>
      <c r="FS58" s="4"/>
      <c r="FT58" s="4"/>
      <c r="FU58" s="4"/>
      <c r="FV58" s="4"/>
      <c r="FW58" s="4"/>
      <c r="FX58" s="4"/>
      <c r="FY58" s="4"/>
      <c r="FZ58" s="4"/>
      <c r="GA58" s="4"/>
      <c r="GB58" s="4"/>
      <c r="GC58" s="4"/>
    </row>
    <row r="59" spans="1:213" x14ac:dyDescent="0.25">
      <c r="A59" s="7"/>
      <c r="B59" s="5"/>
      <c r="C59" s="5"/>
      <c r="D59" s="10"/>
      <c r="E59" s="11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4"/>
      <c r="EI59" s="4"/>
      <c r="EJ59" s="4"/>
      <c r="EK59" s="4"/>
      <c r="EL59" s="4"/>
      <c r="EM59" s="4"/>
      <c r="EN59" s="4"/>
      <c r="EO59" s="4"/>
      <c r="EP59" s="4"/>
      <c r="EQ59" s="4"/>
      <c r="ER59" s="4"/>
      <c r="ES59" s="4"/>
      <c r="ET59" s="4"/>
      <c r="EU59" s="4"/>
      <c r="EV59" s="4"/>
      <c r="EW59" s="4"/>
      <c r="EX59" s="4"/>
      <c r="EY59" s="4"/>
      <c r="EZ59" s="4"/>
      <c r="FA59" s="4"/>
      <c r="FB59" s="4"/>
      <c r="FC59" s="4"/>
      <c r="FD59" s="4"/>
      <c r="FE59" s="4"/>
      <c r="FF59" s="4"/>
      <c r="FG59" s="4"/>
      <c r="FH59" s="4"/>
      <c r="FI59" s="4"/>
      <c r="FJ59" s="4"/>
      <c r="FK59" s="4"/>
      <c r="FL59" s="4"/>
      <c r="FM59" s="4"/>
      <c r="FN59" s="4"/>
      <c r="FO59" s="4"/>
      <c r="FP59" s="4"/>
      <c r="FQ59" s="4"/>
      <c r="FR59" s="4"/>
      <c r="FS59" s="4"/>
      <c r="FT59" s="4"/>
      <c r="FU59" s="4"/>
      <c r="FV59" s="4"/>
      <c r="FW59" s="4"/>
      <c r="FX59" s="4"/>
      <c r="FY59" s="4"/>
      <c r="FZ59" s="4"/>
      <c r="GA59" s="4"/>
      <c r="GB59" s="4"/>
      <c r="GC59" s="4"/>
    </row>
    <row r="60" spans="1:213" x14ac:dyDescent="0.25">
      <c r="A60" s="7"/>
      <c r="B60" s="5"/>
      <c r="C60" s="5"/>
      <c r="D60" s="10"/>
      <c r="E60" s="11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4"/>
      <c r="EI60" s="4"/>
      <c r="EJ60" s="4"/>
      <c r="EK60" s="4"/>
      <c r="EL60" s="4"/>
      <c r="EM60" s="4"/>
      <c r="EN60" s="4"/>
      <c r="EO60" s="4"/>
      <c r="EP60" s="4"/>
      <c r="EQ60" s="4"/>
      <c r="ER60" s="4"/>
      <c r="ES60" s="4"/>
      <c r="ET60" s="4"/>
      <c r="EU60" s="4"/>
      <c r="EV60" s="4"/>
      <c r="EW60" s="4"/>
      <c r="EX60" s="4"/>
      <c r="EY60" s="4"/>
      <c r="EZ60" s="4"/>
      <c r="FA60" s="4"/>
      <c r="FB60" s="4"/>
      <c r="FC60" s="4"/>
      <c r="FD60" s="4"/>
      <c r="FE60" s="4"/>
      <c r="FF60" s="4"/>
      <c r="FG60" s="4"/>
      <c r="FH60" s="4"/>
      <c r="FI60" s="4"/>
      <c r="FJ60" s="4"/>
      <c r="FK60" s="4"/>
      <c r="FL60" s="4"/>
      <c r="FM60" s="4"/>
      <c r="FN60" s="4"/>
      <c r="FO60" s="4"/>
      <c r="FP60" s="4"/>
      <c r="FQ60" s="4"/>
      <c r="FR60" s="4"/>
      <c r="FS60" s="4"/>
      <c r="FT60" s="4"/>
      <c r="FU60" s="4"/>
      <c r="FV60" s="4"/>
      <c r="FW60" s="4"/>
      <c r="FX60" s="4"/>
      <c r="FY60" s="4"/>
      <c r="FZ60" s="4"/>
      <c r="GA60" s="4"/>
      <c r="GB60" s="4"/>
      <c r="GC60" s="4"/>
    </row>
    <row r="61" spans="1:213" x14ac:dyDescent="0.25">
      <c r="A61" s="7"/>
      <c r="B61" s="5"/>
      <c r="C61" s="5"/>
      <c r="D61" s="10"/>
      <c r="E61" s="11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</row>
    <row r="62" spans="1:213" x14ac:dyDescent="0.25">
      <c r="A62" s="7"/>
      <c r="B62" s="5"/>
      <c r="C62" s="5"/>
      <c r="D62" s="10"/>
      <c r="E62" s="11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</row>
    <row r="63" spans="1:213" x14ac:dyDescent="0.25">
      <c r="A63" s="7"/>
      <c r="B63" s="5"/>
      <c r="C63" s="5"/>
      <c r="D63" s="10"/>
      <c r="E63" s="11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</row>
    <row r="64" spans="1:213" x14ac:dyDescent="0.25">
      <c r="A64" s="6"/>
      <c r="B64" s="5"/>
      <c r="C64" s="5"/>
      <c r="D64" s="10"/>
      <c r="E64" s="11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</row>
    <row r="65" spans="2:185" x14ac:dyDescent="0.25">
      <c r="B65" s="5"/>
      <c r="C65" s="3"/>
      <c r="D65" s="10"/>
      <c r="E65" s="11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4"/>
      <c r="EI65" s="4"/>
      <c r="EJ65" s="4"/>
      <c r="EK65" s="4"/>
      <c r="EL65" s="4"/>
      <c r="EM65" s="4"/>
      <c r="EN65" s="4"/>
      <c r="EO65" s="4"/>
      <c r="EP65" s="4"/>
      <c r="EQ65" s="4"/>
      <c r="ER65" s="4"/>
      <c r="ES65" s="4"/>
      <c r="ET65" s="4"/>
      <c r="EU65" s="4"/>
      <c r="EV65" s="4"/>
      <c r="EW65" s="4"/>
      <c r="EX65" s="4"/>
      <c r="EY65" s="4"/>
      <c r="EZ65" s="4"/>
      <c r="FA65" s="4"/>
      <c r="FB65" s="4"/>
      <c r="FC65" s="4"/>
      <c r="FD65" s="4"/>
      <c r="FE65" s="4"/>
      <c r="FF65" s="4"/>
      <c r="FG65" s="4"/>
      <c r="FH65" s="4"/>
      <c r="FI65" s="4"/>
      <c r="FJ65" s="4"/>
      <c r="FK65" s="4"/>
      <c r="FL65" s="4"/>
      <c r="FM65" s="4"/>
      <c r="FN65" s="4"/>
      <c r="FO65" s="4"/>
      <c r="FP65" s="4"/>
      <c r="FQ65" s="4"/>
      <c r="FR65" s="4"/>
      <c r="FS65" s="4"/>
      <c r="FT65" s="4"/>
      <c r="FU65" s="4"/>
      <c r="FV65" s="4"/>
      <c r="FW65" s="4"/>
      <c r="FX65" s="4"/>
      <c r="FY65" s="4"/>
      <c r="FZ65" s="4"/>
      <c r="GA65" s="4"/>
      <c r="GB65" s="4"/>
      <c r="GC65" s="4"/>
    </row>
    <row r="66" spans="2:185" x14ac:dyDescent="0.25">
      <c r="B66" s="3"/>
      <c r="C66" s="3"/>
      <c r="D66" s="3"/>
      <c r="E66" s="11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  <c r="FC66" s="4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</row>
    <row r="67" spans="2:185" x14ac:dyDescent="0.25">
      <c r="B67" s="3"/>
      <c r="C67" s="3"/>
      <c r="D67" s="3"/>
      <c r="E67" s="11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</row>
    <row r="68" spans="2:185" x14ac:dyDescent="0.25">
      <c r="B68" s="3"/>
      <c r="C68" s="3"/>
      <c r="D68" s="3"/>
      <c r="E68" s="11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</row>
    <row r="69" spans="2:185" x14ac:dyDescent="0.25">
      <c r="B69" s="3"/>
      <c r="C69" s="3"/>
      <c r="D69" s="3"/>
      <c r="E69" s="11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</row>
    <row r="70" spans="2:185" x14ac:dyDescent="0.25">
      <c r="B70" s="3"/>
      <c r="D70" s="3"/>
      <c r="E70" s="11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</row>
    <row r="71" spans="2:185" x14ac:dyDescent="0.25">
      <c r="E71" s="11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</row>
    <row r="72" spans="2:185" x14ac:dyDescent="0.25">
      <c r="E72" s="11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</row>
    <row r="73" spans="2:185" x14ac:dyDescent="0.25">
      <c r="E73" s="11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</row>
    <row r="74" spans="2:185" x14ac:dyDescent="0.25">
      <c r="E74" s="11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</row>
    <row r="75" spans="2:185" x14ac:dyDescent="0.25">
      <c r="E75" s="11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</row>
    <row r="76" spans="2:185" x14ac:dyDescent="0.25">
      <c r="E76" s="11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</row>
    <row r="77" spans="2:185" x14ac:dyDescent="0.25">
      <c r="E77" s="11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4"/>
      <c r="EI77" s="4"/>
      <c r="EJ77" s="4"/>
      <c r="EK77" s="4"/>
      <c r="EL77" s="4"/>
      <c r="EM77" s="4"/>
      <c r="EN77" s="4"/>
      <c r="EO77" s="4"/>
      <c r="EP77" s="4"/>
      <c r="EQ77" s="4"/>
      <c r="ER77" s="4"/>
      <c r="ES77" s="4"/>
      <c r="ET77" s="4"/>
      <c r="EU77" s="4"/>
      <c r="EV77" s="4"/>
      <c r="EW77" s="4"/>
      <c r="EX77" s="4"/>
      <c r="EY77" s="4"/>
      <c r="EZ77" s="4"/>
      <c r="FA77" s="4"/>
      <c r="FB77" s="4"/>
      <c r="FC77" s="4"/>
      <c r="FD77" s="4"/>
      <c r="FE77" s="4"/>
      <c r="FF77" s="4"/>
      <c r="FG77" s="4"/>
      <c r="FH77" s="4"/>
      <c r="FI77" s="4"/>
      <c r="FJ77" s="4"/>
      <c r="FK77" s="4"/>
      <c r="FL77" s="4"/>
      <c r="FM77" s="4"/>
      <c r="FN77" s="4"/>
      <c r="FO77" s="4"/>
      <c r="FP77" s="4"/>
      <c r="FQ77" s="4"/>
      <c r="FR77" s="4"/>
      <c r="FS77" s="4"/>
      <c r="FT77" s="4"/>
      <c r="FU77" s="4"/>
      <c r="FV77" s="4"/>
      <c r="FW77" s="4"/>
      <c r="FX77" s="4"/>
      <c r="FY77" s="4"/>
      <c r="FZ77" s="4"/>
      <c r="GA77" s="4"/>
      <c r="GB77" s="4"/>
      <c r="GC77" s="4"/>
    </row>
    <row r="78" spans="2:185" x14ac:dyDescent="0.25">
      <c r="E78" s="11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4"/>
      <c r="EI78" s="4"/>
      <c r="EJ78" s="4"/>
      <c r="EK78" s="4"/>
      <c r="EL78" s="4"/>
      <c r="EM78" s="4"/>
      <c r="EN78" s="4"/>
      <c r="EO78" s="4"/>
      <c r="EP78" s="4"/>
      <c r="EQ78" s="4"/>
      <c r="ER78" s="4"/>
      <c r="ES78" s="4"/>
      <c r="ET78" s="4"/>
      <c r="EU78" s="4"/>
      <c r="EV78" s="4"/>
      <c r="EW78" s="4"/>
      <c r="EX78" s="4"/>
      <c r="EY78" s="4"/>
      <c r="EZ78" s="4"/>
      <c r="FA78" s="4"/>
      <c r="FB78" s="4"/>
      <c r="FC78" s="4"/>
      <c r="FD78" s="4"/>
      <c r="FE78" s="4"/>
      <c r="FF78" s="4"/>
      <c r="FG78" s="4"/>
      <c r="FH78" s="4"/>
      <c r="FI78" s="4"/>
      <c r="FJ78" s="4"/>
      <c r="FK78" s="4"/>
      <c r="FL78" s="4"/>
      <c r="FM78" s="4"/>
      <c r="FN78" s="4"/>
      <c r="FO78" s="4"/>
      <c r="FP78" s="4"/>
      <c r="FQ78" s="4"/>
      <c r="FR78" s="4"/>
      <c r="FS78" s="4"/>
      <c r="FT78" s="4"/>
      <c r="FU78" s="4"/>
      <c r="FV78" s="4"/>
      <c r="FW78" s="4"/>
      <c r="FX78" s="4"/>
      <c r="FY78" s="4"/>
      <c r="FZ78" s="4"/>
      <c r="GA78" s="4"/>
      <c r="GB78" s="4"/>
      <c r="GC78" s="4"/>
    </row>
    <row r="79" spans="2:185" x14ac:dyDescent="0.25">
      <c r="E79" s="11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4"/>
      <c r="EI79" s="4"/>
      <c r="EJ79" s="4"/>
      <c r="EK79" s="4"/>
      <c r="EL79" s="4"/>
      <c r="EM79" s="4"/>
      <c r="EN79" s="4"/>
      <c r="EO79" s="4"/>
      <c r="EP79" s="4"/>
      <c r="EQ79" s="4"/>
      <c r="ER79" s="4"/>
      <c r="ES79" s="4"/>
      <c r="ET79" s="4"/>
      <c r="EU79" s="4"/>
      <c r="EV79" s="4"/>
      <c r="EW79" s="4"/>
      <c r="EX79" s="4"/>
      <c r="EY79" s="4"/>
      <c r="EZ79" s="4"/>
      <c r="FA79" s="4"/>
      <c r="FB79" s="4"/>
      <c r="FC79" s="4"/>
      <c r="FD79" s="4"/>
      <c r="FE79" s="4"/>
      <c r="FF79" s="4"/>
      <c r="FG79" s="4"/>
      <c r="FH79" s="4"/>
      <c r="FI79" s="4"/>
      <c r="FJ79" s="4"/>
      <c r="FK79" s="4"/>
      <c r="FL79" s="4"/>
      <c r="FM79" s="4"/>
      <c r="FN79" s="4"/>
      <c r="FO79" s="4"/>
      <c r="FP79" s="4"/>
      <c r="FQ79" s="4"/>
      <c r="FR79" s="4"/>
      <c r="FS79" s="4"/>
      <c r="FT79" s="4"/>
      <c r="FU79" s="4"/>
      <c r="FV79" s="4"/>
      <c r="FW79" s="4"/>
      <c r="FX79" s="4"/>
      <c r="FY79" s="4"/>
      <c r="FZ79" s="4"/>
      <c r="GA79" s="4"/>
      <c r="GB79" s="4"/>
      <c r="GC79" s="4"/>
    </row>
    <row r="80" spans="2:185" x14ac:dyDescent="0.25">
      <c r="E80" s="11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4"/>
      <c r="EI80" s="4"/>
      <c r="EJ80" s="4"/>
      <c r="EK80" s="4"/>
      <c r="EL80" s="4"/>
      <c r="EM80" s="4"/>
      <c r="EN80" s="4"/>
      <c r="EO80" s="4"/>
      <c r="EP80" s="4"/>
      <c r="EQ80" s="4"/>
      <c r="ER80" s="4"/>
      <c r="ES80" s="4"/>
      <c r="ET80" s="4"/>
      <c r="EU80" s="4"/>
      <c r="EV80" s="4"/>
      <c r="EW80" s="4"/>
      <c r="EX80" s="4"/>
      <c r="EY80" s="4"/>
      <c r="EZ80" s="4"/>
      <c r="FA80" s="4"/>
      <c r="FB80" s="4"/>
      <c r="FC80" s="4"/>
      <c r="FD80" s="4"/>
      <c r="FE80" s="4"/>
      <c r="FF80" s="4"/>
      <c r="FG80" s="4"/>
      <c r="FH80" s="4"/>
      <c r="FI80" s="4"/>
      <c r="FJ80" s="4"/>
      <c r="FK80" s="4"/>
      <c r="FL80" s="4"/>
      <c r="FM80" s="4"/>
      <c r="FN80" s="4"/>
      <c r="FO80" s="4"/>
      <c r="FP80" s="4"/>
      <c r="FQ80" s="4"/>
      <c r="FR80" s="4"/>
      <c r="FS80" s="4"/>
      <c r="FT80" s="4"/>
      <c r="FU80" s="4"/>
      <c r="FV80" s="4"/>
      <c r="FW80" s="4"/>
      <c r="FX80" s="4"/>
      <c r="FY80" s="4"/>
      <c r="FZ80" s="4"/>
      <c r="GA80" s="4"/>
      <c r="GB80" s="4"/>
      <c r="GC80" s="4"/>
    </row>
    <row r="81" spans="5:185" x14ac:dyDescent="0.25">
      <c r="E81" s="11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4"/>
      <c r="EI81" s="4"/>
      <c r="EJ81" s="4"/>
      <c r="EK81" s="4"/>
      <c r="EL81" s="4"/>
      <c r="EM81" s="4"/>
      <c r="EN81" s="4"/>
      <c r="EO81" s="4"/>
      <c r="EP81" s="4"/>
      <c r="EQ81" s="4"/>
      <c r="ER81" s="4"/>
      <c r="ES81" s="4"/>
      <c r="ET81" s="4"/>
      <c r="EU81" s="4"/>
      <c r="EV81" s="4"/>
      <c r="EW81" s="4"/>
      <c r="EX81" s="4"/>
      <c r="EY81" s="4"/>
      <c r="EZ81" s="4"/>
      <c r="FA81" s="4"/>
      <c r="FB81" s="4"/>
      <c r="FC81" s="4"/>
      <c r="FD81" s="4"/>
      <c r="FE81" s="4"/>
      <c r="FF81" s="4"/>
      <c r="FG81" s="4"/>
      <c r="FH81" s="4"/>
      <c r="FI81" s="4"/>
      <c r="FJ81" s="4"/>
      <c r="FK81" s="4"/>
      <c r="FL81" s="4"/>
      <c r="FM81" s="4"/>
      <c r="FN81" s="4"/>
      <c r="FO81" s="4"/>
      <c r="FP81" s="4"/>
      <c r="FQ81" s="4"/>
      <c r="FR81" s="4"/>
      <c r="FS81" s="4"/>
      <c r="FT81" s="4"/>
      <c r="FU81" s="4"/>
      <c r="FV81" s="4"/>
      <c r="FW81" s="4"/>
      <c r="FX81" s="4"/>
      <c r="FY81" s="4"/>
      <c r="FZ81" s="4"/>
      <c r="GA81" s="4"/>
      <c r="GB81" s="4"/>
      <c r="GC81" s="4"/>
    </row>
    <row r="82" spans="5:185" x14ac:dyDescent="0.25">
      <c r="E82" s="11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4"/>
      <c r="EI82" s="4"/>
      <c r="EJ82" s="4"/>
      <c r="EK82" s="4"/>
      <c r="EL82" s="4"/>
      <c r="EM82" s="4"/>
      <c r="EN82" s="4"/>
      <c r="EO82" s="4"/>
      <c r="EP82" s="4"/>
      <c r="EQ82" s="4"/>
      <c r="ER82" s="4"/>
      <c r="ES82" s="4"/>
      <c r="ET82" s="4"/>
      <c r="EU82" s="4"/>
      <c r="EV82" s="4"/>
      <c r="EW82" s="4"/>
      <c r="EX82" s="4"/>
      <c r="EY82" s="4"/>
      <c r="EZ82" s="4"/>
      <c r="FA82" s="4"/>
      <c r="FB82" s="4"/>
      <c r="FC82" s="4"/>
      <c r="FD82" s="4"/>
      <c r="FE82" s="4"/>
      <c r="FF82" s="4"/>
      <c r="FG82" s="4"/>
      <c r="FH82" s="4"/>
      <c r="FI82" s="4"/>
      <c r="FJ82" s="4"/>
      <c r="FK82" s="4"/>
      <c r="FL82" s="4"/>
      <c r="FM82" s="4"/>
      <c r="FN82" s="4"/>
      <c r="FO82" s="4"/>
      <c r="FP82" s="4"/>
      <c r="FQ82" s="4"/>
      <c r="FR82" s="4"/>
      <c r="FS82" s="4"/>
      <c r="FT82" s="4"/>
      <c r="FU82" s="4"/>
      <c r="FV82" s="4"/>
      <c r="FW82" s="4"/>
      <c r="FX82" s="4"/>
      <c r="FY82" s="4"/>
      <c r="FZ82" s="4"/>
      <c r="GA82" s="4"/>
      <c r="GB82" s="4"/>
      <c r="GC82" s="4"/>
    </row>
    <row r="83" spans="5:185" x14ac:dyDescent="0.25">
      <c r="E83" s="11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4"/>
      <c r="DN83" s="4"/>
      <c r="DO83" s="4"/>
      <c r="DP83" s="4"/>
      <c r="DQ83" s="4"/>
      <c r="DR83" s="4"/>
      <c r="DS83" s="4"/>
      <c r="DT83" s="4"/>
      <c r="DU83" s="4"/>
      <c r="DV83" s="4"/>
      <c r="DW83" s="4"/>
      <c r="DX83" s="4"/>
      <c r="DY83" s="4"/>
      <c r="DZ83" s="4"/>
      <c r="EA83" s="4"/>
      <c r="EB83" s="4"/>
      <c r="EC83" s="4"/>
      <c r="ED83" s="4"/>
      <c r="EE83" s="4"/>
      <c r="EF83" s="4"/>
      <c r="EG83" s="4"/>
      <c r="EH83" s="4"/>
      <c r="EI83" s="4"/>
      <c r="EJ83" s="4"/>
      <c r="EK83" s="4"/>
      <c r="EL83" s="4"/>
      <c r="EM83" s="4"/>
      <c r="EN83" s="4"/>
      <c r="EO83" s="4"/>
      <c r="EP83" s="4"/>
      <c r="EQ83" s="4"/>
      <c r="ER83" s="4"/>
      <c r="ES83" s="4"/>
      <c r="ET83" s="4"/>
      <c r="EU83" s="4"/>
      <c r="EV83" s="4"/>
      <c r="EW83" s="4"/>
      <c r="EX83" s="4"/>
      <c r="EY83" s="4"/>
      <c r="EZ83" s="4"/>
      <c r="FA83" s="4"/>
      <c r="FB83" s="4"/>
      <c r="FC83" s="4"/>
      <c r="FD83" s="4"/>
      <c r="FE83" s="4"/>
      <c r="FF83" s="4"/>
      <c r="FG83" s="4"/>
      <c r="FH83" s="4"/>
      <c r="FI83" s="4"/>
      <c r="FJ83" s="4"/>
      <c r="FK83" s="4"/>
      <c r="FL83" s="4"/>
      <c r="FM83" s="4"/>
      <c r="FN83" s="4"/>
      <c r="FO83" s="4"/>
      <c r="FP83" s="4"/>
      <c r="FQ83" s="4"/>
      <c r="FR83" s="4"/>
      <c r="FS83" s="4"/>
      <c r="FT83" s="4"/>
      <c r="FU83" s="4"/>
      <c r="FV83" s="4"/>
      <c r="FW83" s="4"/>
      <c r="FX83" s="4"/>
      <c r="FY83" s="4"/>
      <c r="FZ83" s="4"/>
      <c r="GA83" s="4"/>
      <c r="GB83" s="4"/>
      <c r="GC83" s="4"/>
    </row>
    <row r="84" spans="5:185" x14ac:dyDescent="0.25">
      <c r="E84" s="11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4"/>
      <c r="DN84" s="4"/>
      <c r="DO84" s="4"/>
      <c r="DP84" s="4"/>
      <c r="DQ84" s="4"/>
      <c r="DR84" s="4"/>
      <c r="DS84" s="4"/>
      <c r="DT84" s="4"/>
      <c r="DU84" s="4"/>
      <c r="DV84" s="4"/>
      <c r="DW84" s="4"/>
      <c r="DX84" s="4"/>
      <c r="DY84" s="4"/>
      <c r="DZ84" s="4"/>
      <c r="EA84" s="4"/>
      <c r="EB84" s="4"/>
      <c r="EC84" s="4"/>
      <c r="ED84" s="4"/>
      <c r="EE84" s="4"/>
      <c r="EF84" s="4"/>
      <c r="EG84" s="4"/>
      <c r="EH84" s="4"/>
      <c r="EI84" s="4"/>
      <c r="EJ84" s="4"/>
      <c r="EK84" s="4"/>
      <c r="EL84" s="4"/>
      <c r="EM84" s="4"/>
      <c r="EN84" s="4"/>
      <c r="EO84" s="4"/>
      <c r="EP84" s="4"/>
      <c r="EQ84" s="4"/>
      <c r="ER84" s="4"/>
      <c r="ES84" s="4"/>
      <c r="ET84" s="4"/>
      <c r="EU84" s="4"/>
      <c r="EV84" s="4"/>
      <c r="EW84" s="4"/>
      <c r="EX84" s="4"/>
      <c r="EY84" s="4"/>
      <c r="EZ84" s="4"/>
      <c r="FA84" s="4"/>
      <c r="FB84" s="4"/>
      <c r="FC84" s="4"/>
      <c r="FD84" s="4"/>
      <c r="FE84" s="4"/>
      <c r="FF84" s="4"/>
      <c r="FG84" s="4"/>
      <c r="FH84" s="4"/>
      <c r="FI84" s="4"/>
      <c r="FJ84" s="4"/>
      <c r="FK84" s="4"/>
      <c r="FL84" s="4"/>
      <c r="FM84" s="4"/>
      <c r="FN84" s="4"/>
      <c r="FO84" s="4"/>
      <c r="FP84" s="4"/>
      <c r="FQ84" s="4"/>
      <c r="FR84" s="4"/>
      <c r="FS84" s="4"/>
      <c r="FT84" s="4"/>
      <c r="FU84" s="4"/>
      <c r="FV84" s="4"/>
      <c r="FW84" s="4"/>
      <c r="FX84" s="4"/>
      <c r="FY84" s="4"/>
      <c r="FZ84" s="4"/>
      <c r="GA84" s="4"/>
      <c r="GB84" s="4"/>
      <c r="GC84" s="4"/>
    </row>
    <row r="85" spans="5:185" x14ac:dyDescent="0.25">
      <c r="E85" s="11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4"/>
      <c r="DN85" s="4"/>
      <c r="DO85" s="4"/>
      <c r="DP85" s="4"/>
      <c r="DQ85" s="4"/>
      <c r="DR85" s="4"/>
      <c r="DS85" s="4"/>
      <c r="DT85" s="4"/>
      <c r="DU85" s="4"/>
      <c r="DV85" s="4"/>
      <c r="DW85" s="4"/>
      <c r="DX85" s="4"/>
      <c r="DY85" s="4"/>
      <c r="DZ85" s="4"/>
      <c r="EA85" s="4"/>
      <c r="EB85" s="4"/>
      <c r="EC85" s="4"/>
      <c r="ED85" s="4"/>
      <c r="EE85" s="4"/>
      <c r="EF85" s="4"/>
      <c r="EG85" s="4"/>
      <c r="EH85" s="4"/>
      <c r="EI85" s="4"/>
      <c r="EJ85" s="4"/>
      <c r="EK85" s="4"/>
      <c r="EL85" s="4"/>
      <c r="EM85" s="4"/>
      <c r="EN85" s="4"/>
      <c r="EO85" s="4"/>
      <c r="EP85" s="4"/>
      <c r="EQ85" s="4"/>
      <c r="ER85" s="4"/>
      <c r="ES85" s="4"/>
      <c r="ET85" s="4"/>
      <c r="EU85" s="4"/>
      <c r="EV85" s="4"/>
      <c r="EW85" s="4"/>
      <c r="EX85" s="4"/>
      <c r="EY85" s="4"/>
      <c r="EZ85" s="4"/>
      <c r="FA85" s="4"/>
      <c r="FB85" s="4"/>
      <c r="FC85" s="4"/>
      <c r="FD85" s="4"/>
      <c r="FE85" s="4"/>
      <c r="FF85" s="4"/>
      <c r="FG85" s="4"/>
      <c r="FH85" s="4"/>
      <c r="FI85" s="4"/>
      <c r="FJ85" s="4"/>
      <c r="FK85" s="4"/>
      <c r="FL85" s="4"/>
      <c r="FM85" s="4"/>
      <c r="FN85" s="4"/>
      <c r="FO85" s="4"/>
      <c r="FP85" s="4"/>
      <c r="FQ85" s="4"/>
      <c r="FR85" s="4"/>
      <c r="FS85" s="4"/>
      <c r="FT85" s="4"/>
      <c r="FU85" s="4"/>
      <c r="FV85" s="4"/>
      <c r="FW85" s="4"/>
      <c r="FX85" s="4"/>
      <c r="FY85" s="4"/>
      <c r="FZ85" s="4"/>
      <c r="GA85" s="4"/>
      <c r="GB85" s="4"/>
      <c r="GC85" s="4"/>
    </row>
    <row r="86" spans="5:185" x14ac:dyDescent="0.25">
      <c r="E86" s="11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4"/>
      <c r="EI86" s="4"/>
      <c r="EJ86" s="4"/>
      <c r="EK86" s="4"/>
      <c r="EL86" s="4"/>
      <c r="EM86" s="4"/>
      <c r="EN86" s="4"/>
      <c r="EO86" s="4"/>
      <c r="EP86" s="4"/>
      <c r="EQ86" s="4"/>
      <c r="ER86" s="4"/>
      <c r="ES86" s="4"/>
      <c r="ET86" s="4"/>
      <c r="EU86" s="4"/>
      <c r="EV86" s="4"/>
      <c r="EW86" s="4"/>
      <c r="EX86" s="4"/>
      <c r="EY86" s="4"/>
      <c r="EZ86" s="4"/>
      <c r="FA86" s="4"/>
      <c r="FB86" s="4"/>
      <c r="FC86" s="4"/>
      <c r="FD86" s="4"/>
      <c r="FE86" s="4"/>
      <c r="FF86" s="4"/>
      <c r="FG86" s="4"/>
      <c r="FH86" s="4"/>
      <c r="FI86" s="4"/>
      <c r="FJ86" s="4"/>
      <c r="FK86" s="4"/>
      <c r="FL86" s="4"/>
      <c r="FM86" s="4"/>
      <c r="FN86" s="4"/>
      <c r="FO86" s="4"/>
      <c r="FP86" s="4"/>
      <c r="FQ86" s="4"/>
      <c r="FR86" s="4"/>
      <c r="FS86" s="4"/>
      <c r="FT86" s="4"/>
      <c r="FU86" s="4"/>
      <c r="FV86" s="4"/>
      <c r="FW86" s="4"/>
      <c r="FX86" s="4"/>
      <c r="FY86" s="4"/>
      <c r="FZ86" s="4"/>
      <c r="GA86" s="4"/>
      <c r="GB86" s="4"/>
      <c r="GC86" s="4"/>
    </row>
    <row r="87" spans="5:185" x14ac:dyDescent="0.25">
      <c r="E87" s="11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4"/>
      <c r="EI87" s="4"/>
      <c r="EJ87" s="4"/>
      <c r="EK87" s="4"/>
      <c r="EL87" s="4"/>
      <c r="EM87" s="4"/>
      <c r="EN87" s="4"/>
      <c r="EO87" s="4"/>
      <c r="EP87" s="4"/>
      <c r="EQ87" s="4"/>
      <c r="ER87" s="4"/>
      <c r="ES87" s="4"/>
      <c r="ET87" s="4"/>
      <c r="EU87" s="4"/>
      <c r="EV87" s="4"/>
      <c r="EW87" s="4"/>
      <c r="EX87" s="4"/>
      <c r="EY87" s="4"/>
      <c r="EZ87" s="4"/>
      <c r="FA87" s="4"/>
      <c r="FB87" s="4"/>
      <c r="FC87" s="4"/>
      <c r="FD87" s="4"/>
      <c r="FE87" s="4"/>
      <c r="FF87" s="4"/>
      <c r="FG87" s="4"/>
      <c r="FH87" s="4"/>
      <c r="FI87" s="4"/>
      <c r="FJ87" s="4"/>
      <c r="FK87" s="4"/>
      <c r="FL87" s="4"/>
      <c r="FM87" s="4"/>
      <c r="FN87" s="4"/>
      <c r="FO87" s="4"/>
      <c r="FP87" s="4"/>
      <c r="FQ87" s="4"/>
      <c r="FR87" s="4"/>
      <c r="FS87" s="4"/>
      <c r="FT87" s="4"/>
      <c r="FU87" s="4"/>
      <c r="FV87" s="4"/>
      <c r="FW87" s="4"/>
      <c r="FX87" s="4"/>
      <c r="FY87" s="4"/>
      <c r="FZ87" s="4"/>
      <c r="GA87" s="4"/>
      <c r="GB87" s="4"/>
      <c r="GC87" s="4"/>
    </row>
    <row r="88" spans="5:185" x14ac:dyDescent="0.25">
      <c r="E88" s="11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4"/>
      <c r="EI88" s="4"/>
      <c r="EJ88" s="4"/>
      <c r="EK88" s="4"/>
      <c r="EL88" s="4"/>
      <c r="EM88" s="4"/>
      <c r="EN88" s="4"/>
      <c r="EO88" s="4"/>
      <c r="EP88" s="4"/>
      <c r="EQ88" s="4"/>
      <c r="ER88" s="4"/>
      <c r="ES88" s="4"/>
      <c r="ET88" s="4"/>
      <c r="EU88" s="4"/>
      <c r="EV88" s="4"/>
      <c r="EW88" s="4"/>
      <c r="EX88" s="4"/>
      <c r="EY88" s="4"/>
      <c r="EZ88" s="4"/>
      <c r="FA88" s="4"/>
      <c r="FB88" s="4"/>
      <c r="FC88" s="4"/>
      <c r="FD88" s="4"/>
      <c r="FE88" s="4"/>
      <c r="FF88" s="4"/>
      <c r="FG88" s="4"/>
      <c r="FH88" s="4"/>
      <c r="FI88" s="4"/>
      <c r="FJ88" s="4"/>
      <c r="FK88" s="4"/>
      <c r="FL88" s="4"/>
      <c r="FM88" s="4"/>
      <c r="FN88" s="4"/>
      <c r="FO88" s="4"/>
      <c r="FP88" s="4"/>
      <c r="FQ88" s="4"/>
      <c r="FR88" s="4"/>
      <c r="FS88" s="4"/>
      <c r="FT88" s="4"/>
      <c r="FU88" s="4"/>
      <c r="FV88" s="4"/>
      <c r="FW88" s="4"/>
      <c r="FX88" s="4"/>
      <c r="FY88" s="4"/>
      <c r="FZ88" s="4"/>
      <c r="GA88" s="4"/>
      <c r="GB88" s="4"/>
      <c r="GC88" s="4"/>
    </row>
    <row r="89" spans="5:185" x14ac:dyDescent="0.25">
      <c r="E89" s="11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4"/>
      <c r="EI89" s="4"/>
      <c r="EJ89" s="4"/>
      <c r="EK89" s="4"/>
      <c r="EL89" s="4"/>
      <c r="EM89" s="4"/>
      <c r="EN89" s="4"/>
      <c r="EO89" s="4"/>
      <c r="EP89" s="4"/>
      <c r="EQ89" s="4"/>
      <c r="ER89" s="4"/>
      <c r="ES89" s="4"/>
      <c r="ET89" s="4"/>
      <c r="EU89" s="4"/>
      <c r="EV89" s="4"/>
      <c r="EW89" s="4"/>
      <c r="EX89" s="4"/>
      <c r="EY89" s="4"/>
      <c r="EZ89" s="4"/>
      <c r="FA89" s="4"/>
      <c r="FB89" s="4"/>
      <c r="FC89" s="4"/>
      <c r="FD89" s="4"/>
      <c r="FE89" s="4"/>
      <c r="FF89" s="4"/>
      <c r="FG89" s="4"/>
      <c r="FH89" s="4"/>
      <c r="FI89" s="4"/>
      <c r="FJ89" s="4"/>
      <c r="FK89" s="4"/>
      <c r="FL89" s="4"/>
      <c r="FM89" s="4"/>
      <c r="FN89" s="4"/>
      <c r="FO89" s="4"/>
      <c r="FP89" s="4"/>
      <c r="FQ89" s="4"/>
      <c r="FR89" s="4"/>
      <c r="FS89" s="4"/>
      <c r="FT89" s="4"/>
      <c r="FU89" s="4"/>
      <c r="FV89" s="4"/>
      <c r="FW89" s="4"/>
      <c r="FX89" s="4"/>
      <c r="FY89" s="4"/>
      <c r="FZ89" s="4"/>
      <c r="GA89" s="4"/>
      <c r="GB89" s="4"/>
      <c r="GC89" s="4"/>
    </row>
    <row r="90" spans="5:185" x14ac:dyDescent="0.25">
      <c r="E90" s="11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4"/>
      <c r="EI90" s="4"/>
      <c r="EJ90" s="4"/>
      <c r="EK90" s="4"/>
      <c r="EL90" s="4"/>
      <c r="EM90" s="4"/>
      <c r="EN90" s="4"/>
      <c r="EO90" s="4"/>
      <c r="EP90" s="4"/>
      <c r="EQ90" s="4"/>
      <c r="ER90" s="4"/>
      <c r="ES90" s="4"/>
      <c r="ET90" s="4"/>
      <c r="EU90" s="4"/>
      <c r="EV90" s="4"/>
      <c r="EW90" s="4"/>
      <c r="EX90" s="4"/>
      <c r="EY90" s="4"/>
      <c r="EZ90" s="4"/>
      <c r="FA90" s="4"/>
      <c r="FB90" s="4"/>
      <c r="FC90" s="4"/>
      <c r="FD90" s="4"/>
      <c r="FE90" s="4"/>
      <c r="FF90" s="4"/>
      <c r="FG90" s="4"/>
      <c r="FH90" s="4"/>
      <c r="FI90" s="4"/>
      <c r="FJ90" s="4"/>
      <c r="FK90" s="4"/>
      <c r="FL90" s="4"/>
      <c r="FM90" s="4"/>
      <c r="FN90" s="4"/>
      <c r="FO90" s="4"/>
      <c r="FP90" s="4"/>
      <c r="FQ90" s="4"/>
      <c r="FR90" s="4"/>
      <c r="FS90" s="4"/>
      <c r="FT90" s="4"/>
      <c r="FU90" s="4"/>
      <c r="FV90" s="4"/>
      <c r="FW90" s="4"/>
      <c r="FX90" s="4"/>
      <c r="FY90" s="4"/>
      <c r="FZ90" s="4"/>
      <c r="GA90" s="4"/>
      <c r="GB90" s="4"/>
      <c r="GC90" s="4"/>
    </row>
    <row r="91" spans="5:185" x14ac:dyDescent="0.25">
      <c r="E91" s="11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4"/>
      <c r="EI91" s="4"/>
      <c r="EJ91" s="4"/>
      <c r="EK91" s="4"/>
      <c r="EL91" s="4"/>
      <c r="EM91" s="4"/>
      <c r="EN91" s="4"/>
      <c r="EO91" s="4"/>
      <c r="EP91" s="4"/>
      <c r="EQ91" s="4"/>
      <c r="ER91" s="4"/>
      <c r="ES91" s="4"/>
      <c r="ET91" s="4"/>
      <c r="EU91" s="4"/>
      <c r="EV91" s="4"/>
      <c r="EW91" s="4"/>
      <c r="EX91" s="4"/>
      <c r="EY91" s="4"/>
      <c r="EZ91" s="4"/>
      <c r="FA91" s="4"/>
      <c r="FB91" s="4"/>
      <c r="FC91" s="4"/>
      <c r="FD91" s="4"/>
      <c r="FE91" s="4"/>
      <c r="FF91" s="4"/>
      <c r="FG91" s="4"/>
      <c r="FH91" s="4"/>
      <c r="FI91" s="4"/>
      <c r="FJ91" s="4"/>
      <c r="FK91" s="4"/>
      <c r="FL91" s="4"/>
      <c r="FM91" s="4"/>
      <c r="FN91" s="4"/>
      <c r="FO91" s="4"/>
      <c r="FP91" s="4"/>
      <c r="FQ91" s="4"/>
      <c r="FR91" s="4"/>
      <c r="FS91" s="4"/>
      <c r="FT91" s="4"/>
      <c r="FU91" s="4"/>
      <c r="FV91" s="4"/>
      <c r="FW91" s="4"/>
      <c r="FX91" s="4"/>
      <c r="FY91" s="4"/>
      <c r="FZ91" s="4"/>
      <c r="GA91" s="4"/>
      <c r="GB91" s="4"/>
      <c r="GC91" s="4"/>
    </row>
    <row r="92" spans="5:185" x14ac:dyDescent="0.25">
      <c r="E92" s="11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4"/>
      <c r="EI92" s="4"/>
      <c r="EJ92" s="4"/>
      <c r="EK92" s="4"/>
      <c r="EL92" s="4"/>
      <c r="EM92" s="4"/>
      <c r="EN92" s="4"/>
      <c r="EO92" s="4"/>
      <c r="EP92" s="4"/>
      <c r="EQ92" s="4"/>
      <c r="ER92" s="4"/>
      <c r="ES92" s="4"/>
      <c r="ET92" s="4"/>
      <c r="EU92" s="4"/>
      <c r="EV92" s="4"/>
      <c r="EW92" s="4"/>
      <c r="EX92" s="4"/>
      <c r="EY92" s="4"/>
      <c r="EZ92" s="4"/>
      <c r="FA92" s="4"/>
      <c r="FB92" s="4"/>
      <c r="FC92" s="4"/>
      <c r="FD92" s="4"/>
      <c r="FE92" s="4"/>
      <c r="FF92" s="4"/>
      <c r="FG92" s="4"/>
      <c r="FH92" s="4"/>
      <c r="FI92" s="4"/>
      <c r="FJ92" s="4"/>
      <c r="FK92" s="4"/>
      <c r="FL92" s="4"/>
      <c r="FM92" s="4"/>
      <c r="FN92" s="4"/>
      <c r="FO92" s="4"/>
      <c r="FP92" s="4"/>
      <c r="FQ92" s="4"/>
      <c r="FR92" s="4"/>
      <c r="FS92" s="4"/>
      <c r="FT92" s="4"/>
      <c r="FU92" s="4"/>
      <c r="FV92" s="4"/>
      <c r="FW92" s="4"/>
      <c r="FX92" s="4"/>
      <c r="FY92" s="4"/>
      <c r="FZ92" s="4"/>
      <c r="GA92" s="4"/>
      <c r="GB92" s="4"/>
      <c r="GC92" s="4"/>
    </row>
    <row r="93" spans="5:185" x14ac:dyDescent="0.25">
      <c r="E93" s="11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4"/>
      <c r="EI93" s="4"/>
      <c r="EJ93" s="4"/>
      <c r="EK93" s="4"/>
      <c r="EL93" s="4"/>
      <c r="EM93" s="4"/>
      <c r="EN93" s="4"/>
      <c r="EO93" s="4"/>
      <c r="EP93" s="4"/>
      <c r="EQ93" s="4"/>
      <c r="ER93" s="4"/>
      <c r="ES93" s="4"/>
      <c r="ET93" s="4"/>
      <c r="EU93" s="4"/>
      <c r="EV93" s="4"/>
      <c r="EW93" s="4"/>
      <c r="EX93" s="4"/>
      <c r="EY93" s="4"/>
      <c r="EZ93" s="4"/>
      <c r="FA93" s="4"/>
      <c r="FB93" s="4"/>
      <c r="FC93" s="4"/>
      <c r="FD93" s="4"/>
      <c r="FE93" s="4"/>
      <c r="FF93" s="4"/>
      <c r="FG93" s="4"/>
      <c r="FH93" s="4"/>
      <c r="FI93" s="4"/>
      <c r="FJ93" s="4"/>
      <c r="FK93" s="4"/>
      <c r="FL93" s="4"/>
      <c r="FM93" s="4"/>
      <c r="FN93" s="4"/>
      <c r="FO93" s="4"/>
      <c r="FP93" s="4"/>
      <c r="FQ93" s="4"/>
      <c r="FR93" s="4"/>
      <c r="FS93" s="4"/>
      <c r="FT93" s="4"/>
      <c r="FU93" s="4"/>
      <c r="FV93" s="4"/>
      <c r="FW93" s="4"/>
      <c r="FX93" s="4"/>
      <c r="FY93" s="4"/>
      <c r="FZ93" s="4"/>
      <c r="GA93" s="4"/>
      <c r="GB93" s="4"/>
      <c r="GC93" s="4"/>
    </row>
    <row r="94" spans="5:185" x14ac:dyDescent="0.25">
      <c r="E94" s="11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4"/>
      <c r="EI94" s="4"/>
      <c r="EJ94" s="4"/>
      <c r="EK94" s="4"/>
      <c r="EL94" s="4"/>
      <c r="EM94" s="4"/>
      <c r="EN94" s="4"/>
      <c r="EO94" s="4"/>
      <c r="EP94" s="4"/>
      <c r="EQ94" s="4"/>
      <c r="ER94" s="4"/>
      <c r="ES94" s="4"/>
      <c r="ET94" s="4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/>
      <c r="FJ94" s="4"/>
      <c r="FK94" s="4"/>
      <c r="FL94" s="4"/>
      <c r="FM94" s="4"/>
      <c r="FN94" s="4"/>
      <c r="FO94" s="4"/>
      <c r="FP94" s="4"/>
      <c r="FQ94" s="4"/>
      <c r="FR94" s="4"/>
      <c r="FS94" s="4"/>
      <c r="FT94" s="4"/>
      <c r="FU94" s="4"/>
      <c r="FV94" s="4"/>
      <c r="FW94" s="4"/>
      <c r="FX94" s="4"/>
      <c r="FY94" s="4"/>
      <c r="FZ94" s="4"/>
      <c r="GA94" s="4"/>
      <c r="GB94" s="4"/>
      <c r="GC94" s="4"/>
    </row>
    <row r="95" spans="5:185" x14ac:dyDescent="0.25">
      <c r="E95" s="11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4"/>
      <c r="EI95" s="4"/>
      <c r="EJ95" s="4"/>
      <c r="EK95" s="4"/>
      <c r="EL95" s="4"/>
      <c r="EM95" s="4"/>
      <c r="EN95" s="4"/>
      <c r="EO95" s="4"/>
      <c r="EP95" s="4"/>
      <c r="EQ95" s="4"/>
      <c r="ER95" s="4"/>
      <c r="ES95" s="4"/>
      <c r="ET95" s="4"/>
      <c r="EU95" s="4"/>
      <c r="EV95" s="4"/>
      <c r="EW95" s="4"/>
      <c r="EX95" s="4"/>
      <c r="EY95" s="4"/>
      <c r="EZ95" s="4"/>
      <c r="FA95" s="4"/>
      <c r="FB95" s="4"/>
      <c r="FC95" s="4"/>
      <c r="FD95" s="4"/>
      <c r="FE95" s="4"/>
      <c r="FF95" s="4"/>
      <c r="FG95" s="4"/>
      <c r="FH95" s="4"/>
      <c r="FI95" s="4"/>
      <c r="FJ95" s="4"/>
      <c r="FK95" s="4"/>
      <c r="FL95" s="4"/>
      <c r="FM95" s="4"/>
      <c r="FN95" s="4"/>
      <c r="FO95" s="4"/>
      <c r="FP95" s="4"/>
      <c r="FQ95" s="4"/>
      <c r="FR95" s="4"/>
      <c r="FS95" s="4"/>
      <c r="FT95" s="4"/>
      <c r="FU95" s="4"/>
      <c r="FV95" s="4"/>
      <c r="FW95" s="4"/>
      <c r="FX95" s="4"/>
      <c r="FY95" s="4"/>
      <c r="FZ95" s="4"/>
      <c r="GA95" s="4"/>
      <c r="GB95" s="4"/>
      <c r="GC95" s="4"/>
    </row>
    <row r="96" spans="5:185" x14ac:dyDescent="0.25">
      <c r="E96" s="9"/>
    </row>
    <row r="97" spans="1:8" x14ac:dyDescent="0.25">
      <c r="E97" s="9"/>
    </row>
    <row r="99" spans="1:8" x14ac:dyDescent="0.25">
      <c r="A99" s="8" t="s">
        <v>10</v>
      </c>
      <c r="B99" s="8" t="s">
        <v>8</v>
      </c>
      <c r="C99" s="8" t="s">
        <v>9</v>
      </c>
      <c r="D99" s="8" t="s">
        <v>7</v>
      </c>
      <c r="E99" s="8" t="s">
        <v>11</v>
      </c>
      <c r="F99" s="8" t="s">
        <v>12</v>
      </c>
      <c r="G99" s="8" t="s">
        <v>18</v>
      </c>
      <c r="H99" s="8" t="s">
        <v>16</v>
      </c>
    </row>
    <row r="100" spans="1:8" x14ac:dyDescent="0.25">
      <c r="A100" t="s">
        <v>41</v>
      </c>
      <c r="B100">
        <f>COUNTA(A1:HA1)</f>
        <v>6</v>
      </c>
      <c r="C100">
        <f>COUNTA(A1:A95)</f>
        <v>37</v>
      </c>
      <c r="D100">
        <f>SUM(E100,H100)</f>
        <v>26205</v>
      </c>
      <c r="E100">
        <f>SUM(B3:B95)</f>
        <v>25002</v>
      </c>
      <c r="F100">
        <f>SUM(C3:C95)</f>
        <v>6573</v>
      </c>
      <c r="G100">
        <v>5370</v>
      </c>
      <c r="H100">
        <f>F100-G100</f>
        <v>1203</v>
      </c>
    </row>
    <row r="101" spans="1:8" x14ac:dyDescent="0.25">
      <c r="A101" t="s">
        <v>42</v>
      </c>
      <c r="C101">
        <f>COUNTA(E1:E95)</f>
        <v>24</v>
      </c>
      <c r="D101">
        <f>SUM(E101,H101)</f>
        <v>913</v>
      </c>
      <c r="E101">
        <f>SUM(F3:F95)</f>
        <v>-2994</v>
      </c>
      <c r="F101">
        <f>SUM(G3:G95)</f>
        <v>7717</v>
      </c>
      <c r="G101">
        <v>3810</v>
      </c>
      <c r="H101">
        <f>F101-G101</f>
        <v>3907</v>
      </c>
    </row>
    <row r="102" spans="1:8" x14ac:dyDescent="0.25">
      <c r="A102" t="s">
        <v>82</v>
      </c>
      <c r="C102">
        <f>COUNTA(I1:I95)</f>
        <v>3</v>
      </c>
      <c r="D102">
        <f>SUM(E102,H102)</f>
        <v>21</v>
      </c>
      <c r="E102">
        <f>SUM(J3:J95)</f>
        <v>10</v>
      </c>
      <c r="F102">
        <f>SUM(K3:K95)</f>
        <v>11</v>
      </c>
      <c r="H102">
        <f>F102-G102</f>
        <v>11</v>
      </c>
    </row>
    <row r="103" spans="1:8" x14ac:dyDescent="0.25">
      <c r="A103" t="s">
        <v>83</v>
      </c>
      <c r="C103">
        <f>COUNTA(M1:M95)</f>
        <v>3</v>
      </c>
      <c r="D103">
        <f>SUM(E103,H103)</f>
        <v>29</v>
      </c>
      <c r="E103">
        <f>SUM(N3:N95)</f>
        <v>14</v>
      </c>
      <c r="F103">
        <f>SUM(O3:O95)</f>
        <v>15</v>
      </c>
      <c r="H103">
        <f>F103-G103</f>
        <v>15</v>
      </c>
    </row>
    <row r="104" spans="1:8" x14ac:dyDescent="0.25">
      <c r="A104" t="s">
        <v>84</v>
      </c>
      <c r="C104">
        <f>COUNTA(Q1:Q95)</f>
        <v>3</v>
      </c>
      <c r="D104">
        <f t="shared" ref="D104:D108" si="0">SUM(E104,H104)</f>
        <v>37</v>
      </c>
      <c r="E104">
        <f>SUM(R3:R95)</f>
        <v>18</v>
      </c>
      <c r="F104">
        <f>SUM(S3:S95)</f>
        <v>19</v>
      </c>
      <c r="H104">
        <f t="shared" ref="H104:H130" si="1">F104-G104</f>
        <v>19</v>
      </c>
    </row>
    <row r="105" spans="1:8" x14ac:dyDescent="0.25">
      <c r="A105" t="s">
        <v>97</v>
      </c>
      <c r="C105">
        <f>COUNTA(U1:U95)</f>
        <v>3</v>
      </c>
      <c r="D105">
        <f>SUM(E105,H105)</f>
        <v>45</v>
      </c>
      <c r="E105">
        <f>SUM(V3:V95)</f>
        <v>22</v>
      </c>
      <c r="F105">
        <f>SUM(W3:W95)</f>
        <v>23</v>
      </c>
      <c r="H105">
        <f t="shared" si="1"/>
        <v>23</v>
      </c>
    </row>
    <row r="106" spans="1:8" x14ac:dyDescent="0.25">
      <c r="C106">
        <f>COUNTA(Y1:Y95)</f>
        <v>1</v>
      </c>
      <c r="D106">
        <f t="shared" si="0"/>
        <v>53</v>
      </c>
      <c r="E106">
        <f>SUM(Z3:Z95)</f>
        <v>26</v>
      </c>
      <c r="F106">
        <f>SUM(AA3:AA95)</f>
        <v>27</v>
      </c>
      <c r="H106">
        <f t="shared" si="1"/>
        <v>27</v>
      </c>
    </row>
    <row r="107" spans="1:8" x14ac:dyDescent="0.25">
      <c r="C107">
        <f>COUNTA(AC1:AC95)</f>
        <v>1</v>
      </c>
      <c r="D107">
        <f t="shared" si="0"/>
        <v>61</v>
      </c>
      <c r="E107">
        <f>SUM(AD3:AD95)</f>
        <v>30</v>
      </c>
      <c r="F107">
        <f>SUM(AE3:AE95)</f>
        <v>31</v>
      </c>
      <c r="H107">
        <f t="shared" si="1"/>
        <v>31</v>
      </c>
    </row>
    <row r="108" spans="1:8" x14ac:dyDescent="0.25">
      <c r="C108">
        <f>COUNTA(AG1:AG95)</f>
        <v>1</v>
      </c>
      <c r="D108">
        <f t="shared" si="0"/>
        <v>69</v>
      </c>
      <c r="E108">
        <f>SUM(AH3:AH95)</f>
        <v>34</v>
      </c>
      <c r="F108">
        <f>SUM(AI3:AI95)</f>
        <v>35</v>
      </c>
      <c r="H108">
        <f t="shared" si="1"/>
        <v>35</v>
      </c>
    </row>
    <row r="109" spans="1:8" x14ac:dyDescent="0.25">
      <c r="C109">
        <f>COUNTA(AK1:AK95)</f>
        <v>1</v>
      </c>
      <c r="D109">
        <f t="shared" ref="D109:D148" si="2">SUM(E109,H109)</f>
        <v>77</v>
      </c>
      <c r="E109">
        <f>SUM(AL3:AL95)</f>
        <v>38</v>
      </c>
      <c r="F109">
        <f>SUM(AM3:AM95)</f>
        <v>39</v>
      </c>
      <c r="H109">
        <f t="shared" si="1"/>
        <v>39</v>
      </c>
    </row>
    <row r="110" spans="1:8" x14ac:dyDescent="0.25">
      <c r="C110">
        <f>COUNTA(AO1:AO95)</f>
        <v>1</v>
      </c>
      <c r="D110">
        <f t="shared" si="2"/>
        <v>85</v>
      </c>
      <c r="E110">
        <f>SUM(AP3:AP95)</f>
        <v>42</v>
      </c>
      <c r="F110">
        <f>SUM(AQ3:AQ95)</f>
        <v>43</v>
      </c>
      <c r="H110">
        <f t="shared" si="1"/>
        <v>43</v>
      </c>
    </row>
    <row r="111" spans="1:8" x14ac:dyDescent="0.25">
      <c r="C111">
        <f>COUNTA(AS1:AS95)</f>
        <v>1</v>
      </c>
      <c r="D111">
        <f t="shared" si="2"/>
        <v>93</v>
      </c>
      <c r="E111">
        <f>SUM(AT3:AT95)</f>
        <v>46</v>
      </c>
      <c r="F111">
        <f>SUM(AU3:AU95)</f>
        <v>47</v>
      </c>
      <c r="H111">
        <f t="shared" si="1"/>
        <v>47</v>
      </c>
    </row>
    <row r="112" spans="1:8" x14ac:dyDescent="0.25">
      <c r="C112">
        <f>COUNTA(AW1:AW95)</f>
        <v>1</v>
      </c>
      <c r="D112">
        <f t="shared" si="2"/>
        <v>101</v>
      </c>
      <c r="E112">
        <f>SUM(AX3:AX95)</f>
        <v>50</v>
      </c>
      <c r="F112">
        <f>SUM(AY3:AY95)</f>
        <v>51</v>
      </c>
      <c r="H112">
        <f t="shared" si="1"/>
        <v>51</v>
      </c>
    </row>
    <row r="113" spans="3:8" x14ac:dyDescent="0.25">
      <c r="C113">
        <f>COUNTA(BA1:BA95)</f>
        <v>1</v>
      </c>
      <c r="D113">
        <f t="shared" si="2"/>
        <v>109</v>
      </c>
      <c r="E113">
        <f>SUM(BB3:BB95)</f>
        <v>54</v>
      </c>
      <c r="F113">
        <f>SUM(BC3:BC95)</f>
        <v>55</v>
      </c>
      <c r="H113">
        <f t="shared" si="1"/>
        <v>55</v>
      </c>
    </row>
    <row r="114" spans="3:8" x14ac:dyDescent="0.25">
      <c r="C114">
        <f>COUNTA(BE1:BE95)</f>
        <v>1</v>
      </c>
      <c r="D114">
        <f t="shared" si="2"/>
        <v>117</v>
      </c>
      <c r="E114">
        <f>SUM(BF3:BF95)</f>
        <v>58</v>
      </c>
      <c r="F114">
        <f>SUM(BG3:BG95)</f>
        <v>59</v>
      </c>
      <c r="H114">
        <f t="shared" si="1"/>
        <v>59</v>
      </c>
    </row>
    <row r="115" spans="3:8" x14ac:dyDescent="0.25">
      <c r="C115">
        <f>COUNTA(BI1:BI95)</f>
        <v>1</v>
      </c>
      <c r="D115">
        <f t="shared" si="2"/>
        <v>125</v>
      </c>
      <c r="E115">
        <f>SUM(BJ3:BJ95)</f>
        <v>62</v>
      </c>
      <c r="F115">
        <f>SUM(BK3:BK95)</f>
        <v>63</v>
      </c>
      <c r="H115">
        <f t="shared" si="1"/>
        <v>63</v>
      </c>
    </row>
    <row r="116" spans="3:8" x14ac:dyDescent="0.25">
      <c r="C116">
        <f>COUNTA(BM1:BM95)</f>
        <v>1</v>
      </c>
      <c r="D116">
        <f t="shared" si="2"/>
        <v>133</v>
      </c>
      <c r="E116">
        <f>SUM(BN3:BN95)</f>
        <v>66</v>
      </c>
      <c r="F116">
        <f>SUM(BO3:BO95)</f>
        <v>67</v>
      </c>
      <c r="H116">
        <f t="shared" si="1"/>
        <v>67</v>
      </c>
    </row>
    <row r="117" spans="3:8" x14ac:dyDescent="0.25">
      <c r="C117">
        <f>COUNTA(BQ1:BQ95)</f>
        <v>1</v>
      </c>
      <c r="D117">
        <f t="shared" si="2"/>
        <v>141</v>
      </c>
      <c r="E117">
        <f>SUM(BR3:BR95)</f>
        <v>70</v>
      </c>
      <c r="F117">
        <f>SUM(BS3:BS95)</f>
        <v>71</v>
      </c>
      <c r="H117">
        <f t="shared" si="1"/>
        <v>71</v>
      </c>
    </row>
    <row r="118" spans="3:8" x14ac:dyDescent="0.25">
      <c r="C118">
        <f>COUNTA(BU1:BU95)</f>
        <v>1</v>
      </c>
      <c r="D118">
        <f t="shared" si="2"/>
        <v>149</v>
      </c>
      <c r="E118">
        <f>SUM(BV3:BV95)</f>
        <v>74</v>
      </c>
      <c r="F118">
        <f>SUM(BW3:BW95)</f>
        <v>75</v>
      </c>
      <c r="H118">
        <f t="shared" si="1"/>
        <v>75</v>
      </c>
    </row>
    <row r="119" spans="3:8" x14ac:dyDescent="0.25">
      <c r="C119">
        <f>COUNTA(BY1:BY95)</f>
        <v>1</v>
      </c>
      <c r="D119">
        <f t="shared" si="2"/>
        <v>157</v>
      </c>
      <c r="E119">
        <f>SUM(BZ3:BZ95)</f>
        <v>78</v>
      </c>
      <c r="F119">
        <f>SUM(CA3:CA95)</f>
        <v>79</v>
      </c>
      <c r="H119">
        <f t="shared" si="1"/>
        <v>79</v>
      </c>
    </row>
    <row r="120" spans="3:8" x14ac:dyDescent="0.25">
      <c r="C120">
        <f>COUNTA(CC1:CC95)</f>
        <v>1</v>
      </c>
      <c r="D120">
        <f t="shared" si="2"/>
        <v>165</v>
      </c>
      <c r="E120">
        <f>SUM(CD3:CD95)</f>
        <v>82</v>
      </c>
      <c r="F120">
        <f>SUM(CE3:CE95)</f>
        <v>83</v>
      </c>
      <c r="H120">
        <f t="shared" si="1"/>
        <v>83</v>
      </c>
    </row>
    <row r="121" spans="3:8" x14ac:dyDescent="0.25">
      <c r="C121">
        <f>COUNTA(CG1:CG95)</f>
        <v>1</v>
      </c>
      <c r="D121">
        <f t="shared" si="2"/>
        <v>173</v>
      </c>
      <c r="E121">
        <f>SUM(CH3:CH95)</f>
        <v>86</v>
      </c>
      <c r="F121">
        <f>SUM(CI3:CI95)</f>
        <v>87</v>
      </c>
      <c r="H121">
        <f t="shared" si="1"/>
        <v>87</v>
      </c>
    </row>
    <row r="122" spans="3:8" x14ac:dyDescent="0.25">
      <c r="C122">
        <f>COUNTA(CK1:CK95)</f>
        <v>1</v>
      </c>
      <c r="D122">
        <f t="shared" si="2"/>
        <v>181</v>
      </c>
      <c r="E122">
        <f>SUM(CL3:CL95)</f>
        <v>90</v>
      </c>
      <c r="F122">
        <f>SUM(CM3:CM95)</f>
        <v>91</v>
      </c>
      <c r="H122">
        <f t="shared" si="1"/>
        <v>91</v>
      </c>
    </row>
    <row r="123" spans="3:8" x14ac:dyDescent="0.25">
      <c r="C123">
        <f>COUNTA(CO1:CO95)</f>
        <v>1</v>
      </c>
      <c r="D123">
        <f t="shared" si="2"/>
        <v>189</v>
      </c>
      <c r="E123">
        <f>SUM(CP3:CP95)</f>
        <v>94</v>
      </c>
      <c r="F123">
        <f>SUM(CQ3:CQ95)</f>
        <v>95</v>
      </c>
      <c r="H123">
        <f t="shared" si="1"/>
        <v>95</v>
      </c>
    </row>
    <row r="124" spans="3:8" x14ac:dyDescent="0.25">
      <c r="C124">
        <f>COUNTA(CS1:CS95)</f>
        <v>1</v>
      </c>
      <c r="D124">
        <f t="shared" si="2"/>
        <v>197</v>
      </c>
      <c r="E124">
        <f>SUM(CT3:CT95)</f>
        <v>98</v>
      </c>
      <c r="F124">
        <f>SUM(CU3:CU95)</f>
        <v>99</v>
      </c>
      <c r="H124">
        <f t="shared" si="1"/>
        <v>99</v>
      </c>
    </row>
    <row r="125" spans="3:8" x14ac:dyDescent="0.25">
      <c r="C125">
        <f>COUNTA(CW1:CW95)</f>
        <v>1</v>
      </c>
      <c r="D125">
        <f t="shared" si="2"/>
        <v>205</v>
      </c>
      <c r="E125">
        <f>SUM(CX3:CX95)</f>
        <v>102</v>
      </c>
      <c r="F125">
        <f>SUM(CY3:CY95)</f>
        <v>103</v>
      </c>
      <c r="H125">
        <f t="shared" si="1"/>
        <v>103</v>
      </c>
    </row>
    <row r="126" spans="3:8" x14ac:dyDescent="0.25">
      <c r="C126">
        <f>COUNTA(DA1:DA95)</f>
        <v>1</v>
      </c>
      <c r="D126">
        <f t="shared" si="2"/>
        <v>213</v>
      </c>
      <c r="E126">
        <f>SUM(DB3:DB95)</f>
        <v>106</v>
      </c>
      <c r="F126">
        <f>SUM(DC3:DC95)</f>
        <v>107</v>
      </c>
      <c r="H126">
        <f t="shared" si="1"/>
        <v>107</v>
      </c>
    </row>
    <row r="127" spans="3:8" x14ac:dyDescent="0.25">
      <c r="C127">
        <f>COUNTA(DE1:DE95)</f>
        <v>1</v>
      </c>
      <c r="D127">
        <f t="shared" si="2"/>
        <v>221</v>
      </c>
      <c r="E127">
        <f>SUM(DF3:DF95)</f>
        <v>110</v>
      </c>
      <c r="F127">
        <f>SUM(DG3:DG95)</f>
        <v>111</v>
      </c>
      <c r="H127">
        <f t="shared" si="1"/>
        <v>111</v>
      </c>
    </row>
    <row r="128" spans="3:8" x14ac:dyDescent="0.25">
      <c r="C128">
        <f>COUNTA(DI1:DI95)</f>
        <v>1</v>
      </c>
      <c r="D128">
        <f t="shared" si="2"/>
        <v>229</v>
      </c>
      <c r="E128">
        <f>SUM(DJ3:DJ95)</f>
        <v>114</v>
      </c>
      <c r="F128">
        <f>SUM(DK3:DK95)</f>
        <v>115</v>
      </c>
      <c r="H128">
        <f t="shared" si="1"/>
        <v>115</v>
      </c>
    </row>
    <row r="129" spans="3:8" x14ac:dyDescent="0.25">
      <c r="C129">
        <f>COUNTA(DM1:DM95)</f>
        <v>1</v>
      </c>
      <c r="D129">
        <f t="shared" si="2"/>
        <v>237</v>
      </c>
      <c r="E129">
        <f>SUM(DN3:DN95)</f>
        <v>118</v>
      </c>
      <c r="F129">
        <f>SUM(DO3:DO95)</f>
        <v>119</v>
      </c>
      <c r="H129">
        <f t="shared" si="1"/>
        <v>119</v>
      </c>
    </row>
    <row r="130" spans="3:8" x14ac:dyDescent="0.25">
      <c r="C130">
        <f>COUNTA(DQ1:DQ95)</f>
        <v>1</v>
      </c>
      <c r="D130">
        <f t="shared" si="2"/>
        <v>245</v>
      </c>
      <c r="E130">
        <f>SUM(DR3:DR95)</f>
        <v>122</v>
      </c>
      <c r="F130">
        <f>SUM(DS3:DS95)</f>
        <v>123</v>
      </c>
      <c r="H130">
        <f t="shared" si="1"/>
        <v>123</v>
      </c>
    </row>
    <row r="131" spans="3:8" x14ac:dyDescent="0.25">
      <c r="C131">
        <f>COUNTA(DU1:DU95)</f>
        <v>1</v>
      </c>
      <c r="D131">
        <f t="shared" si="2"/>
        <v>253</v>
      </c>
      <c r="E131">
        <f>SUM(DV3:DV95)</f>
        <v>126</v>
      </c>
      <c r="F131">
        <f>SUM(DW3:DW95)</f>
        <v>127</v>
      </c>
      <c r="H131">
        <f t="shared" ref="H131:H148" si="3">F131-G103</f>
        <v>127</v>
      </c>
    </row>
    <row r="132" spans="3:8" x14ac:dyDescent="0.25">
      <c r="C132">
        <f>COUNTA(DY1:DY95)</f>
        <v>1</v>
      </c>
      <c r="D132">
        <f t="shared" si="2"/>
        <v>257</v>
      </c>
      <c r="E132">
        <f>SUM(DX3:DX95)</f>
        <v>128</v>
      </c>
      <c r="F132">
        <f>SUM(DY3:DY95)</f>
        <v>129</v>
      </c>
      <c r="H132">
        <f t="shared" si="3"/>
        <v>129</v>
      </c>
    </row>
    <row r="133" spans="3:8" x14ac:dyDescent="0.25">
      <c r="C133">
        <f>COUNTA(EC1:EC95)</f>
        <v>1</v>
      </c>
      <c r="D133">
        <f t="shared" si="2"/>
        <v>269</v>
      </c>
      <c r="E133">
        <f>SUM(ED3:ED95)</f>
        <v>134</v>
      </c>
      <c r="F133">
        <f>SUM(EE3:EE95)</f>
        <v>135</v>
      </c>
      <c r="H133">
        <f t="shared" si="3"/>
        <v>135</v>
      </c>
    </row>
    <row r="134" spans="3:8" x14ac:dyDescent="0.25">
      <c r="C134">
        <f>COUNTA(EG1:EG96)</f>
        <v>1</v>
      </c>
      <c r="D134">
        <f t="shared" si="2"/>
        <v>277</v>
      </c>
      <c r="E134">
        <f>SUM(EH3:EH95)</f>
        <v>138</v>
      </c>
      <c r="F134">
        <f>SUM(EI3:EI95)</f>
        <v>139</v>
      </c>
      <c r="H134">
        <f t="shared" si="3"/>
        <v>139</v>
      </c>
    </row>
    <row r="135" spans="3:8" x14ac:dyDescent="0.25">
      <c r="C135">
        <f>COUNTA(EK1:EK95)</f>
        <v>1</v>
      </c>
      <c r="D135">
        <f t="shared" si="2"/>
        <v>285</v>
      </c>
      <c r="E135">
        <f>SUM(EL3:EL95)</f>
        <v>142</v>
      </c>
      <c r="F135">
        <f>SUM(EM3:EM95)</f>
        <v>143</v>
      </c>
      <c r="H135">
        <f t="shared" si="3"/>
        <v>143</v>
      </c>
    </row>
    <row r="136" spans="3:8" x14ac:dyDescent="0.25">
      <c r="C136">
        <f>COUNTA(EO1:EO95)</f>
        <v>1</v>
      </c>
      <c r="D136">
        <f t="shared" si="2"/>
        <v>293</v>
      </c>
      <c r="E136">
        <f>SUM(EP3:EP95)</f>
        <v>146</v>
      </c>
      <c r="F136">
        <f>SUM(EQ3:EQ95)</f>
        <v>147</v>
      </c>
      <c r="H136">
        <f t="shared" si="3"/>
        <v>147</v>
      </c>
    </row>
    <row r="137" spans="3:8" x14ac:dyDescent="0.25">
      <c r="C137">
        <f>COUNTA(ES1:ES95)</f>
        <v>1</v>
      </c>
      <c r="D137">
        <f t="shared" si="2"/>
        <v>301</v>
      </c>
      <c r="E137">
        <f>SUM(ET3:ET95)</f>
        <v>150</v>
      </c>
      <c r="F137">
        <f>SUM(EU3:EU95)</f>
        <v>151</v>
      </c>
      <c r="H137">
        <f t="shared" si="3"/>
        <v>151</v>
      </c>
    </row>
    <row r="138" spans="3:8" x14ac:dyDescent="0.25">
      <c r="C138">
        <f>COUNTA(EW1:EW95)</f>
        <v>1</v>
      </c>
      <c r="D138">
        <f t="shared" si="2"/>
        <v>309</v>
      </c>
      <c r="E138">
        <f>SUM(EX3:EX95)</f>
        <v>154</v>
      </c>
      <c r="F138">
        <f>SUM(EY3:EY95)</f>
        <v>155</v>
      </c>
      <c r="H138">
        <f t="shared" si="3"/>
        <v>155</v>
      </c>
    </row>
    <row r="139" spans="3:8" x14ac:dyDescent="0.25">
      <c r="C139">
        <f>COUNTA(FA1:FA95)</f>
        <v>1</v>
      </c>
      <c r="D139">
        <f t="shared" si="2"/>
        <v>317</v>
      </c>
      <c r="E139">
        <f>SUM(FB3:FB95)</f>
        <v>158</v>
      </c>
      <c r="F139">
        <f>SUM(FC3:FC95)</f>
        <v>159</v>
      </c>
      <c r="H139">
        <f t="shared" si="3"/>
        <v>159</v>
      </c>
    </row>
    <row r="140" spans="3:8" x14ac:dyDescent="0.25">
      <c r="C140">
        <f>COUNTA(FE1:FE95)</f>
        <v>1</v>
      </c>
      <c r="D140">
        <f t="shared" si="2"/>
        <v>325</v>
      </c>
      <c r="E140">
        <f>SUM(FF3:FF95)</f>
        <v>162</v>
      </c>
      <c r="F140">
        <f>SUM(FG3:FG95)</f>
        <v>163</v>
      </c>
      <c r="H140">
        <f t="shared" si="3"/>
        <v>163</v>
      </c>
    </row>
    <row r="141" spans="3:8" x14ac:dyDescent="0.25">
      <c r="C141">
        <f>COUNTA(FI1:FI95)</f>
        <v>1</v>
      </c>
      <c r="D141">
        <f t="shared" si="2"/>
        <v>333</v>
      </c>
      <c r="E141">
        <f>SUM(FJ3:FJ95)</f>
        <v>166</v>
      </c>
      <c r="F141">
        <f>SUM(FK3:FK95)</f>
        <v>167</v>
      </c>
      <c r="H141">
        <f t="shared" si="3"/>
        <v>167</v>
      </c>
    </row>
    <row r="142" spans="3:8" x14ac:dyDescent="0.25">
      <c r="C142">
        <f>COUNTA(FM1:FM95)</f>
        <v>1</v>
      </c>
      <c r="D142">
        <f t="shared" si="2"/>
        <v>341</v>
      </c>
      <c r="E142">
        <f>SUM(FN3:FN95)</f>
        <v>170</v>
      </c>
      <c r="F142">
        <f>SUM(FO3:FO95)</f>
        <v>171</v>
      </c>
      <c r="H142">
        <f t="shared" si="3"/>
        <v>171</v>
      </c>
    </row>
    <row r="143" spans="3:8" x14ac:dyDescent="0.25">
      <c r="C143">
        <f>COUNTA(FQ1:FQ95)</f>
        <v>1</v>
      </c>
      <c r="D143">
        <f t="shared" si="2"/>
        <v>349</v>
      </c>
      <c r="E143">
        <f>SUM(FR3:FR95)</f>
        <v>174</v>
      </c>
      <c r="F143">
        <f>SUM(FS3:FS95)</f>
        <v>175</v>
      </c>
      <c r="H143">
        <f t="shared" si="3"/>
        <v>175</v>
      </c>
    </row>
    <row r="144" spans="3:8" x14ac:dyDescent="0.25">
      <c r="C144">
        <f>COUNTA(FU1:FU95)</f>
        <v>1</v>
      </c>
      <c r="D144">
        <f t="shared" si="2"/>
        <v>357</v>
      </c>
      <c r="E144">
        <f>SUM(FV3:FV95)</f>
        <v>178</v>
      </c>
      <c r="F144">
        <f>SUM(FW3:FW95)</f>
        <v>179</v>
      </c>
      <c r="H144">
        <f t="shared" si="3"/>
        <v>179</v>
      </c>
    </row>
    <row r="145" spans="3:8" x14ac:dyDescent="0.25">
      <c r="C145">
        <f>COUNTA(FY1:FY95)</f>
        <v>1</v>
      </c>
      <c r="D145">
        <f t="shared" si="2"/>
        <v>365</v>
      </c>
      <c r="E145">
        <f>SUM(FZ3:FZ95)</f>
        <v>182</v>
      </c>
      <c r="F145">
        <f>SUM(GA3:GA95)</f>
        <v>183</v>
      </c>
      <c r="H145">
        <f t="shared" si="3"/>
        <v>183</v>
      </c>
    </row>
    <row r="146" spans="3:8" x14ac:dyDescent="0.25">
      <c r="C146">
        <f>COUNTA(GC1:GC95)</f>
        <v>1</v>
      </c>
      <c r="D146">
        <f t="shared" si="2"/>
        <v>373</v>
      </c>
      <c r="E146">
        <f>SUM(GD3:GD95)</f>
        <v>186</v>
      </c>
      <c r="F146">
        <f>SUM(GE3:GE95)</f>
        <v>187</v>
      </c>
      <c r="H146">
        <f t="shared" si="3"/>
        <v>187</v>
      </c>
    </row>
    <row r="147" spans="3:8" x14ac:dyDescent="0.25">
      <c r="C147">
        <f>COUNTA(GG1:GG95)</f>
        <v>1</v>
      </c>
      <c r="D147">
        <f t="shared" si="2"/>
        <v>381</v>
      </c>
      <c r="E147">
        <f>SUM(GH3:GH95)</f>
        <v>190</v>
      </c>
      <c r="F147">
        <f>SUM(GI3:GI95)</f>
        <v>191</v>
      </c>
      <c r="H147">
        <f t="shared" si="3"/>
        <v>191</v>
      </c>
    </row>
    <row r="148" spans="3:8" x14ac:dyDescent="0.25">
      <c r="C148">
        <f>COUNTA(GK1:GK95)</f>
        <v>1</v>
      </c>
      <c r="D148">
        <f t="shared" si="2"/>
        <v>389</v>
      </c>
      <c r="E148">
        <f>SUM(GL3:GL95)</f>
        <v>194</v>
      </c>
      <c r="F148">
        <f>SUM(GM3:GM95)</f>
        <v>195</v>
      </c>
      <c r="H148">
        <f t="shared" si="3"/>
        <v>195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D3A712-EFBF-4449-B331-DE4D6C229FFF}">
  <dimension ref="A1:H12"/>
  <sheetViews>
    <sheetView tabSelected="1" workbookViewId="0">
      <selection activeCell="K9" sqref="K9"/>
    </sheetView>
  </sheetViews>
  <sheetFormatPr defaultRowHeight="15" x14ac:dyDescent="0.25"/>
  <cols>
    <col min="1" max="3" width="13.28515625" style="213" customWidth="1"/>
    <col min="4" max="4" width="2.140625" style="116" customWidth="1"/>
    <col min="5" max="7" width="13.28515625" style="112" customWidth="1"/>
    <col min="8" max="8" width="2.28515625" style="116" customWidth="1"/>
    <col min="9" max="329" width="13.28515625" style="112" customWidth="1"/>
    <col min="330" max="16384" width="9.140625" style="112"/>
  </cols>
  <sheetData>
    <row r="1" spans="1:7" ht="30" customHeight="1" thickBot="1" x14ac:dyDescent="0.3">
      <c r="A1" s="323">
        <v>45321</v>
      </c>
      <c r="B1" s="327"/>
      <c r="E1" s="323">
        <v>45337</v>
      </c>
      <c r="F1" s="327"/>
      <c r="G1" s="213"/>
    </row>
    <row r="2" spans="1:7" ht="15.75" thickBot="1" x14ac:dyDescent="0.3">
      <c r="E2" s="213"/>
      <c r="F2" s="213"/>
      <c r="G2" s="213"/>
    </row>
    <row r="3" spans="1:7" ht="28.5" customHeight="1" x14ac:dyDescent="0.25">
      <c r="A3" s="328" t="s">
        <v>5</v>
      </c>
      <c r="B3" s="329" t="s">
        <v>113</v>
      </c>
      <c r="C3" s="330" t="s">
        <v>11</v>
      </c>
      <c r="E3" s="328" t="s">
        <v>5</v>
      </c>
      <c r="F3" s="329" t="s">
        <v>113</v>
      </c>
      <c r="G3" s="330" t="s">
        <v>11</v>
      </c>
    </row>
    <row r="4" spans="1:7" ht="30" customHeight="1" thickBot="1" x14ac:dyDescent="0.3">
      <c r="A4" s="331">
        <f>SUM(B4:C4)</f>
        <v>8650</v>
      </c>
      <c r="B4" s="183">
        <f>SUM(B7:B114)</f>
        <v>1450</v>
      </c>
      <c r="C4" s="332">
        <f>SUM(C7:C114)</f>
        <v>7200</v>
      </c>
      <c r="E4" s="331">
        <f>SUM(F4:G4)</f>
        <v>6950</v>
      </c>
      <c r="F4" s="183">
        <f>SUM(F7:F114)</f>
        <v>1450</v>
      </c>
      <c r="G4" s="332">
        <f>SUM(G7:G114)</f>
        <v>5500</v>
      </c>
    </row>
    <row r="5" spans="1:7" x14ac:dyDescent="0.25">
      <c r="E5" s="213"/>
      <c r="F5" s="213"/>
      <c r="G5" s="213"/>
    </row>
    <row r="6" spans="1:7" ht="30" customHeight="1" x14ac:dyDescent="0.25">
      <c r="A6" s="324" t="s">
        <v>111</v>
      </c>
      <c r="B6" s="325" t="s">
        <v>112</v>
      </c>
      <c r="C6" s="326" t="s">
        <v>14</v>
      </c>
      <c r="E6" s="324" t="s">
        <v>111</v>
      </c>
      <c r="F6" s="325" t="s">
        <v>112</v>
      </c>
      <c r="G6" s="326" t="s">
        <v>14</v>
      </c>
    </row>
    <row r="7" spans="1:7" x14ac:dyDescent="0.25">
      <c r="A7" s="182" t="s">
        <v>0</v>
      </c>
      <c r="B7" s="182">
        <v>100</v>
      </c>
      <c r="C7" s="182">
        <v>2000</v>
      </c>
      <c r="E7" s="182" t="s">
        <v>0</v>
      </c>
      <c r="F7" s="182">
        <v>100</v>
      </c>
      <c r="G7" s="182">
        <v>0</v>
      </c>
    </row>
    <row r="8" spans="1:7" x14ac:dyDescent="0.25">
      <c r="A8" s="182" t="s">
        <v>114</v>
      </c>
      <c r="B8" s="182">
        <v>250</v>
      </c>
      <c r="C8" s="182">
        <v>0</v>
      </c>
      <c r="E8" s="182" t="s">
        <v>114</v>
      </c>
      <c r="F8" s="182">
        <v>250</v>
      </c>
      <c r="G8" s="182">
        <v>500</v>
      </c>
    </row>
    <row r="9" spans="1:7" x14ac:dyDescent="0.25">
      <c r="A9" s="182" t="s">
        <v>115</v>
      </c>
      <c r="B9" s="182">
        <v>150</v>
      </c>
      <c r="C9" s="182">
        <v>1000</v>
      </c>
      <c r="E9" s="182" t="s">
        <v>115</v>
      </c>
      <c r="F9" s="182">
        <v>150</v>
      </c>
      <c r="G9" s="182">
        <v>800</v>
      </c>
    </row>
    <row r="10" spans="1:7" x14ac:dyDescent="0.25">
      <c r="A10" s="182" t="s">
        <v>116</v>
      </c>
      <c r="B10" s="182">
        <v>200</v>
      </c>
      <c r="C10" s="182">
        <v>1500</v>
      </c>
      <c r="E10" s="182" t="s">
        <v>116</v>
      </c>
      <c r="F10" s="182">
        <v>200</v>
      </c>
      <c r="G10" s="182">
        <v>1000</v>
      </c>
    </row>
    <row r="11" spans="1:7" x14ac:dyDescent="0.25">
      <c r="A11" s="182" t="s">
        <v>118</v>
      </c>
      <c r="B11" s="182">
        <v>300</v>
      </c>
      <c r="C11" s="182">
        <v>500</v>
      </c>
      <c r="E11" s="182" t="s">
        <v>118</v>
      </c>
      <c r="F11" s="182">
        <v>300</v>
      </c>
      <c r="G11" s="182">
        <v>2000</v>
      </c>
    </row>
    <row r="12" spans="1:7" x14ac:dyDescent="0.25">
      <c r="A12" s="182" t="s">
        <v>119</v>
      </c>
      <c r="B12" s="182">
        <v>450</v>
      </c>
      <c r="C12" s="182">
        <v>2200</v>
      </c>
      <c r="E12" s="182" t="s">
        <v>119</v>
      </c>
      <c r="F12" s="182">
        <v>450</v>
      </c>
      <c r="G12" s="182">
        <v>1200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2:AA102"/>
  <sheetViews>
    <sheetView workbookViewId="0">
      <selection activeCell="I28" sqref="I28"/>
    </sheetView>
  </sheetViews>
  <sheetFormatPr defaultRowHeight="15" x14ac:dyDescent="0.25"/>
  <cols>
    <col min="1" max="1" width="10.7109375" bestFit="1" customWidth="1"/>
  </cols>
  <sheetData>
    <row r="2" spans="1:27" x14ac:dyDescent="0.25">
      <c r="A2" t="s">
        <v>60</v>
      </c>
      <c r="B2" t="s">
        <v>21</v>
      </c>
      <c r="C2" t="s">
        <v>22</v>
      </c>
      <c r="D2" t="s">
        <v>23</v>
      </c>
      <c r="E2" t="s">
        <v>24</v>
      </c>
      <c r="F2" t="s">
        <v>25</v>
      </c>
      <c r="G2" t="s">
        <v>26</v>
      </c>
      <c r="H2" t="s">
        <v>27</v>
      </c>
      <c r="I2" t="s">
        <v>28</v>
      </c>
      <c r="J2" t="s">
        <v>29</v>
      </c>
      <c r="K2" t="s">
        <v>20</v>
      </c>
      <c r="L2" t="s">
        <v>30</v>
      </c>
      <c r="M2" t="s">
        <v>31</v>
      </c>
      <c r="N2" t="s">
        <v>32</v>
      </c>
      <c r="O2" t="s">
        <v>33</v>
      </c>
      <c r="P2" t="s">
        <v>34</v>
      </c>
      <c r="Q2" t="s">
        <v>35</v>
      </c>
      <c r="R2" t="s">
        <v>36</v>
      </c>
      <c r="S2" t="s">
        <v>37</v>
      </c>
      <c r="T2" t="s">
        <v>6</v>
      </c>
      <c r="U2" t="s">
        <v>0</v>
      </c>
      <c r="V2" t="s">
        <v>38</v>
      </c>
      <c r="W2" t="s">
        <v>39</v>
      </c>
      <c r="X2" t="s">
        <v>40</v>
      </c>
      <c r="Y2" t="s">
        <v>43</v>
      </c>
      <c r="Z2" t="s">
        <v>44</v>
      </c>
      <c r="AA2">
        <v>123</v>
      </c>
    </row>
    <row r="3" spans="1:27" x14ac:dyDescent="0.25">
      <c r="B3">
        <v>6</v>
      </c>
      <c r="C3">
        <v>0</v>
      </c>
      <c r="D3">
        <v>1</v>
      </c>
      <c r="E3">
        <v>3</v>
      </c>
      <c r="F3">
        <v>2</v>
      </c>
      <c r="G3">
        <v>1</v>
      </c>
      <c r="H3">
        <v>4</v>
      </c>
      <c r="I3">
        <v>0</v>
      </c>
      <c r="J3">
        <v>5</v>
      </c>
      <c r="K3">
        <v>1</v>
      </c>
      <c r="L3">
        <v>1</v>
      </c>
      <c r="M3">
        <v>0</v>
      </c>
      <c r="N3">
        <v>0</v>
      </c>
      <c r="O3">
        <v>0</v>
      </c>
      <c r="P3">
        <v>6</v>
      </c>
      <c r="Q3">
        <v>0</v>
      </c>
      <c r="R3">
        <v>5</v>
      </c>
      <c r="S3">
        <v>2</v>
      </c>
      <c r="T3">
        <v>0</v>
      </c>
      <c r="U3">
        <v>0</v>
      </c>
      <c r="V3">
        <v>0</v>
      </c>
      <c r="W3">
        <v>1</v>
      </c>
      <c r="X3">
        <v>1</v>
      </c>
      <c r="Y3">
        <v>0</v>
      </c>
    </row>
    <row r="4" spans="1:27" x14ac:dyDescent="0.25">
      <c r="A4" s="9">
        <v>42003</v>
      </c>
      <c r="B4">
        <v>1664</v>
      </c>
      <c r="C4">
        <v>116</v>
      </c>
      <c r="D4">
        <v>334</v>
      </c>
      <c r="E4">
        <v>765</v>
      </c>
      <c r="F4">
        <v>681</v>
      </c>
      <c r="G4">
        <v>389</v>
      </c>
      <c r="H4">
        <v>1138</v>
      </c>
      <c r="I4">
        <v>32</v>
      </c>
      <c r="J4">
        <v>1256</v>
      </c>
      <c r="K4">
        <v>277</v>
      </c>
      <c r="L4">
        <v>291</v>
      </c>
      <c r="M4">
        <v>182</v>
      </c>
      <c r="N4">
        <v>49</v>
      </c>
      <c r="O4">
        <v>94</v>
      </c>
      <c r="P4">
        <v>1554</v>
      </c>
      <c r="Q4">
        <v>60</v>
      </c>
      <c r="R4">
        <v>1358</v>
      </c>
      <c r="S4">
        <v>699</v>
      </c>
      <c r="T4">
        <v>216</v>
      </c>
      <c r="U4">
        <v>177</v>
      </c>
      <c r="V4">
        <v>180</v>
      </c>
      <c r="W4">
        <v>319</v>
      </c>
      <c r="X4">
        <v>325</v>
      </c>
      <c r="Y4">
        <v>0</v>
      </c>
    </row>
    <row r="6" spans="1:27" x14ac:dyDescent="0.25">
      <c r="A6" s="9">
        <v>41654</v>
      </c>
    </row>
    <row r="7" spans="1:27" x14ac:dyDescent="0.25">
      <c r="A7" s="9">
        <v>41669</v>
      </c>
    </row>
    <row r="8" spans="1:27" x14ac:dyDescent="0.25">
      <c r="A8" s="9">
        <v>41685</v>
      </c>
    </row>
    <row r="9" spans="1:27" x14ac:dyDescent="0.25">
      <c r="A9" s="9">
        <v>41698</v>
      </c>
    </row>
    <row r="10" spans="1:27" x14ac:dyDescent="0.25">
      <c r="A10" s="9">
        <v>41713</v>
      </c>
    </row>
    <row r="11" spans="1:27" x14ac:dyDescent="0.25">
      <c r="A11" s="9">
        <v>41728</v>
      </c>
    </row>
    <row r="12" spans="1:27" x14ac:dyDescent="0.25">
      <c r="A12" s="9">
        <v>41744</v>
      </c>
    </row>
    <row r="13" spans="1:27" x14ac:dyDescent="0.25">
      <c r="A13" s="9">
        <v>41759</v>
      </c>
    </row>
    <row r="14" spans="1:27" x14ac:dyDescent="0.25">
      <c r="A14" s="9">
        <v>41774</v>
      </c>
    </row>
    <row r="15" spans="1:27" x14ac:dyDescent="0.25">
      <c r="A15" s="9">
        <v>41789</v>
      </c>
    </row>
    <row r="16" spans="1:27" x14ac:dyDescent="0.25">
      <c r="A16" s="9">
        <v>41805</v>
      </c>
    </row>
    <row r="99" spans="1:3" x14ac:dyDescent="0.25">
      <c r="B99">
        <v>24330</v>
      </c>
      <c r="C99">
        <f>COUNTA(B2:X2)</f>
        <v>23</v>
      </c>
    </row>
    <row r="100" spans="1:3" x14ac:dyDescent="0.25">
      <c r="A100" t="s">
        <v>0</v>
      </c>
    </row>
    <row r="101" spans="1:3" x14ac:dyDescent="0.25">
      <c r="A101" t="s">
        <v>6</v>
      </c>
    </row>
    <row r="102" spans="1:3" x14ac:dyDescent="0.25">
      <c r="A102" t="s">
        <v>19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B7811-641F-4F12-BE30-818D2E5E40B6}">
  <sheetPr codeName="Sheet6"/>
  <dimension ref="A1:AA51"/>
  <sheetViews>
    <sheetView workbookViewId="0">
      <selection activeCell="L8" sqref="L8"/>
    </sheetView>
  </sheetViews>
  <sheetFormatPr defaultRowHeight="15" x14ac:dyDescent="0.25"/>
  <cols>
    <col min="2" max="2" width="18.5703125" customWidth="1"/>
    <col min="3" max="3" width="18.85546875" customWidth="1"/>
    <col min="4" max="4" width="15.42578125" customWidth="1"/>
    <col min="10" max="10" width="13.7109375" customWidth="1"/>
    <col min="11" max="11" width="11.85546875" customWidth="1"/>
    <col min="12" max="12" width="12.28515625" customWidth="1"/>
    <col min="13" max="13" width="13.42578125" customWidth="1"/>
    <col min="14" max="14" width="13.7109375" bestFit="1" customWidth="1"/>
    <col min="15" max="15" width="12.85546875" bestFit="1" customWidth="1"/>
    <col min="16" max="16" width="12.28515625" bestFit="1" customWidth="1"/>
    <col min="17" max="17" width="13.42578125" bestFit="1" customWidth="1"/>
  </cols>
  <sheetData>
    <row r="1" spans="1:27" ht="37.5" customHeight="1" x14ac:dyDescent="0.25">
      <c r="A1" s="41"/>
      <c r="B1" s="305" t="s">
        <v>81</v>
      </c>
      <c r="C1" s="306"/>
      <c r="D1" s="306"/>
      <c r="E1" s="306"/>
      <c r="F1" s="306"/>
      <c r="G1" s="306"/>
      <c r="H1" s="307"/>
    </row>
    <row r="2" spans="1:27" x14ac:dyDescent="0.25">
      <c r="A2" s="41"/>
      <c r="B2" s="86" t="s">
        <v>76</v>
      </c>
      <c r="C2" s="84" t="s">
        <v>75</v>
      </c>
      <c r="D2" s="44"/>
      <c r="E2" s="84" t="s">
        <v>74</v>
      </c>
      <c r="F2" s="84" t="s">
        <v>17</v>
      </c>
      <c r="G2" s="84" t="s">
        <v>50</v>
      </c>
      <c r="H2" s="87" t="s">
        <v>51</v>
      </c>
      <c r="J2" s="8" t="s">
        <v>10</v>
      </c>
      <c r="K2" s="8" t="s">
        <v>8</v>
      </c>
      <c r="L2" s="8" t="s">
        <v>9</v>
      </c>
      <c r="M2" s="8" t="s">
        <v>7</v>
      </c>
      <c r="N2" s="8" t="s">
        <v>11</v>
      </c>
      <c r="O2" s="8" t="s">
        <v>12</v>
      </c>
      <c r="P2" s="8" t="s">
        <v>18</v>
      </c>
      <c r="Q2" s="8" t="s">
        <v>16</v>
      </c>
      <c r="S2" s="96"/>
      <c r="AA2" s="15">
        <v>123</v>
      </c>
    </row>
    <row r="3" spans="1:27" x14ac:dyDescent="0.25">
      <c r="A3" s="41"/>
      <c r="B3" s="88" t="s">
        <v>21</v>
      </c>
      <c r="C3" s="44" t="s">
        <v>49</v>
      </c>
      <c r="D3" s="44" t="s">
        <v>1</v>
      </c>
      <c r="E3" s="44">
        <f>COUNTA(B3:B80)</f>
        <v>26</v>
      </c>
      <c r="F3" s="44">
        <v>18</v>
      </c>
      <c r="G3" s="44">
        <f>COUNTA(C3:C36)</f>
        <v>4</v>
      </c>
      <c r="H3" s="89">
        <f>G3*F3</f>
        <v>72</v>
      </c>
      <c r="J3" t="s">
        <v>41</v>
      </c>
      <c r="K3">
        <f>COUNTA(Borrowers!A1:HA1)</f>
        <v>6</v>
      </c>
      <c r="L3">
        <f>COUNTA(Borrowers!A1:A95)</f>
        <v>37</v>
      </c>
      <c r="M3" t="e">
        <f>SUM(Borrowers!#REF!,Q3)</f>
        <v>#REF!</v>
      </c>
      <c r="N3" t="e">
        <f>SUM(#REF!)</f>
        <v>#REF!</v>
      </c>
      <c r="O3" t="e">
        <f>SUM(#REF!)</f>
        <v>#REF!</v>
      </c>
      <c r="P3">
        <v>5370</v>
      </c>
      <c r="Q3" t="e">
        <f>O3-P3</f>
        <v>#REF!</v>
      </c>
      <c r="R3">
        <v>1</v>
      </c>
      <c r="S3" t="str">
        <f>IF(L3=R3, "OK", "MALI")</f>
        <v>MALI</v>
      </c>
    </row>
    <row r="4" spans="1:27" x14ac:dyDescent="0.25">
      <c r="A4" s="41"/>
      <c r="B4" s="88" t="s">
        <v>22</v>
      </c>
      <c r="C4" s="44" t="s">
        <v>52</v>
      </c>
      <c r="D4" s="44" t="s">
        <v>3</v>
      </c>
      <c r="E4" s="44"/>
      <c r="F4" s="44"/>
      <c r="G4" s="44"/>
      <c r="H4" s="89"/>
      <c r="J4" t="s">
        <v>42</v>
      </c>
      <c r="L4">
        <f>COUNTA(Borrowers!E20:E95)</f>
        <v>6</v>
      </c>
      <c r="M4" t="e">
        <f t="shared" ref="M4:M51" si="0">SUM(N4,Q4)</f>
        <v>#REF!</v>
      </c>
      <c r="N4" t="e">
        <f>SUM(#REF!)</f>
        <v>#REF!</v>
      </c>
      <c r="O4" t="e">
        <f>SUM(#REF!)</f>
        <v>#REF!</v>
      </c>
      <c r="P4">
        <v>17400</v>
      </c>
      <c r="Q4" t="e">
        <f t="shared" ref="Q4:Q51" si="1">O4-P4</f>
        <v>#REF!</v>
      </c>
      <c r="R4">
        <v>5</v>
      </c>
      <c r="S4" t="str">
        <f t="shared" ref="S4:S20" si="2">IF(L4=R4, "OK", "MALI")</f>
        <v>MALI</v>
      </c>
    </row>
    <row r="5" spans="1:27" x14ac:dyDescent="0.25">
      <c r="A5" s="41"/>
      <c r="B5" s="88" t="s">
        <v>23</v>
      </c>
      <c r="C5" s="44" t="s">
        <v>53</v>
      </c>
      <c r="D5" s="44" t="s">
        <v>2</v>
      </c>
      <c r="E5" s="44"/>
      <c r="F5" s="44"/>
      <c r="G5" s="4"/>
      <c r="H5" s="90"/>
      <c r="J5" t="s">
        <v>82</v>
      </c>
      <c r="L5">
        <f>COUNTA(Borrowers!I1:I95)</f>
        <v>3</v>
      </c>
      <c r="M5" t="e">
        <f t="shared" si="0"/>
        <v>#REF!</v>
      </c>
      <c r="N5" t="e">
        <f>SUM(#REF!)</f>
        <v>#REF!</v>
      </c>
      <c r="O5" t="e">
        <f>SUM(#REF!)</f>
        <v>#REF!</v>
      </c>
      <c r="P5">
        <v>3810</v>
      </c>
      <c r="Q5" t="e">
        <f t="shared" si="1"/>
        <v>#REF!</v>
      </c>
      <c r="R5">
        <v>9</v>
      </c>
      <c r="S5" t="str">
        <f t="shared" si="2"/>
        <v>MALI</v>
      </c>
    </row>
    <row r="6" spans="1:27" x14ac:dyDescent="0.25">
      <c r="A6" s="41"/>
      <c r="B6" s="88" t="s">
        <v>24</v>
      </c>
      <c r="C6" s="44">
        <v>2015</v>
      </c>
      <c r="D6" s="44"/>
      <c r="E6" s="44"/>
      <c r="F6" s="44"/>
      <c r="G6" s="4"/>
      <c r="H6" s="90"/>
      <c r="J6" t="s">
        <v>83</v>
      </c>
      <c r="L6">
        <f>COUNTA(Borrowers!M1:M95)</f>
        <v>3</v>
      </c>
      <c r="M6" t="e">
        <f t="shared" si="0"/>
        <v>#REF!</v>
      </c>
      <c r="N6" t="e">
        <f>SUM(#REF!)</f>
        <v>#REF!</v>
      </c>
      <c r="O6" t="e">
        <f>SUM(#REF!)</f>
        <v>#REF!</v>
      </c>
      <c r="P6">
        <v>300</v>
      </c>
      <c r="Q6" t="e">
        <f t="shared" si="1"/>
        <v>#REF!</v>
      </c>
      <c r="R6">
        <v>13</v>
      </c>
      <c r="S6" t="str">
        <f t="shared" si="2"/>
        <v>MALI</v>
      </c>
    </row>
    <row r="7" spans="1:27" x14ac:dyDescent="0.25">
      <c r="A7" s="41"/>
      <c r="B7" s="88" t="s">
        <v>25</v>
      </c>
      <c r="C7" s="44"/>
      <c r="D7" s="44"/>
      <c r="E7" s="44"/>
      <c r="F7" s="44"/>
      <c r="G7" s="4"/>
      <c r="H7" s="90"/>
      <c r="J7" t="s">
        <v>84</v>
      </c>
      <c r="L7">
        <f>COUNTA(Borrowers!Q1:Q95)</f>
        <v>3</v>
      </c>
      <c r="M7" t="e">
        <f t="shared" si="0"/>
        <v>#REF!</v>
      </c>
      <c r="N7" t="e">
        <f>SUM(#REF!)</f>
        <v>#REF!</v>
      </c>
      <c r="O7" t="e">
        <f>SUM(#REF!)</f>
        <v>#REF!</v>
      </c>
      <c r="Q7" t="e">
        <f t="shared" si="1"/>
        <v>#REF!</v>
      </c>
      <c r="R7">
        <v>17</v>
      </c>
      <c r="S7" t="str">
        <f t="shared" si="2"/>
        <v>MALI</v>
      </c>
    </row>
    <row r="8" spans="1:27" x14ac:dyDescent="0.25">
      <c r="A8" s="41"/>
      <c r="B8" s="88" t="s">
        <v>26</v>
      </c>
      <c r="C8" s="44"/>
      <c r="D8" s="44"/>
      <c r="E8" s="44"/>
      <c r="F8" s="44"/>
      <c r="G8" s="4"/>
      <c r="H8" s="90"/>
      <c r="J8" t="s">
        <v>97</v>
      </c>
      <c r="L8">
        <f>COUNTA(Borrowers!U1:U95)</f>
        <v>3</v>
      </c>
      <c r="M8" t="e">
        <f t="shared" si="0"/>
        <v>#REF!</v>
      </c>
      <c r="N8" t="e">
        <f>SUM(#REF!)</f>
        <v>#REF!</v>
      </c>
      <c r="O8" t="e">
        <f>SUM(#REF!)</f>
        <v>#REF!</v>
      </c>
      <c r="Q8" t="e">
        <f t="shared" si="1"/>
        <v>#REF!</v>
      </c>
      <c r="R8">
        <v>21</v>
      </c>
      <c r="S8" t="str">
        <f t="shared" si="2"/>
        <v>MALI</v>
      </c>
    </row>
    <row r="9" spans="1:27" x14ac:dyDescent="0.25">
      <c r="A9" s="41"/>
      <c r="B9" s="88" t="s">
        <v>27</v>
      </c>
      <c r="C9" s="44"/>
      <c r="D9" s="44"/>
      <c r="E9" s="44"/>
      <c r="F9" s="85"/>
      <c r="G9" s="4"/>
      <c r="H9" s="90"/>
      <c r="L9">
        <f>COUNTA(Borrowers!Y1:Y95)</f>
        <v>1</v>
      </c>
      <c r="M9" t="e">
        <f t="shared" si="0"/>
        <v>#REF!</v>
      </c>
      <c r="N9" t="e">
        <f>SUM(#REF!)</f>
        <v>#REF!</v>
      </c>
      <c r="O9" t="e">
        <f>SUM(#REF!)</f>
        <v>#REF!</v>
      </c>
      <c r="Q9" t="e">
        <f t="shared" si="1"/>
        <v>#REF!</v>
      </c>
      <c r="R9">
        <v>25</v>
      </c>
      <c r="S9" t="str">
        <f t="shared" si="2"/>
        <v>MALI</v>
      </c>
    </row>
    <row r="10" spans="1:27" x14ac:dyDescent="0.25">
      <c r="A10" s="41"/>
      <c r="B10" s="88" t="s">
        <v>28</v>
      </c>
      <c r="C10" s="44"/>
      <c r="D10" s="44"/>
      <c r="E10" s="44"/>
      <c r="F10" s="44"/>
      <c r="G10" s="4"/>
      <c r="H10" s="90"/>
      <c r="L10">
        <f>COUNTA(Borrowers!AC1:AC95)</f>
        <v>1</v>
      </c>
      <c r="M10" t="e">
        <f t="shared" si="0"/>
        <v>#REF!</v>
      </c>
      <c r="N10" t="e">
        <f>SUM(#REF!)</f>
        <v>#REF!</v>
      </c>
      <c r="O10" t="e">
        <f>SUM(#REF!)</f>
        <v>#REF!</v>
      </c>
      <c r="Q10" t="e">
        <f t="shared" si="1"/>
        <v>#REF!</v>
      </c>
      <c r="R10">
        <v>29</v>
      </c>
      <c r="S10" t="str">
        <f t="shared" si="2"/>
        <v>MALI</v>
      </c>
    </row>
    <row r="11" spans="1:27" x14ac:dyDescent="0.25">
      <c r="A11" s="41"/>
      <c r="B11" s="88" t="s">
        <v>29</v>
      </c>
      <c r="C11" s="44"/>
      <c r="D11" s="44"/>
      <c r="E11" s="44"/>
      <c r="F11" s="44"/>
      <c r="G11" s="4"/>
      <c r="H11" s="90"/>
      <c r="M11" t="e">
        <f t="shared" si="0"/>
        <v>#REF!</v>
      </c>
      <c r="N11" t="e">
        <f>SUM(#REF!)</f>
        <v>#REF!</v>
      </c>
      <c r="O11" t="e">
        <f>SUM(#REF!)</f>
        <v>#REF!</v>
      </c>
      <c r="Q11" t="e">
        <f t="shared" si="1"/>
        <v>#REF!</v>
      </c>
      <c r="R11">
        <v>33</v>
      </c>
      <c r="S11" t="str">
        <f t="shared" si="2"/>
        <v>MALI</v>
      </c>
    </row>
    <row r="12" spans="1:27" x14ac:dyDescent="0.25">
      <c r="A12" s="41"/>
      <c r="B12" s="88" t="s">
        <v>20</v>
      </c>
      <c r="C12" s="44"/>
      <c r="D12" s="44"/>
      <c r="E12" s="44"/>
      <c r="F12" s="44"/>
      <c r="G12" s="4"/>
      <c r="H12" s="90"/>
      <c r="M12" t="e">
        <f t="shared" si="0"/>
        <v>#REF!</v>
      </c>
      <c r="N12" t="e">
        <f>SUM(#REF!)</f>
        <v>#REF!</v>
      </c>
      <c r="O12" t="e">
        <f>SUM(#REF!)</f>
        <v>#REF!</v>
      </c>
      <c r="Q12" t="e">
        <f t="shared" si="1"/>
        <v>#REF!</v>
      </c>
      <c r="R12">
        <v>37</v>
      </c>
      <c r="S12" t="str">
        <f t="shared" si="2"/>
        <v>MALI</v>
      </c>
    </row>
    <row r="13" spans="1:27" x14ac:dyDescent="0.25">
      <c r="A13" s="41"/>
      <c r="B13" s="88" t="s">
        <v>30</v>
      </c>
      <c r="C13" s="44"/>
      <c r="D13" s="44"/>
      <c r="E13" s="44"/>
      <c r="F13" s="44"/>
      <c r="G13" s="4"/>
      <c r="H13" s="90"/>
      <c r="M13" t="e">
        <f t="shared" si="0"/>
        <v>#REF!</v>
      </c>
      <c r="N13" t="e">
        <f>SUM(#REF!)</f>
        <v>#REF!</v>
      </c>
      <c r="O13" t="e">
        <f>SUM(#REF!)</f>
        <v>#REF!</v>
      </c>
      <c r="Q13" t="e">
        <f t="shared" si="1"/>
        <v>#REF!</v>
      </c>
      <c r="R13">
        <v>41</v>
      </c>
      <c r="S13" t="str">
        <f t="shared" si="2"/>
        <v>MALI</v>
      </c>
    </row>
    <row r="14" spans="1:27" x14ac:dyDescent="0.25">
      <c r="A14" s="41"/>
      <c r="B14" s="88" t="s">
        <v>31</v>
      </c>
      <c r="C14" s="44"/>
      <c r="D14" s="44"/>
      <c r="E14" s="44"/>
      <c r="F14" s="44"/>
      <c r="G14" s="4"/>
      <c r="H14" s="90"/>
      <c r="M14" t="e">
        <f t="shared" si="0"/>
        <v>#REF!</v>
      </c>
      <c r="N14" t="e">
        <f>SUM(#REF!)</f>
        <v>#REF!</v>
      </c>
      <c r="O14" t="e">
        <f>SUM(#REF!)</f>
        <v>#REF!</v>
      </c>
      <c r="Q14" t="e">
        <f t="shared" si="1"/>
        <v>#REF!</v>
      </c>
      <c r="R14">
        <v>45</v>
      </c>
      <c r="S14" t="str">
        <f t="shared" si="2"/>
        <v>MALI</v>
      </c>
    </row>
    <row r="15" spans="1:27" x14ac:dyDescent="0.25">
      <c r="A15" s="41"/>
      <c r="B15" s="88" t="s">
        <v>32</v>
      </c>
      <c r="C15" s="44"/>
      <c r="D15" s="44"/>
      <c r="E15" s="44"/>
      <c r="F15" s="44"/>
      <c r="G15" s="4"/>
      <c r="H15" s="90"/>
      <c r="M15" t="e">
        <f t="shared" si="0"/>
        <v>#REF!</v>
      </c>
      <c r="N15" t="e">
        <f>SUM(#REF!)</f>
        <v>#REF!</v>
      </c>
      <c r="O15" t="e">
        <f>SUM(#REF!)</f>
        <v>#REF!</v>
      </c>
      <c r="Q15" t="e">
        <f t="shared" si="1"/>
        <v>#REF!</v>
      </c>
      <c r="R15">
        <v>49</v>
      </c>
      <c r="S15" t="str">
        <f t="shared" si="2"/>
        <v>MALI</v>
      </c>
    </row>
    <row r="16" spans="1:27" x14ac:dyDescent="0.25">
      <c r="A16" s="41"/>
      <c r="B16" s="88" t="s">
        <v>33</v>
      </c>
      <c r="C16" s="44"/>
      <c r="D16" s="44"/>
      <c r="E16" s="44"/>
      <c r="F16" s="44"/>
      <c r="G16" s="4"/>
      <c r="H16" s="90"/>
      <c r="M16" t="e">
        <f t="shared" si="0"/>
        <v>#REF!</v>
      </c>
      <c r="N16" t="e">
        <f>SUM(#REF!)</f>
        <v>#REF!</v>
      </c>
      <c r="O16" t="e">
        <f>SUM(#REF!)</f>
        <v>#REF!</v>
      </c>
      <c r="Q16" t="e">
        <f t="shared" si="1"/>
        <v>#REF!</v>
      </c>
      <c r="R16">
        <v>53</v>
      </c>
      <c r="S16" t="str">
        <f t="shared" si="2"/>
        <v>MALI</v>
      </c>
    </row>
    <row r="17" spans="1:19" x14ac:dyDescent="0.25">
      <c r="A17" s="41"/>
      <c r="B17" s="88" t="s">
        <v>34</v>
      </c>
      <c r="C17" s="44"/>
      <c r="D17" s="44"/>
      <c r="E17" s="44"/>
      <c r="F17" s="44"/>
      <c r="G17" s="4"/>
      <c r="H17" s="90"/>
      <c r="M17" t="e">
        <f t="shared" si="0"/>
        <v>#REF!</v>
      </c>
      <c r="N17" t="e">
        <f>SUM(#REF!)</f>
        <v>#REF!</v>
      </c>
      <c r="O17" t="e">
        <f>SUM(#REF!)</f>
        <v>#REF!</v>
      </c>
      <c r="Q17" t="e">
        <f t="shared" si="1"/>
        <v>#REF!</v>
      </c>
      <c r="R17">
        <v>57</v>
      </c>
      <c r="S17" t="str">
        <f t="shared" si="2"/>
        <v>MALI</v>
      </c>
    </row>
    <row r="18" spans="1:19" x14ac:dyDescent="0.25">
      <c r="A18" s="41"/>
      <c r="B18" s="88" t="s">
        <v>35</v>
      </c>
      <c r="C18" s="44"/>
      <c r="D18" s="44"/>
      <c r="E18" s="44"/>
      <c r="F18" s="44"/>
      <c r="G18" s="4"/>
      <c r="H18" s="90"/>
      <c r="M18" t="e">
        <f t="shared" si="0"/>
        <v>#REF!</v>
      </c>
      <c r="N18" t="e">
        <f>SUM(#REF!)</f>
        <v>#REF!</v>
      </c>
      <c r="O18" t="e">
        <f>SUM(#REF!)</f>
        <v>#REF!</v>
      </c>
      <c r="Q18" t="e">
        <f t="shared" si="1"/>
        <v>#REF!</v>
      </c>
      <c r="R18">
        <v>61</v>
      </c>
      <c r="S18" t="str">
        <f t="shared" si="2"/>
        <v>MALI</v>
      </c>
    </row>
    <row r="19" spans="1:19" x14ac:dyDescent="0.25">
      <c r="A19" s="41"/>
      <c r="B19" s="88" t="s">
        <v>36</v>
      </c>
      <c r="C19" s="44"/>
      <c r="D19" s="44"/>
      <c r="E19" s="44"/>
      <c r="F19" s="44"/>
      <c r="G19" s="4"/>
      <c r="H19" s="90"/>
      <c r="M19" t="e">
        <f t="shared" si="0"/>
        <v>#REF!</v>
      </c>
      <c r="N19" t="e">
        <f>SUM(#REF!)</f>
        <v>#REF!</v>
      </c>
      <c r="O19" t="e">
        <f>SUM(#REF!)</f>
        <v>#REF!</v>
      </c>
      <c r="Q19" t="e">
        <f t="shared" si="1"/>
        <v>#REF!</v>
      </c>
      <c r="R19">
        <v>65</v>
      </c>
      <c r="S19" t="str">
        <f t="shared" si="2"/>
        <v>MALI</v>
      </c>
    </row>
    <row r="20" spans="1:19" x14ac:dyDescent="0.25">
      <c r="A20" s="41"/>
      <c r="B20" s="88" t="s">
        <v>37</v>
      </c>
      <c r="C20" s="44"/>
      <c r="D20" s="44"/>
      <c r="E20" s="44"/>
      <c r="F20" s="44"/>
      <c r="G20" s="4"/>
      <c r="H20" s="90"/>
      <c r="M20" t="e">
        <f t="shared" si="0"/>
        <v>#REF!</v>
      </c>
      <c r="N20" t="e">
        <f>SUM(#REF!)</f>
        <v>#REF!</v>
      </c>
      <c r="O20" t="e">
        <f>SUM(#REF!)</f>
        <v>#REF!</v>
      </c>
      <c r="Q20" t="e">
        <f t="shared" si="1"/>
        <v>#REF!</v>
      </c>
      <c r="R20">
        <v>69</v>
      </c>
      <c r="S20" t="str">
        <f t="shared" si="2"/>
        <v>MALI</v>
      </c>
    </row>
    <row r="21" spans="1:19" x14ac:dyDescent="0.25">
      <c r="A21" s="41"/>
      <c r="B21" s="88" t="s">
        <v>6</v>
      </c>
      <c r="C21" s="44"/>
      <c r="D21" s="44"/>
      <c r="E21" s="44"/>
      <c r="F21" s="44"/>
      <c r="G21" s="4"/>
      <c r="H21" s="90"/>
      <c r="M21" t="e">
        <f t="shared" si="0"/>
        <v>#REF!</v>
      </c>
      <c r="N21" t="e">
        <f>SUM(#REF!)</f>
        <v>#REF!</v>
      </c>
      <c r="O21" t="e">
        <f>SUM(#REF!)</f>
        <v>#REF!</v>
      </c>
      <c r="Q21" t="e">
        <f t="shared" si="1"/>
        <v>#REF!</v>
      </c>
    </row>
    <row r="22" spans="1:19" x14ac:dyDescent="0.25">
      <c r="A22" s="41"/>
      <c r="B22" s="88" t="s">
        <v>0</v>
      </c>
      <c r="C22" s="44"/>
      <c r="D22" s="44"/>
      <c r="E22" s="44"/>
      <c r="F22" s="44"/>
      <c r="G22" s="4"/>
      <c r="H22" s="90"/>
      <c r="M22" t="e">
        <f t="shared" si="0"/>
        <v>#REF!</v>
      </c>
      <c r="N22" t="e">
        <f>SUM(#REF!)</f>
        <v>#REF!</v>
      </c>
      <c r="O22" t="e">
        <f>SUM(#REF!)</f>
        <v>#REF!</v>
      </c>
      <c r="Q22" t="e">
        <f t="shared" si="1"/>
        <v>#REF!</v>
      </c>
    </row>
    <row r="23" spans="1:19" x14ac:dyDescent="0.25">
      <c r="A23" s="41"/>
      <c r="B23" s="88" t="s">
        <v>38</v>
      </c>
      <c r="C23" s="44"/>
      <c r="D23" s="44"/>
      <c r="E23" s="44"/>
      <c r="F23" s="44"/>
      <c r="G23" s="4"/>
      <c r="H23" s="90"/>
      <c r="M23" t="e">
        <f t="shared" si="0"/>
        <v>#REF!</v>
      </c>
      <c r="N23" t="e">
        <f>SUM(#REF!)</f>
        <v>#REF!</v>
      </c>
      <c r="O23" t="e">
        <f>SUM(#REF!)</f>
        <v>#REF!</v>
      </c>
      <c r="Q23" t="e">
        <f t="shared" si="1"/>
        <v>#REF!</v>
      </c>
    </row>
    <row r="24" spans="1:19" x14ac:dyDescent="0.25">
      <c r="A24" s="41"/>
      <c r="B24" s="88" t="s">
        <v>39</v>
      </c>
      <c r="C24" s="44"/>
      <c r="D24" s="44"/>
      <c r="E24" s="44"/>
      <c r="F24" s="44"/>
      <c r="G24" s="4"/>
      <c r="H24" s="90"/>
      <c r="M24" t="e">
        <f t="shared" si="0"/>
        <v>#REF!</v>
      </c>
      <c r="N24" t="e">
        <f>SUM(#REF!)</f>
        <v>#REF!</v>
      </c>
      <c r="O24" t="e">
        <f>SUM(#REF!)</f>
        <v>#REF!</v>
      </c>
      <c r="Q24" t="e">
        <f t="shared" si="1"/>
        <v>#REF!</v>
      </c>
    </row>
    <row r="25" spans="1:19" x14ac:dyDescent="0.25">
      <c r="A25" s="41"/>
      <c r="B25" s="88" t="s">
        <v>40</v>
      </c>
      <c r="C25" s="44"/>
      <c r="D25" s="44"/>
      <c r="E25" s="44"/>
      <c r="F25" s="44"/>
      <c r="G25" s="4"/>
      <c r="H25" s="90"/>
      <c r="M25" t="e">
        <f t="shared" si="0"/>
        <v>#REF!</v>
      </c>
      <c r="N25" t="e">
        <f>SUM(#REF!)</f>
        <v>#REF!</v>
      </c>
      <c r="O25" t="e">
        <f>SUM(#REF!)</f>
        <v>#REF!</v>
      </c>
      <c r="Q25" t="e">
        <f t="shared" si="1"/>
        <v>#REF!</v>
      </c>
    </row>
    <row r="26" spans="1:19" x14ac:dyDescent="0.25">
      <c r="A26" s="41"/>
      <c r="B26" s="88" t="s">
        <v>43</v>
      </c>
      <c r="C26" s="44"/>
      <c r="D26" s="44"/>
      <c r="E26" s="44"/>
      <c r="F26" s="44"/>
      <c r="G26" s="4"/>
      <c r="H26" s="90"/>
      <c r="M26" t="e">
        <f t="shared" si="0"/>
        <v>#REF!</v>
      </c>
      <c r="N26" t="e">
        <f>SUM(#REF!)</f>
        <v>#REF!</v>
      </c>
      <c r="O26" t="e">
        <f>SUM(#REF!)</f>
        <v>#REF!</v>
      </c>
      <c r="Q26" t="e">
        <f t="shared" si="1"/>
        <v>#REF!</v>
      </c>
    </row>
    <row r="27" spans="1:19" x14ac:dyDescent="0.25">
      <c r="A27" s="41"/>
      <c r="B27" s="88" t="s">
        <v>45</v>
      </c>
      <c r="C27" s="44"/>
      <c r="D27" s="44"/>
      <c r="E27" s="44"/>
      <c r="F27" s="44"/>
      <c r="G27" s="4"/>
      <c r="H27" s="90"/>
      <c r="M27" t="e">
        <f t="shared" si="0"/>
        <v>#REF!</v>
      </c>
      <c r="N27" t="e">
        <f>SUM(#REF!)</f>
        <v>#REF!</v>
      </c>
      <c r="O27" t="e">
        <f>SUM(#REF!)</f>
        <v>#REF!</v>
      </c>
      <c r="Q27" t="e">
        <f t="shared" si="1"/>
        <v>#REF!</v>
      </c>
    </row>
    <row r="28" spans="1:19" x14ac:dyDescent="0.25">
      <c r="A28" s="41"/>
      <c r="B28" s="91">
        <v>123</v>
      </c>
      <c r="C28" s="44"/>
      <c r="D28" s="44"/>
      <c r="E28" s="44"/>
      <c r="F28" s="44"/>
      <c r="G28" s="4"/>
      <c r="H28" s="90"/>
      <c r="M28" t="e">
        <f t="shared" si="0"/>
        <v>#REF!</v>
      </c>
      <c r="N28" t="e">
        <f>SUM(#REF!)</f>
        <v>#REF!</v>
      </c>
      <c r="O28" t="e">
        <f>SUM(#REF!)</f>
        <v>#REF!</v>
      </c>
      <c r="Q28" t="e">
        <f t="shared" si="1"/>
        <v>#REF!</v>
      </c>
    </row>
    <row r="29" spans="1:19" x14ac:dyDescent="0.25">
      <c r="A29" s="41"/>
      <c r="B29" s="91"/>
      <c r="C29" s="44"/>
      <c r="D29" s="44"/>
      <c r="E29" s="44"/>
      <c r="F29" s="44"/>
      <c r="G29" s="4"/>
      <c r="H29" s="90"/>
      <c r="M29" t="e">
        <f t="shared" si="0"/>
        <v>#REF!</v>
      </c>
      <c r="N29" t="e">
        <f>SUM(#REF!)</f>
        <v>#REF!</v>
      </c>
      <c r="O29" t="e">
        <f>SUM(#REF!)</f>
        <v>#REF!</v>
      </c>
      <c r="Q29" t="e">
        <f t="shared" si="1"/>
        <v>#REF!</v>
      </c>
    </row>
    <row r="30" spans="1:19" x14ac:dyDescent="0.25">
      <c r="A30" s="41"/>
      <c r="B30" s="91"/>
      <c r="C30" s="44"/>
      <c r="D30" s="44"/>
      <c r="E30" s="44"/>
      <c r="F30" s="44"/>
      <c r="G30" s="4"/>
      <c r="H30" s="90"/>
      <c r="M30" t="e">
        <f t="shared" si="0"/>
        <v>#REF!</v>
      </c>
      <c r="N30" t="e">
        <f>SUM(#REF!)</f>
        <v>#REF!</v>
      </c>
      <c r="O30" t="e">
        <f>SUM(#REF!)</f>
        <v>#REF!</v>
      </c>
      <c r="Q30" t="e">
        <f t="shared" si="1"/>
        <v>#REF!</v>
      </c>
    </row>
    <row r="31" spans="1:19" x14ac:dyDescent="0.25">
      <c r="A31" s="41"/>
      <c r="B31" s="91"/>
      <c r="C31" s="44"/>
      <c r="D31" s="44"/>
      <c r="E31" s="44"/>
      <c r="F31" s="44"/>
      <c r="G31" s="4"/>
      <c r="H31" s="90"/>
      <c r="M31" t="e">
        <f t="shared" si="0"/>
        <v>#REF!</v>
      </c>
      <c r="N31" t="e">
        <f>SUM(#REF!)</f>
        <v>#REF!</v>
      </c>
      <c r="O31" t="e">
        <f>SUM(#REF!)</f>
        <v>#REF!</v>
      </c>
      <c r="Q31" t="e">
        <f t="shared" si="1"/>
        <v>#REF!</v>
      </c>
    </row>
    <row r="32" spans="1:19" x14ac:dyDescent="0.25">
      <c r="B32" s="92"/>
      <c r="C32" s="4"/>
      <c r="D32" s="4"/>
      <c r="E32" s="4"/>
      <c r="F32" s="4"/>
      <c r="G32" s="4"/>
      <c r="H32" s="90"/>
      <c r="M32" t="e">
        <f t="shared" si="0"/>
        <v>#REF!</v>
      </c>
      <c r="N32" t="e">
        <f>SUM(#REF!)</f>
        <v>#REF!</v>
      </c>
      <c r="O32" t="e">
        <f>SUM(#REF!)</f>
        <v>#REF!</v>
      </c>
      <c r="Q32" t="e">
        <f t="shared" si="1"/>
        <v>#REF!</v>
      </c>
    </row>
    <row r="33" spans="2:17" x14ac:dyDescent="0.25">
      <c r="B33" s="92"/>
      <c r="C33" s="4"/>
      <c r="D33" s="4"/>
      <c r="E33" s="4"/>
      <c r="F33" s="4"/>
      <c r="G33" s="4"/>
      <c r="H33" s="90"/>
      <c r="M33" t="e">
        <f t="shared" si="0"/>
        <v>#REF!</v>
      </c>
      <c r="N33" t="e">
        <f>SUM(#REF!)</f>
        <v>#REF!</v>
      </c>
      <c r="O33" t="e">
        <f>SUM(#REF!)</f>
        <v>#REF!</v>
      </c>
      <c r="Q33" t="e">
        <f t="shared" si="1"/>
        <v>#REF!</v>
      </c>
    </row>
    <row r="34" spans="2:17" ht="15.75" thickBot="1" x14ac:dyDescent="0.3">
      <c r="B34" s="93"/>
      <c r="C34" s="94"/>
      <c r="D34" s="94"/>
      <c r="E34" s="94"/>
      <c r="F34" s="94"/>
      <c r="G34" s="94"/>
      <c r="H34" s="95"/>
      <c r="M34" t="e">
        <f t="shared" si="0"/>
        <v>#REF!</v>
      </c>
      <c r="N34" t="e">
        <f>SUM(#REF!)</f>
        <v>#REF!</v>
      </c>
      <c r="O34" t="e">
        <f>SUM(#REF!)</f>
        <v>#REF!</v>
      </c>
      <c r="Q34" t="e">
        <f t="shared" si="1"/>
        <v>#REF!</v>
      </c>
    </row>
    <row r="35" spans="2:17" x14ac:dyDescent="0.25">
      <c r="M35" t="e">
        <f t="shared" si="0"/>
        <v>#REF!</v>
      </c>
      <c r="N35" t="e">
        <f>SUM(#REF!)</f>
        <v>#REF!</v>
      </c>
      <c r="O35" t="e">
        <f>SUM(#REF!)</f>
        <v>#REF!</v>
      </c>
      <c r="Q35" t="e">
        <f t="shared" si="1"/>
        <v>#REF!</v>
      </c>
    </row>
    <row r="36" spans="2:17" x14ac:dyDescent="0.25">
      <c r="M36" t="e">
        <f t="shared" si="0"/>
        <v>#REF!</v>
      </c>
      <c r="N36" t="e">
        <f>SUM(#REF!)</f>
        <v>#REF!</v>
      </c>
      <c r="O36" t="e">
        <f>SUM(#REF!)</f>
        <v>#REF!</v>
      </c>
      <c r="Q36" t="e">
        <f t="shared" si="1"/>
        <v>#REF!</v>
      </c>
    </row>
    <row r="37" spans="2:17" x14ac:dyDescent="0.25">
      <c r="M37" t="e">
        <f t="shared" si="0"/>
        <v>#REF!</v>
      </c>
      <c r="N37" t="e">
        <f>SUM(#REF!)</f>
        <v>#REF!</v>
      </c>
      <c r="O37" t="e">
        <f>SUM(#REF!)</f>
        <v>#REF!</v>
      </c>
      <c r="Q37" t="e">
        <f t="shared" si="1"/>
        <v>#REF!</v>
      </c>
    </row>
    <row r="38" spans="2:17" x14ac:dyDescent="0.25">
      <c r="M38" t="e">
        <f t="shared" si="0"/>
        <v>#REF!</v>
      </c>
      <c r="N38" t="e">
        <f>SUM(#REF!)</f>
        <v>#REF!</v>
      </c>
      <c r="O38" t="e">
        <f>SUM(#REF!)</f>
        <v>#REF!</v>
      </c>
      <c r="Q38" t="e">
        <f t="shared" si="1"/>
        <v>#REF!</v>
      </c>
    </row>
    <row r="39" spans="2:17" x14ac:dyDescent="0.25">
      <c r="M39" t="e">
        <f t="shared" si="0"/>
        <v>#REF!</v>
      </c>
      <c r="N39" t="e">
        <f>SUM(#REF!)</f>
        <v>#REF!</v>
      </c>
      <c r="O39" t="e">
        <f>SUM(#REF!)</f>
        <v>#REF!</v>
      </c>
      <c r="Q39" t="e">
        <f t="shared" si="1"/>
        <v>#REF!</v>
      </c>
    </row>
    <row r="40" spans="2:17" x14ac:dyDescent="0.25">
      <c r="M40" t="e">
        <f t="shared" si="0"/>
        <v>#REF!</v>
      </c>
      <c r="N40" t="e">
        <f>SUM(#REF!)</f>
        <v>#REF!</v>
      </c>
      <c r="O40" t="e">
        <f>SUM(#REF!)</f>
        <v>#REF!</v>
      </c>
      <c r="Q40" t="e">
        <f t="shared" si="1"/>
        <v>#REF!</v>
      </c>
    </row>
    <row r="41" spans="2:17" x14ac:dyDescent="0.25">
      <c r="M41" t="e">
        <f t="shared" si="0"/>
        <v>#REF!</v>
      </c>
      <c r="N41" t="e">
        <f>SUM(#REF!)</f>
        <v>#REF!</v>
      </c>
      <c r="O41" t="e">
        <f>SUM(#REF!)</f>
        <v>#REF!</v>
      </c>
      <c r="Q41" t="e">
        <f t="shared" si="1"/>
        <v>#REF!</v>
      </c>
    </row>
    <row r="42" spans="2:17" x14ac:dyDescent="0.25">
      <c r="M42" t="e">
        <f t="shared" si="0"/>
        <v>#REF!</v>
      </c>
      <c r="N42" t="e">
        <f>SUM(#REF!)</f>
        <v>#REF!</v>
      </c>
      <c r="O42" t="e">
        <f>SUM(#REF!)</f>
        <v>#REF!</v>
      </c>
      <c r="Q42" t="e">
        <f t="shared" si="1"/>
        <v>#REF!</v>
      </c>
    </row>
    <row r="43" spans="2:17" x14ac:dyDescent="0.25">
      <c r="M43" t="e">
        <f t="shared" si="0"/>
        <v>#REF!</v>
      </c>
      <c r="N43" t="e">
        <f>SUM(#REF!)</f>
        <v>#REF!</v>
      </c>
      <c r="O43" t="e">
        <f>SUM(#REF!)</f>
        <v>#REF!</v>
      </c>
      <c r="Q43" t="e">
        <f t="shared" si="1"/>
        <v>#REF!</v>
      </c>
    </row>
    <row r="44" spans="2:17" x14ac:dyDescent="0.25">
      <c r="M44" t="e">
        <f t="shared" si="0"/>
        <v>#REF!</v>
      </c>
      <c r="N44" t="e">
        <f>SUM(#REF!)</f>
        <v>#REF!</v>
      </c>
      <c r="O44" t="e">
        <f>SUM(#REF!)</f>
        <v>#REF!</v>
      </c>
      <c r="Q44" t="e">
        <f t="shared" si="1"/>
        <v>#REF!</v>
      </c>
    </row>
    <row r="45" spans="2:17" x14ac:dyDescent="0.25">
      <c r="M45" t="e">
        <f t="shared" si="0"/>
        <v>#REF!</v>
      </c>
      <c r="N45" t="e">
        <f>SUM(#REF!)</f>
        <v>#REF!</v>
      </c>
      <c r="O45" t="e">
        <f>SUM(#REF!)</f>
        <v>#REF!</v>
      </c>
      <c r="Q45" t="e">
        <f t="shared" si="1"/>
        <v>#REF!</v>
      </c>
    </row>
    <row r="46" spans="2:17" x14ac:dyDescent="0.25">
      <c r="M46" t="e">
        <f t="shared" si="0"/>
        <v>#REF!</v>
      </c>
      <c r="N46" t="e">
        <f>SUM(#REF!)</f>
        <v>#REF!</v>
      </c>
      <c r="O46" t="e">
        <f>SUM(#REF!)</f>
        <v>#REF!</v>
      </c>
      <c r="Q46" t="e">
        <f t="shared" si="1"/>
        <v>#REF!</v>
      </c>
    </row>
    <row r="47" spans="2:17" x14ac:dyDescent="0.25">
      <c r="M47" t="e">
        <f t="shared" si="0"/>
        <v>#REF!</v>
      </c>
      <c r="N47" t="e">
        <f>SUM(#REF!)</f>
        <v>#REF!</v>
      </c>
      <c r="O47" t="e">
        <f>SUM(#REF!)</f>
        <v>#REF!</v>
      </c>
      <c r="Q47" t="e">
        <f t="shared" si="1"/>
        <v>#REF!</v>
      </c>
    </row>
    <row r="48" spans="2:17" x14ac:dyDescent="0.25">
      <c r="M48" t="e">
        <f t="shared" si="0"/>
        <v>#REF!</v>
      </c>
      <c r="N48" t="e">
        <f>SUM(#REF!)</f>
        <v>#REF!</v>
      </c>
      <c r="O48" t="e">
        <f>SUM(#REF!)</f>
        <v>#REF!</v>
      </c>
      <c r="Q48" t="e">
        <f t="shared" si="1"/>
        <v>#REF!</v>
      </c>
    </row>
    <row r="49" spans="13:17" x14ac:dyDescent="0.25">
      <c r="M49" t="e">
        <f t="shared" si="0"/>
        <v>#REF!</v>
      </c>
      <c r="N49" t="e">
        <f>SUM(#REF!)</f>
        <v>#REF!</v>
      </c>
      <c r="O49" t="e">
        <f>SUM(#REF!)</f>
        <v>#REF!</v>
      </c>
      <c r="Q49" t="e">
        <f t="shared" si="1"/>
        <v>#REF!</v>
      </c>
    </row>
    <row r="50" spans="13:17" x14ac:dyDescent="0.25">
      <c r="M50" t="e">
        <f t="shared" si="0"/>
        <v>#REF!</v>
      </c>
      <c r="N50" t="e">
        <f>SUM(#REF!)</f>
        <v>#REF!</v>
      </c>
      <c r="O50" t="e">
        <f>SUM(#REF!)</f>
        <v>#REF!</v>
      </c>
      <c r="Q50" t="e">
        <f t="shared" si="1"/>
        <v>#REF!</v>
      </c>
    </row>
    <row r="51" spans="13:17" x14ac:dyDescent="0.25">
      <c r="M51" t="e">
        <f t="shared" si="0"/>
        <v>#REF!</v>
      </c>
      <c r="N51" t="e">
        <f>SUM(#REF!)</f>
        <v>#REF!</v>
      </c>
      <c r="O51" t="e">
        <f>SUM(#REF!)</f>
        <v>#REF!</v>
      </c>
      <c r="Q51" t="e">
        <f t="shared" si="1"/>
        <v>#REF!</v>
      </c>
    </row>
  </sheetData>
  <mergeCells count="1">
    <mergeCell ref="B1:H1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D68F23-71BE-4F92-9EAB-D67A7C2E6573}">
  <dimension ref="A1:K79"/>
  <sheetViews>
    <sheetView workbookViewId="0">
      <selection activeCell="N36" sqref="N36"/>
    </sheetView>
  </sheetViews>
  <sheetFormatPr defaultRowHeight="15" x14ac:dyDescent="0.25"/>
  <cols>
    <col min="1" max="19" width="12" customWidth="1"/>
  </cols>
  <sheetData>
    <row r="1" spans="1:11" ht="15.75" thickBot="1" x14ac:dyDescent="0.3">
      <c r="A1" s="112"/>
      <c r="B1" s="112"/>
      <c r="C1" s="112"/>
      <c r="D1" s="112"/>
      <c r="E1" s="112"/>
      <c r="F1" s="112"/>
      <c r="G1" s="112"/>
      <c r="H1" s="112"/>
      <c r="I1" s="112"/>
      <c r="J1" s="112"/>
      <c r="K1" s="112"/>
    </row>
    <row r="2" spans="1:11" x14ac:dyDescent="0.25">
      <c r="A2" s="112"/>
      <c r="B2" s="308" t="s">
        <v>99</v>
      </c>
      <c r="C2" s="309"/>
      <c r="D2" s="309"/>
      <c r="E2" s="309"/>
      <c r="F2" s="309"/>
      <c r="G2" s="309"/>
      <c r="H2" s="309"/>
      <c r="I2" s="310"/>
      <c r="J2" s="112"/>
      <c r="K2" s="112"/>
    </row>
    <row r="3" spans="1:11" x14ac:dyDescent="0.25">
      <c r="A3" s="112"/>
      <c r="B3" s="311"/>
      <c r="C3" s="312"/>
      <c r="D3" s="312"/>
      <c r="E3" s="312"/>
      <c r="F3" s="312"/>
      <c r="G3" s="312"/>
      <c r="H3" s="312"/>
      <c r="I3" s="313"/>
      <c r="J3" s="112"/>
      <c r="K3" s="112"/>
    </row>
    <row r="4" spans="1:11" x14ac:dyDescent="0.25">
      <c r="A4" s="112"/>
      <c r="B4" s="311"/>
      <c r="C4" s="312"/>
      <c r="D4" s="312"/>
      <c r="E4" s="312"/>
      <c r="F4" s="312"/>
      <c r="G4" s="312"/>
      <c r="H4" s="312"/>
      <c r="I4" s="313"/>
      <c r="J4" s="112"/>
      <c r="K4" s="112"/>
    </row>
    <row r="5" spans="1:11" ht="15.75" thickBot="1" x14ac:dyDescent="0.3">
      <c r="A5" s="112"/>
      <c r="B5" s="314"/>
      <c r="C5" s="315"/>
      <c r="D5" s="315"/>
      <c r="E5" s="315"/>
      <c r="F5" s="315"/>
      <c r="G5" s="315"/>
      <c r="H5" s="315"/>
      <c r="I5" s="316"/>
      <c r="J5" s="112"/>
      <c r="K5" s="112"/>
    </row>
    <row r="6" spans="1:11" x14ac:dyDescent="0.25">
      <c r="A6" s="112"/>
      <c r="B6" s="112"/>
      <c r="C6" s="112"/>
      <c r="D6" s="112"/>
      <c r="E6" s="112"/>
      <c r="F6" s="112"/>
      <c r="G6" s="112"/>
      <c r="H6" s="112"/>
      <c r="I6" s="112"/>
      <c r="J6" s="112"/>
      <c r="K6" s="112"/>
    </row>
    <row r="7" spans="1:11" x14ac:dyDescent="0.25">
      <c r="A7" s="112"/>
      <c r="B7" s="112"/>
      <c r="C7" s="112"/>
      <c r="D7" s="112"/>
      <c r="E7" s="112"/>
      <c r="F7" s="112"/>
      <c r="G7" s="112"/>
      <c r="H7" s="112"/>
      <c r="I7" s="112"/>
      <c r="J7" s="112"/>
      <c r="K7" s="112"/>
    </row>
    <row r="8" spans="1:11" x14ac:dyDescent="0.25">
      <c r="A8" s="112"/>
      <c r="B8" s="112"/>
      <c r="C8" s="112"/>
      <c r="D8" s="112"/>
      <c r="E8" s="112"/>
      <c r="F8" s="112"/>
      <c r="G8" s="112"/>
      <c r="H8" s="112"/>
      <c r="I8" s="112"/>
      <c r="J8" s="112"/>
      <c r="K8" s="112"/>
    </row>
    <row r="9" spans="1:11" x14ac:dyDescent="0.25">
      <c r="A9" s="112"/>
      <c r="B9" s="112"/>
      <c r="C9" s="112"/>
      <c r="D9" s="112"/>
      <c r="E9" s="112"/>
      <c r="F9" s="112"/>
      <c r="G9" s="112"/>
      <c r="H9" s="112"/>
      <c r="I9" s="112"/>
      <c r="J9" s="112"/>
      <c r="K9" s="112"/>
    </row>
    <row r="10" spans="1:11" x14ac:dyDescent="0.25">
      <c r="A10" s="112"/>
      <c r="B10" s="112"/>
      <c r="C10" s="112"/>
      <c r="D10" s="112"/>
      <c r="E10" s="112"/>
      <c r="F10" s="112"/>
      <c r="G10" s="112"/>
      <c r="H10" s="112"/>
      <c r="I10" s="112"/>
      <c r="J10" s="112"/>
      <c r="K10" s="112"/>
    </row>
    <row r="11" spans="1:11" x14ac:dyDescent="0.25">
      <c r="A11" s="112"/>
      <c r="B11" s="112"/>
      <c r="C11" s="112"/>
      <c r="D11" s="112"/>
      <c r="E11" s="112"/>
      <c r="F11" s="112"/>
      <c r="G11" s="112"/>
      <c r="H11" s="112"/>
      <c r="I11" s="112"/>
      <c r="J11" s="112"/>
      <c r="K11" s="112"/>
    </row>
    <row r="12" spans="1:11" x14ac:dyDescent="0.25">
      <c r="A12" s="112"/>
      <c r="B12" s="112"/>
      <c r="C12" s="112"/>
      <c r="D12" s="112"/>
      <c r="E12" s="112"/>
      <c r="F12" s="112"/>
      <c r="G12" s="112"/>
      <c r="H12" s="112"/>
      <c r="I12" s="112"/>
      <c r="J12" s="112"/>
      <c r="K12" s="112"/>
    </row>
    <row r="13" spans="1:11" x14ac:dyDescent="0.25">
      <c r="A13" s="112"/>
      <c r="B13" s="112"/>
      <c r="C13" s="112"/>
      <c r="D13" s="112"/>
      <c r="E13" s="112"/>
      <c r="F13" s="112"/>
      <c r="G13" s="112"/>
      <c r="H13" s="112"/>
      <c r="I13" s="112"/>
      <c r="J13" s="112"/>
      <c r="K13" s="112"/>
    </row>
    <row r="14" spans="1:11" x14ac:dyDescent="0.25">
      <c r="A14" s="112"/>
      <c r="B14" s="112"/>
      <c r="C14" s="112"/>
      <c r="D14" s="112"/>
      <c r="E14" s="112"/>
      <c r="F14" s="112"/>
      <c r="G14" s="112"/>
      <c r="H14" s="112"/>
      <c r="I14" s="112"/>
      <c r="J14" s="112"/>
      <c r="K14" s="112"/>
    </row>
    <row r="15" spans="1:11" x14ac:dyDescent="0.25">
      <c r="A15" s="112"/>
      <c r="B15" s="112"/>
      <c r="C15" s="112"/>
      <c r="D15" s="112"/>
      <c r="E15" s="112"/>
      <c r="F15" s="112"/>
      <c r="G15" s="112"/>
      <c r="H15" s="112"/>
      <c r="I15" s="112"/>
      <c r="J15" s="112"/>
      <c r="K15" s="112"/>
    </row>
    <row r="16" spans="1:11" x14ac:dyDescent="0.25">
      <c r="A16" s="112"/>
      <c r="B16" s="112"/>
      <c r="C16" s="112"/>
      <c r="D16" s="112"/>
      <c r="E16" s="112"/>
      <c r="F16" s="112"/>
      <c r="G16" s="112"/>
      <c r="H16" s="112"/>
      <c r="I16" s="112"/>
      <c r="J16" s="112"/>
      <c r="K16" s="112"/>
    </row>
    <row r="17" spans="1:11" x14ac:dyDescent="0.25">
      <c r="A17" s="112"/>
      <c r="B17" s="112"/>
      <c r="C17" s="112"/>
      <c r="D17" s="112"/>
      <c r="E17" s="112"/>
      <c r="F17" s="112"/>
      <c r="G17" s="112"/>
      <c r="H17" s="112"/>
      <c r="I17" s="112"/>
      <c r="J17" s="112"/>
      <c r="K17" s="112"/>
    </row>
    <row r="18" spans="1:11" ht="15.75" thickBot="1" x14ac:dyDescent="0.3">
      <c r="A18" s="112"/>
      <c r="B18" s="112"/>
      <c r="C18" s="112"/>
      <c r="D18" s="112"/>
      <c r="E18" s="112"/>
      <c r="F18" s="112"/>
      <c r="G18" s="112"/>
      <c r="H18" s="112"/>
      <c r="I18" s="112"/>
      <c r="J18" s="112"/>
      <c r="K18" s="112"/>
    </row>
    <row r="19" spans="1:11" ht="15.75" customHeight="1" x14ac:dyDescent="0.25">
      <c r="A19" s="112"/>
      <c r="B19" s="317" t="s">
        <v>103</v>
      </c>
      <c r="C19" s="318"/>
      <c r="D19" s="318"/>
      <c r="E19" s="318"/>
      <c r="F19" s="318"/>
      <c r="G19" s="318"/>
      <c r="H19" s="318"/>
      <c r="I19" s="319"/>
      <c r="J19" s="112"/>
      <c r="K19" s="112"/>
    </row>
    <row r="20" spans="1:11" ht="15.75" thickBot="1" x14ac:dyDescent="0.3">
      <c r="A20" s="112"/>
      <c r="B20" s="320"/>
      <c r="C20" s="321"/>
      <c r="D20" s="321"/>
      <c r="E20" s="321"/>
      <c r="F20" s="321"/>
      <c r="G20" s="321"/>
      <c r="H20" s="321"/>
      <c r="I20" s="322"/>
      <c r="J20" s="112"/>
      <c r="K20" s="112"/>
    </row>
    <row r="21" spans="1:11" ht="15.75" thickBot="1" x14ac:dyDescent="0.3">
      <c r="A21" s="112"/>
      <c r="B21" s="14"/>
      <c r="C21" s="14"/>
      <c r="D21" s="14"/>
      <c r="E21" s="14"/>
      <c r="F21" s="14"/>
      <c r="G21" s="14"/>
      <c r="H21" s="14"/>
      <c r="I21" s="14"/>
      <c r="J21" s="112"/>
      <c r="K21" s="112"/>
    </row>
    <row r="22" spans="1:11" x14ac:dyDescent="0.25">
      <c r="A22" s="112"/>
      <c r="B22" s="308" t="s">
        <v>98</v>
      </c>
      <c r="C22" s="309"/>
      <c r="D22" s="309"/>
      <c r="E22" s="309"/>
      <c r="F22" s="309"/>
      <c r="G22" s="309"/>
      <c r="H22" s="309"/>
      <c r="I22" s="310"/>
      <c r="J22" s="112"/>
      <c r="K22" s="112"/>
    </row>
    <row r="23" spans="1:11" x14ac:dyDescent="0.25">
      <c r="A23" s="112"/>
      <c r="B23" s="311"/>
      <c r="C23" s="312"/>
      <c r="D23" s="312"/>
      <c r="E23" s="312"/>
      <c r="F23" s="312"/>
      <c r="G23" s="312"/>
      <c r="H23" s="312"/>
      <c r="I23" s="313"/>
      <c r="J23" s="112"/>
      <c r="K23" s="112"/>
    </row>
    <row r="24" spans="1:11" x14ac:dyDescent="0.25">
      <c r="A24" s="112"/>
      <c r="B24" s="311"/>
      <c r="C24" s="312"/>
      <c r="D24" s="312"/>
      <c r="E24" s="312"/>
      <c r="F24" s="312"/>
      <c r="G24" s="312"/>
      <c r="H24" s="312"/>
      <c r="I24" s="313"/>
      <c r="J24" s="112"/>
      <c r="K24" s="112"/>
    </row>
    <row r="25" spans="1:11" ht="15.75" thickBot="1" x14ac:dyDescent="0.3">
      <c r="A25" s="112"/>
      <c r="B25" s="314"/>
      <c r="C25" s="315"/>
      <c r="D25" s="315"/>
      <c r="E25" s="315"/>
      <c r="F25" s="315"/>
      <c r="G25" s="315"/>
      <c r="H25" s="315"/>
      <c r="I25" s="316"/>
      <c r="J25" s="112"/>
      <c r="K25" s="112"/>
    </row>
    <row r="26" spans="1:11" x14ac:dyDescent="0.25">
      <c r="A26" s="112"/>
      <c r="B26" s="112"/>
      <c r="C26" s="112"/>
      <c r="D26" s="112"/>
      <c r="E26" s="112"/>
      <c r="F26" s="112"/>
      <c r="G26" s="112"/>
      <c r="H26" s="112"/>
      <c r="I26" s="112"/>
      <c r="J26" s="112"/>
      <c r="K26" s="112"/>
    </row>
    <row r="27" spans="1:11" x14ac:dyDescent="0.25">
      <c r="A27" s="112"/>
      <c r="B27" s="112"/>
      <c r="C27" s="112"/>
      <c r="D27" s="112"/>
      <c r="E27" s="112"/>
      <c r="F27" s="112"/>
      <c r="G27" s="112"/>
      <c r="H27" s="112"/>
      <c r="I27" s="112"/>
      <c r="J27" s="112"/>
      <c r="K27" s="112"/>
    </row>
    <row r="28" spans="1:11" x14ac:dyDescent="0.25">
      <c r="A28" s="112"/>
      <c r="B28" s="112"/>
      <c r="C28" s="112"/>
      <c r="D28" s="112"/>
      <c r="E28" s="112"/>
      <c r="F28" s="112"/>
      <c r="G28" s="112"/>
      <c r="H28" s="112"/>
      <c r="I28" s="112"/>
      <c r="J28" s="112"/>
      <c r="K28" s="112"/>
    </row>
    <row r="29" spans="1:11" x14ac:dyDescent="0.25">
      <c r="A29" s="112"/>
      <c r="B29" s="112"/>
      <c r="C29" s="112"/>
      <c r="D29" s="112"/>
      <c r="E29" s="112"/>
      <c r="F29" s="112"/>
      <c r="G29" s="112"/>
      <c r="H29" s="112"/>
      <c r="I29" s="112"/>
      <c r="J29" s="112"/>
      <c r="K29" s="112"/>
    </row>
    <row r="30" spans="1:11" x14ac:dyDescent="0.25">
      <c r="A30" s="112"/>
      <c r="B30" s="112"/>
      <c r="C30" s="112"/>
      <c r="D30" s="112"/>
      <c r="E30" s="112"/>
      <c r="F30" s="112"/>
      <c r="G30" s="112"/>
      <c r="H30" s="112"/>
      <c r="I30" s="112"/>
      <c r="J30" s="112"/>
      <c r="K30" s="112"/>
    </row>
    <row r="31" spans="1:11" x14ac:dyDescent="0.25">
      <c r="A31" s="112"/>
      <c r="B31" s="112"/>
      <c r="C31" s="112"/>
      <c r="D31" s="112"/>
      <c r="E31" s="112"/>
      <c r="F31" s="112"/>
      <c r="G31" s="112"/>
      <c r="H31" s="112"/>
      <c r="I31" s="112"/>
      <c r="J31" s="112"/>
      <c r="K31" s="112"/>
    </row>
    <row r="32" spans="1:11" x14ac:dyDescent="0.25">
      <c r="A32" s="112"/>
      <c r="B32" s="112"/>
      <c r="C32" s="112"/>
      <c r="D32" s="112"/>
      <c r="E32" s="112"/>
      <c r="F32" s="112"/>
      <c r="G32" s="112"/>
      <c r="H32" s="112"/>
      <c r="I32" s="112"/>
      <c r="J32" s="112"/>
      <c r="K32" s="112"/>
    </row>
    <row r="33" spans="1:11" x14ac:dyDescent="0.25">
      <c r="A33" s="112"/>
      <c r="B33" s="112"/>
      <c r="C33" s="112"/>
      <c r="D33" s="112"/>
      <c r="E33" s="112"/>
      <c r="F33" s="112"/>
      <c r="G33" s="112"/>
      <c r="H33" s="112"/>
      <c r="I33" s="112"/>
      <c r="J33" s="112"/>
      <c r="K33" s="112"/>
    </row>
    <row r="34" spans="1:11" x14ac:dyDescent="0.25">
      <c r="A34" s="112"/>
      <c r="B34" s="112"/>
      <c r="C34" s="112"/>
      <c r="D34" s="112"/>
      <c r="E34" s="112"/>
      <c r="F34" s="112"/>
      <c r="G34" s="112"/>
      <c r="H34" s="112"/>
      <c r="I34" s="112"/>
      <c r="J34" s="112"/>
      <c r="K34" s="112"/>
    </row>
    <row r="35" spans="1:11" x14ac:dyDescent="0.25">
      <c r="A35" s="112"/>
      <c r="B35" s="112"/>
      <c r="C35" s="112"/>
      <c r="D35" s="112"/>
      <c r="E35" s="112"/>
      <c r="F35" s="112"/>
      <c r="G35" s="112"/>
      <c r="H35" s="112"/>
      <c r="I35" s="112"/>
      <c r="J35" s="112"/>
      <c r="K35" s="112"/>
    </row>
    <row r="36" spans="1:11" x14ac:dyDescent="0.25">
      <c r="A36" s="112"/>
      <c r="B36" s="112"/>
      <c r="C36" s="112"/>
      <c r="D36" s="112"/>
      <c r="E36" s="112"/>
      <c r="F36" s="112"/>
      <c r="G36" s="112"/>
      <c r="H36" s="112"/>
      <c r="I36" s="112"/>
      <c r="J36" s="112"/>
      <c r="K36" s="112"/>
    </row>
    <row r="37" spans="1:11" x14ac:dyDescent="0.25">
      <c r="A37" s="112"/>
      <c r="B37" s="112"/>
      <c r="C37" s="112"/>
      <c r="D37" s="112"/>
      <c r="E37" s="112"/>
      <c r="F37" s="112"/>
      <c r="G37" s="112"/>
      <c r="H37" s="112"/>
      <c r="I37" s="112"/>
      <c r="J37" s="112"/>
      <c r="K37" s="112"/>
    </row>
    <row r="38" spans="1:11" x14ac:dyDescent="0.25">
      <c r="A38" s="112"/>
      <c r="B38" s="112"/>
      <c r="C38" s="112"/>
      <c r="D38" s="112"/>
      <c r="E38" s="112"/>
      <c r="F38" s="112"/>
      <c r="G38" s="112"/>
      <c r="H38" s="112"/>
      <c r="I38" s="112"/>
      <c r="J38" s="112"/>
      <c r="K38" s="112"/>
    </row>
    <row r="39" spans="1:11" x14ac:dyDescent="0.25">
      <c r="A39" s="112"/>
      <c r="B39" s="112"/>
      <c r="C39" s="112"/>
      <c r="D39" s="112"/>
      <c r="E39" s="112"/>
      <c r="F39" s="112"/>
      <c r="G39" s="112"/>
      <c r="H39" s="112"/>
      <c r="I39" s="112"/>
      <c r="J39" s="112"/>
      <c r="K39" s="112"/>
    </row>
    <row r="40" spans="1:11" x14ac:dyDescent="0.25">
      <c r="A40" s="112"/>
      <c r="B40" s="112"/>
      <c r="C40" s="112"/>
      <c r="D40" s="112"/>
      <c r="E40" s="112"/>
      <c r="F40" s="112"/>
      <c r="G40" s="112"/>
      <c r="H40" s="112"/>
      <c r="I40" s="112"/>
      <c r="J40" s="112"/>
      <c r="K40" s="112"/>
    </row>
    <row r="41" spans="1:11" x14ac:dyDescent="0.25">
      <c r="A41" s="112"/>
      <c r="B41" s="112"/>
      <c r="C41" s="112"/>
      <c r="D41" s="112"/>
      <c r="E41" s="112"/>
      <c r="F41" s="112"/>
      <c r="G41" s="112"/>
      <c r="H41" s="112"/>
      <c r="I41" s="112"/>
      <c r="J41" s="112"/>
      <c r="K41" s="112"/>
    </row>
    <row r="42" spans="1:11" x14ac:dyDescent="0.25">
      <c r="A42" s="112"/>
      <c r="B42" s="112"/>
      <c r="C42" s="112"/>
      <c r="D42" s="112"/>
      <c r="E42" s="112"/>
      <c r="F42" s="112"/>
      <c r="G42" s="112"/>
      <c r="H42" s="112"/>
      <c r="I42" s="112"/>
      <c r="J42" s="112"/>
      <c r="K42" s="112"/>
    </row>
    <row r="43" spans="1:11" ht="15.75" thickBot="1" x14ac:dyDescent="0.3">
      <c r="A43" s="112"/>
      <c r="B43" s="112"/>
      <c r="C43" s="112"/>
      <c r="D43" s="112"/>
      <c r="E43" s="112"/>
      <c r="F43" s="112"/>
      <c r="G43" s="112"/>
      <c r="H43" s="112"/>
      <c r="I43" s="112"/>
      <c r="J43" s="112"/>
      <c r="K43" s="112"/>
    </row>
    <row r="44" spans="1:11" x14ac:dyDescent="0.25">
      <c r="A44" s="112"/>
      <c r="B44" s="308" t="s">
        <v>100</v>
      </c>
      <c r="C44" s="309"/>
      <c r="D44" s="309"/>
      <c r="E44" s="309"/>
      <c r="F44" s="309"/>
      <c r="G44" s="309"/>
      <c r="H44" s="309"/>
      <c r="I44" s="310"/>
      <c r="J44" s="112"/>
      <c r="K44" s="112"/>
    </row>
    <row r="45" spans="1:11" x14ac:dyDescent="0.25">
      <c r="A45" s="112"/>
      <c r="B45" s="311"/>
      <c r="C45" s="312"/>
      <c r="D45" s="312"/>
      <c r="E45" s="312"/>
      <c r="F45" s="312"/>
      <c r="G45" s="312"/>
      <c r="H45" s="312"/>
      <c r="I45" s="313"/>
      <c r="J45" s="112"/>
      <c r="K45" s="112"/>
    </row>
    <row r="46" spans="1:11" x14ac:dyDescent="0.25">
      <c r="A46" s="112"/>
      <c r="B46" s="311"/>
      <c r="C46" s="312"/>
      <c r="D46" s="312"/>
      <c r="E46" s="312"/>
      <c r="F46" s="312"/>
      <c r="G46" s="312"/>
      <c r="H46" s="312"/>
      <c r="I46" s="313"/>
      <c r="J46" s="112"/>
      <c r="K46" s="112"/>
    </row>
    <row r="47" spans="1:11" ht="15.75" thickBot="1" x14ac:dyDescent="0.3">
      <c r="A47" s="112"/>
      <c r="B47" s="314"/>
      <c r="C47" s="315"/>
      <c r="D47" s="315"/>
      <c r="E47" s="315"/>
      <c r="F47" s="315"/>
      <c r="G47" s="315"/>
      <c r="H47" s="315"/>
      <c r="I47" s="316"/>
      <c r="J47" s="112"/>
      <c r="K47" s="112"/>
    </row>
    <row r="48" spans="1:11" x14ac:dyDescent="0.25">
      <c r="A48" s="112"/>
      <c r="B48" s="112"/>
      <c r="C48" s="112"/>
      <c r="D48" s="112"/>
      <c r="E48" s="112"/>
      <c r="F48" s="112"/>
      <c r="G48" s="112"/>
      <c r="H48" s="112"/>
      <c r="I48" s="112"/>
      <c r="J48" s="112"/>
      <c r="K48" s="112"/>
    </row>
    <row r="49" spans="1:11" x14ac:dyDescent="0.25">
      <c r="A49" s="112"/>
      <c r="B49" s="112"/>
      <c r="C49" s="112"/>
      <c r="D49" s="112"/>
      <c r="E49" s="112"/>
      <c r="F49" s="112"/>
      <c r="G49" s="112"/>
      <c r="H49" s="112"/>
      <c r="I49" s="112"/>
      <c r="J49" s="112"/>
      <c r="K49" s="112"/>
    </row>
    <row r="50" spans="1:11" x14ac:dyDescent="0.25">
      <c r="A50" s="112"/>
      <c r="B50" s="112"/>
      <c r="C50" s="112"/>
      <c r="D50" s="112"/>
      <c r="E50" s="112"/>
      <c r="F50" s="112"/>
      <c r="G50" s="112"/>
      <c r="H50" s="112"/>
      <c r="I50" s="112"/>
      <c r="J50" s="112"/>
      <c r="K50" s="112"/>
    </row>
    <row r="51" spans="1:11" x14ac:dyDescent="0.25">
      <c r="A51" s="112"/>
      <c r="B51" s="112"/>
      <c r="C51" s="112"/>
      <c r="D51" s="112"/>
      <c r="E51" s="112"/>
      <c r="F51" s="112"/>
      <c r="G51" s="112"/>
      <c r="H51" s="112"/>
      <c r="I51" s="112"/>
      <c r="J51" s="112"/>
      <c r="K51" s="112"/>
    </row>
    <row r="52" spans="1:11" x14ac:dyDescent="0.25">
      <c r="A52" s="112"/>
      <c r="B52" s="112"/>
      <c r="C52" s="112"/>
      <c r="D52" s="112"/>
      <c r="E52" s="112"/>
      <c r="F52" s="112"/>
      <c r="G52" s="112"/>
      <c r="H52" s="112"/>
      <c r="I52" s="112"/>
      <c r="J52" s="112"/>
      <c r="K52" s="112"/>
    </row>
    <row r="53" spans="1:11" x14ac:dyDescent="0.25">
      <c r="A53" s="112"/>
      <c r="B53" s="112"/>
      <c r="C53" s="112"/>
      <c r="D53" s="112"/>
      <c r="E53" s="112"/>
      <c r="F53" s="112"/>
      <c r="G53" s="112"/>
      <c r="H53" s="112"/>
      <c r="I53" s="112"/>
      <c r="J53" s="112"/>
      <c r="K53" s="112"/>
    </row>
    <row r="54" spans="1:11" x14ac:dyDescent="0.25">
      <c r="A54" s="112"/>
      <c r="B54" s="112"/>
      <c r="C54" s="112"/>
      <c r="D54" s="112"/>
      <c r="E54" s="112"/>
      <c r="F54" s="112"/>
      <c r="G54" s="112"/>
      <c r="H54" s="112"/>
      <c r="I54" s="112"/>
      <c r="J54" s="112"/>
      <c r="K54" s="112"/>
    </row>
    <row r="55" spans="1:11" x14ac:dyDescent="0.25">
      <c r="A55" s="112"/>
      <c r="B55" s="112"/>
      <c r="C55" s="112"/>
      <c r="D55" s="112"/>
      <c r="E55" s="112"/>
      <c r="F55" s="112"/>
      <c r="G55" s="112"/>
      <c r="H55" s="112"/>
      <c r="I55" s="112"/>
      <c r="J55" s="112"/>
      <c r="K55" s="112"/>
    </row>
    <row r="56" spans="1:11" x14ac:dyDescent="0.25">
      <c r="A56" s="112"/>
      <c r="B56" s="112"/>
      <c r="C56" s="112"/>
      <c r="D56" s="112"/>
      <c r="E56" s="112"/>
      <c r="F56" s="112"/>
      <c r="G56" s="112"/>
      <c r="H56" s="112"/>
      <c r="I56" s="112"/>
      <c r="J56" s="112"/>
      <c r="K56" s="112"/>
    </row>
    <row r="57" spans="1:11" x14ac:dyDescent="0.25">
      <c r="A57" s="112"/>
      <c r="B57" s="112"/>
      <c r="C57" s="112"/>
      <c r="D57" s="112"/>
      <c r="E57" s="112"/>
      <c r="F57" s="112"/>
      <c r="G57" s="112"/>
      <c r="H57" s="112"/>
      <c r="I57" s="112"/>
      <c r="J57" s="112"/>
      <c r="K57" s="112"/>
    </row>
    <row r="58" spans="1:11" x14ac:dyDescent="0.25">
      <c r="A58" s="112"/>
      <c r="B58" s="112"/>
      <c r="C58" s="112"/>
      <c r="D58" s="112"/>
      <c r="E58" s="112"/>
      <c r="F58" s="112"/>
      <c r="G58" s="112"/>
      <c r="H58" s="112"/>
      <c r="I58" s="112"/>
      <c r="J58" s="112"/>
      <c r="K58" s="112"/>
    </row>
    <row r="59" spans="1:11" x14ac:dyDescent="0.25">
      <c r="A59" s="112"/>
      <c r="B59" s="112"/>
      <c r="C59" s="112"/>
      <c r="D59" s="112"/>
      <c r="E59" s="112"/>
      <c r="F59" s="112"/>
      <c r="G59" s="112"/>
      <c r="H59" s="112"/>
      <c r="I59" s="112"/>
      <c r="J59" s="112"/>
      <c r="K59" s="112"/>
    </row>
    <row r="60" spans="1:11" x14ac:dyDescent="0.25">
      <c r="A60" s="112"/>
      <c r="B60" s="112"/>
      <c r="C60" s="112"/>
      <c r="D60" s="112"/>
      <c r="E60" s="112"/>
      <c r="F60" s="112"/>
      <c r="G60" s="112"/>
      <c r="H60" s="112"/>
      <c r="I60" s="112"/>
      <c r="J60" s="112"/>
      <c r="K60" s="112"/>
    </row>
    <row r="61" spans="1:11" x14ac:dyDescent="0.25">
      <c r="A61" s="112"/>
      <c r="B61" s="112"/>
      <c r="C61" s="112"/>
      <c r="D61" s="112"/>
      <c r="E61" s="112"/>
      <c r="F61" s="112"/>
      <c r="G61" s="112"/>
      <c r="H61" s="112"/>
      <c r="I61" s="112"/>
      <c r="J61" s="112"/>
      <c r="K61" s="112"/>
    </row>
    <row r="62" spans="1:11" x14ac:dyDescent="0.25">
      <c r="A62" s="112"/>
      <c r="B62" s="112"/>
      <c r="C62" s="112"/>
      <c r="D62" s="112"/>
      <c r="E62" s="112"/>
      <c r="F62" s="112"/>
      <c r="G62" s="112"/>
      <c r="H62" s="112"/>
      <c r="I62" s="112"/>
      <c r="J62" s="112"/>
      <c r="K62" s="112"/>
    </row>
    <row r="63" spans="1:11" x14ac:dyDescent="0.25">
      <c r="A63" s="112"/>
      <c r="B63" s="112"/>
      <c r="C63" s="112"/>
      <c r="D63" s="112"/>
      <c r="E63" s="112"/>
      <c r="F63" s="112"/>
      <c r="G63" s="112"/>
      <c r="H63" s="112"/>
      <c r="I63" s="112"/>
      <c r="J63" s="112"/>
      <c r="K63" s="112"/>
    </row>
    <row r="64" spans="1:11" ht="15.75" thickBot="1" x14ac:dyDescent="0.3">
      <c r="A64" s="112"/>
      <c r="B64" s="112"/>
      <c r="C64" s="112"/>
      <c r="D64" s="112"/>
      <c r="E64" s="112"/>
      <c r="F64" s="112"/>
      <c r="G64" s="112"/>
      <c r="H64" s="112"/>
      <c r="I64" s="112"/>
      <c r="J64" s="112"/>
      <c r="K64" s="112"/>
    </row>
    <row r="65" spans="1:11" x14ac:dyDescent="0.25">
      <c r="A65" s="112"/>
      <c r="B65" s="308" t="s">
        <v>102</v>
      </c>
      <c r="C65" s="309"/>
      <c r="D65" s="309"/>
      <c r="E65" s="309"/>
      <c r="F65" s="309"/>
      <c r="G65" s="309"/>
      <c r="H65" s="309"/>
      <c r="I65" s="310"/>
      <c r="J65" s="112"/>
      <c r="K65" s="112"/>
    </row>
    <row r="66" spans="1:11" x14ac:dyDescent="0.25">
      <c r="A66" s="112"/>
      <c r="B66" s="311"/>
      <c r="C66" s="312"/>
      <c r="D66" s="312"/>
      <c r="E66" s="312"/>
      <c r="F66" s="312"/>
      <c r="G66" s="312"/>
      <c r="H66" s="312"/>
      <c r="I66" s="313"/>
      <c r="J66" s="112"/>
      <c r="K66" s="112"/>
    </row>
    <row r="67" spans="1:11" x14ac:dyDescent="0.25">
      <c r="A67" s="112"/>
      <c r="B67" s="311"/>
      <c r="C67" s="312"/>
      <c r="D67" s="312"/>
      <c r="E67" s="312"/>
      <c r="F67" s="312"/>
      <c r="G67" s="312"/>
      <c r="H67" s="312"/>
      <c r="I67" s="313"/>
      <c r="J67" s="112"/>
      <c r="K67" s="112"/>
    </row>
    <row r="68" spans="1:11" ht="15.75" thickBot="1" x14ac:dyDescent="0.3">
      <c r="A68" s="112"/>
      <c r="B68" s="314"/>
      <c r="C68" s="315"/>
      <c r="D68" s="315"/>
      <c r="E68" s="315"/>
      <c r="F68" s="315"/>
      <c r="G68" s="315"/>
      <c r="H68" s="315"/>
      <c r="I68" s="316"/>
      <c r="J68" s="112"/>
      <c r="K68" s="112"/>
    </row>
    <row r="69" spans="1:11" x14ac:dyDescent="0.25">
      <c r="A69" s="112"/>
      <c r="B69" s="112"/>
      <c r="C69" s="112"/>
      <c r="D69" s="112"/>
      <c r="E69" s="112"/>
      <c r="F69" s="112"/>
      <c r="G69" s="112"/>
      <c r="H69" s="112"/>
      <c r="I69" s="112"/>
      <c r="J69" s="112"/>
      <c r="K69" s="112"/>
    </row>
    <row r="70" spans="1:11" x14ac:dyDescent="0.25">
      <c r="A70" s="112"/>
      <c r="B70" s="112"/>
      <c r="C70" s="112"/>
      <c r="D70" s="112"/>
      <c r="E70" s="112"/>
      <c r="F70" s="112"/>
      <c r="G70" s="112"/>
      <c r="H70" s="112"/>
      <c r="I70" s="112"/>
      <c r="J70" s="112"/>
      <c r="K70" s="112"/>
    </row>
    <row r="71" spans="1:11" x14ac:dyDescent="0.25">
      <c r="A71" s="112"/>
      <c r="B71" s="112"/>
      <c r="C71" s="112"/>
      <c r="D71" s="112"/>
      <c r="E71" s="112"/>
      <c r="F71" s="112"/>
      <c r="G71" s="112"/>
      <c r="H71" s="112"/>
      <c r="I71" s="112"/>
      <c r="J71" s="112"/>
      <c r="K71" s="112"/>
    </row>
    <row r="72" spans="1:11" x14ac:dyDescent="0.25">
      <c r="A72" s="112"/>
      <c r="B72" s="112"/>
      <c r="C72" s="112"/>
      <c r="D72" s="112"/>
      <c r="E72" s="112"/>
      <c r="F72" s="112"/>
      <c r="G72" s="112"/>
      <c r="H72" s="112"/>
      <c r="I72" s="112"/>
      <c r="J72" s="112"/>
      <c r="K72" s="112"/>
    </row>
    <row r="73" spans="1:11" ht="15.75" thickBot="1" x14ac:dyDescent="0.3">
      <c r="A73" s="112"/>
      <c r="B73" s="112"/>
      <c r="C73" s="112"/>
      <c r="D73" s="112"/>
      <c r="E73" s="112"/>
      <c r="F73" s="112"/>
      <c r="G73" s="112"/>
      <c r="H73" s="112"/>
      <c r="I73" s="112"/>
      <c r="J73" s="112"/>
      <c r="K73" s="112"/>
    </row>
    <row r="74" spans="1:11" x14ac:dyDescent="0.25">
      <c r="A74" s="112"/>
      <c r="B74" s="308" t="s">
        <v>101</v>
      </c>
      <c r="C74" s="309"/>
      <c r="D74" s="309"/>
      <c r="E74" s="309"/>
      <c r="F74" s="309"/>
      <c r="G74" s="309"/>
      <c r="H74" s="309"/>
      <c r="I74" s="310"/>
      <c r="J74" s="112"/>
      <c r="K74" s="112"/>
    </row>
    <row r="75" spans="1:11" x14ac:dyDescent="0.25">
      <c r="A75" s="112"/>
      <c r="B75" s="311"/>
      <c r="C75" s="312"/>
      <c r="D75" s="312"/>
      <c r="E75" s="312"/>
      <c r="F75" s="312"/>
      <c r="G75" s="312"/>
      <c r="H75" s="312"/>
      <c r="I75" s="313"/>
      <c r="J75" s="112"/>
      <c r="K75" s="112"/>
    </row>
    <row r="76" spans="1:11" x14ac:dyDescent="0.25">
      <c r="A76" s="112"/>
      <c r="B76" s="311"/>
      <c r="C76" s="312"/>
      <c r="D76" s="312"/>
      <c r="E76" s="312"/>
      <c r="F76" s="312"/>
      <c r="G76" s="312"/>
      <c r="H76" s="312"/>
      <c r="I76" s="313"/>
      <c r="J76" s="112"/>
      <c r="K76" s="112"/>
    </row>
    <row r="77" spans="1:11" ht="15.75" thickBot="1" x14ac:dyDescent="0.3">
      <c r="A77" s="112"/>
      <c r="B77" s="314"/>
      <c r="C77" s="315"/>
      <c r="D77" s="315"/>
      <c r="E77" s="315"/>
      <c r="F77" s="315"/>
      <c r="G77" s="315"/>
      <c r="H77" s="315"/>
      <c r="I77" s="316"/>
      <c r="J77" s="112"/>
      <c r="K77" s="112"/>
    </row>
    <row r="78" spans="1:11" x14ac:dyDescent="0.25">
      <c r="A78" s="112"/>
      <c r="B78" s="112"/>
      <c r="C78" s="112"/>
      <c r="D78" s="112"/>
      <c r="E78" s="112"/>
      <c r="F78" s="112"/>
      <c r="G78" s="112"/>
      <c r="H78" s="112"/>
      <c r="I78" s="112"/>
      <c r="J78" s="112"/>
      <c r="K78" s="112"/>
    </row>
    <row r="79" spans="1:11" x14ac:dyDescent="0.25">
      <c r="A79" s="112"/>
      <c r="B79" s="112"/>
      <c r="C79" s="112"/>
      <c r="D79" s="112"/>
      <c r="E79" s="112"/>
      <c r="F79" s="112"/>
      <c r="G79" s="112"/>
      <c r="H79" s="112"/>
      <c r="I79" s="112"/>
      <c r="J79" s="112"/>
      <c r="K79" s="112"/>
    </row>
  </sheetData>
  <mergeCells count="6">
    <mergeCell ref="B22:I25"/>
    <mergeCell ref="B2:I5"/>
    <mergeCell ref="B44:I47"/>
    <mergeCell ref="B74:I77"/>
    <mergeCell ref="B65:I68"/>
    <mergeCell ref="B19:I20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Borrowers3</vt:lpstr>
      <vt:lpstr>Borrowers2</vt:lpstr>
      <vt:lpstr>Home</vt:lpstr>
      <vt:lpstr>Overview</vt:lpstr>
      <vt:lpstr>Savings2</vt:lpstr>
      <vt:lpstr>Savings</vt:lpstr>
      <vt:lpstr>Borrowers</vt:lpstr>
      <vt:lpstr>Profit</vt:lpstr>
      <vt:lpstr>Revenues</vt:lpstr>
      <vt:lpstr>data</vt:lpstr>
      <vt:lpstr>Process Flow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balaguer</dc:creator>
  <cp:lastModifiedBy>Balaguer, Ryan</cp:lastModifiedBy>
  <dcterms:created xsi:type="dcterms:W3CDTF">2018-06-26T02:33:31Z</dcterms:created>
  <dcterms:modified xsi:type="dcterms:W3CDTF">2025-05-12T09:30:04Z</dcterms:modified>
</cp:coreProperties>
</file>