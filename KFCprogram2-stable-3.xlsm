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13_ncr:1_{D549A3A2-3926-44AA-A20E-F7F3D09D6DD6}" xr6:coauthVersionLast="47" xr6:coauthVersionMax="47" xr10:uidLastSave="{00000000-0000-0000-0000-000000000000}"/>
  <bookViews>
    <workbookView xWindow="-120" yWindow="-120" windowWidth="24240" windowHeight="13020" tabRatio="593" xr2:uid="{00000000-000D-0000-FFFF-FFFF00000000}"/>
  </bookViews>
  <sheets>
    <sheet name="Home" sheetId="1" r:id="rId1"/>
    <sheet name="Savings" sheetId="2" r:id="rId2"/>
    <sheet name="Profit" sheetId="8" r:id="rId3"/>
    <sheet name="Borrowers" sheetId="4" r:id="rId4"/>
    <sheet name="Revenues" sheetId="5" r:id="rId5"/>
    <sheet name="LOG" sheetId="6" r:id="rId6"/>
    <sheet name="data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" i="1" l="1"/>
  <c r="N51" i="2"/>
  <c r="P51" i="2"/>
  <c r="AA51" i="2"/>
  <c r="Z51" i="2"/>
  <c r="Y51" i="2"/>
  <c r="X51" i="2"/>
  <c r="W51" i="2"/>
  <c r="V51" i="2"/>
  <c r="U51" i="2"/>
  <c r="T51" i="2"/>
  <c r="S51" i="2"/>
  <c r="R51" i="2"/>
  <c r="Q51" i="2"/>
  <c r="O51" i="2"/>
  <c r="M51" i="2"/>
  <c r="L51" i="2"/>
  <c r="K51" i="2"/>
  <c r="J51" i="2"/>
  <c r="I51" i="2"/>
  <c r="H51" i="2"/>
  <c r="G51" i="2"/>
  <c r="F51" i="2"/>
  <c r="E51" i="2"/>
  <c r="D51" i="2"/>
  <c r="C51" i="2"/>
  <c r="G3" i="7"/>
  <c r="H3" i="7" s="1"/>
  <c r="E2" i="7"/>
  <c r="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B36" i="2" s="1"/>
  <c r="C34" i="2"/>
  <c r="B34" i="2"/>
  <c r="H16" i="8"/>
  <c r="H1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4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18" i="2"/>
  <c r="B51" i="2"/>
  <c r="B33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B16" i="2" s="1"/>
  <c r="AA15" i="2"/>
  <c r="U4" i="1"/>
  <c r="B52" i="2" l="1"/>
  <c r="AA52" i="2" s="1"/>
  <c r="AA53" i="2" s="1"/>
  <c r="AA16" i="2"/>
  <c r="AA17" i="2" s="1"/>
  <c r="X16" i="2"/>
  <c r="X17" i="2" s="1"/>
  <c r="H16" i="2"/>
  <c r="H17" i="2" s="1"/>
  <c r="T16" i="2"/>
  <c r="T17" i="2" s="1"/>
  <c r="D16" i="2"/>
  <c r="D17" i="2" s="1"/>
  <c r="L16" i="2"/>
  <c r="L17" i="2" s="1"/>
  <c r="P16" i="2"/>
  <c r="P17" i="2" s="1"/>
  <c r="E16" i="2"/>
  <c r="E17" i="2" s="1"/>
  <c r="I16" i="2"/>
  <c r="I17" i="2" s="1"/>
  <c r="M16" i="2"/>
  <c r="M17" i="2" s="1"/>
  <c r="Q16" i="2"/>
  <c r="Q17" i="2" s="1"/>
  <c r="U16" i="2"/>
  <c r="U17" i="2" s="1"/>
  <c r="Y16" i="2"/>
  <c r="Y17" i="2" s="1"/>
  <c r="Z16" i="2"/>
  <c r="Z17" i="2" s="1"/>
  <c r="F16" i="2"/>
  <c r="F17" i="2" s="1"/>
  <c r="J16" i="2"/>
  <c r="J17" i="2" s="1"/>
  <c r="N16" i="2"/>
  <c r="N17" i="2" s="1"/>
  <c r="R16" i="2"/>
  <c r="R17" i="2" s="1"/>
  <c r="V16" i="2"/>
  <c r="V17" i="2" s="1"/>
  <c r="C16" i="2"/>
  <c r="C17" i="2" s="1"/>
  <c r="G16" i="2"/>
  <c r="G17" i="2" s="1"/>
  <c r="K16" i="2"/>
  <c r="K17" i="2" s="1"/>
  <c r="O16" i="2"/>
  <c r="O17" i="2" s="1"/>
  <c r="S16" i="2"/>
  <c r="S17" i="2" s="1"/>
  <c r="W16" i="2"/>
  <c r="W17" i="2" s="1"/>
  <c r="F100" i="4"/>
  <c r="H100" i="4" s="1"/>
  <c r="E100" i="4"/>
  <c r="C100" i="4"/>
  <c r="F101" i="4"/>
  <c r="H101" i="4" s="1"/>
  <c r="E101" i="4"/>
  <c r="C101" i="4"/>
  <c r="K52" i="2" l="1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C53" i="2" s="1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B17" i="2"/>
  <c r="D101" i="4"/>
  <c r="D100" i="4"/>
  <c r="F102" i="4"/>
  <c r="H102" i="4" s="1"/>
  <c r="E102" i="4"/>
  <c r="C102" i="4"/>
  <c r="F104" i="4"/>
  <c r="H104" i="4" s="1"/>
  <c r="E104" i="4"/>
  <c r="C104" i="4"/>
  <c r="B54" i="2" l="1"/>
  <c r="B53" i="2"/>
  <c r="D104" i="4"/>
  <c r="D102" i="4"/>
  <c r="F103" i="4"/>
  <c r="H103" i="4" s="1"/>
  <c r="E103" i="4"/>
  <c r="D103" i="4" s="1"/>
  <c r="C103" i="4"/>
  <c r="C99" i="5" l="1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H130" i="4" s="1"/>
  <c r="F129" i="4"/>
  <c r="H129" i="4" s="1"/>
  <c r="F128" i="4"/>
  <c r="H128" i="4" s="1"/>
  <c r="F127" i="4"/>
  <c r="H127" i="4" s="1"/>
  <c r="F126" i="4"/>
  <c r="H126" i="4" s="1"/>
  <c r="F125" i="4"/>
  <c r="H125" i="4" s="1"/>
  <c r="F124" i="4"/>
  <c r="H124" i="4" s="1"/>
  <c r="F123" i="4"/>
  <c r="H123" i="4" s="1"/>
  <c r="F122" i="4"/>
  <c r="H122" i="4" s="1"/>
  <c r="F121" i="4"/>
  <c r="H121" i="4" s="1"/>
  <c r="F120" i="4"/>
  <c r="H120" i="4" s="1"/>
  <c r="F119" i="4"/>
  <c r="H119" i="4" s="1"/>
  <c r="F118" i="4"/>
  <c r="H118" i="4" s="1"/>
  <c r="F117" i="4"/>
  <c r="H117" i="4" s="1"/>
  <c r="F116" i="4"/>
  <c r="H116" i="4" s="1"/>
  <c r="F115" i="4"/>
  <c r="H115" i="4" s="1"/>
  <c r="F114" i="4"/>
  <c r="H114" i="4" s="1"/>
  <c r="F113" i="4"/>
  <c r="H113" i="4" s="1"/>
  <c r="F112" i="4"/>
  <c r="H112" i="4" s="1"/>
  <c r="F111" i="4"/>
  <c r="H111" i="4" s="1"/>
  <c r="F110" i="4"/>
  <c r="H110" i="4" s="1"/>
  <c r="F109" i="4"/>
  <c r="H109" i="4" s="1"/>
  <c r="F108" i="4" l="1"/>
  <c r="H108" i="4" s="1"/>
  <c r="F107" i="4"/>
  <c r="H107" i="4" s="1"/>
  <c r="F106" i="4"/>
  <c r="H106" i="4" s="1"/>
  <c r="F105" i="4"/>
  <c r="H105" i="4" s="1"/>
  <c r="C105" i="4" l="1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E108" i="4"/>
  <c r="D108" i="4" s="1"/>
  <c r="E107" i="4"/>
  <c r="D107" i="4" s="1"/>
  <c r="E106" i="4"/>
  <c r="D106" i="4" s="1"/>
  <c r="E105" i="4"/>
  <c r="D105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 l="1"/>
  <c r="C106" i="4"/>
  <c r="B100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<sst xmlns="http://schemas.openxmlformats.org/spreadsheetml/2006/main" count="221" uniqueCount="82">
  <si>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</si>
  <si>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</si>
  <si>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</si>
  <si>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</si>
  <si>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</si>
  <si>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</si>
  <si>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</si>
  <si>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</si>
  <si>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</si>
  <si>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</si>
  <si>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</si>
  <si>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</si>
  <si>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</si>
  <si>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</si>
  <si>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</si>
  <si>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</si>
  <si>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</si>
  <si>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</si>
  <si>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</si>
  <si>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</si>
  <si>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</si>
  <si>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</si>
  <si>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</si>
  <si>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</si>
  <si>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</si>
  <si>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</si>
  <si>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</si>
  <si>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</si>
  <si>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</si>
  <si>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</si>
  <si>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</si>
  <si>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</si>
  <si>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</si>
  <si>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</si>
  <si>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</si>
  <si>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</si>
  <si>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</si>
  <si>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</si>
  <si>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</si>
  <si>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</si>
  <si>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</si>
  <si>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</si>
  <si>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third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</si>
  <si>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</si>
  <si>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</si>
  <si>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</si>
  <si>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</si>
  <si>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</si>
  <si>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</si>
  <si>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</si>
  <si>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</si>
  <si>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</si>
  <si>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</si>
  <si>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</si>
  <si>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</si>
  <si>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</si>
  <si>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</si>
  <si>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</si>
  <si>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</si>
  <si>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</si>
  <si>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</si>
  <si>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</si>
  <si>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</si>
  <si>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</si>
  <si>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</si>
  <si>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</si>
  <si>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</si>
  <si>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</si>
  <si>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</si>
  <si>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</si>
  <si>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</si>
  <si>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MONEY ON HAND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</si>
  <si>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</si>
  <si>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</si>
  <si>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</si>
  <si>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</si>
  <si>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</si>
  <si>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</si>
  <si>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</si>
  <si>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copy date here</t>
  </si>
  <si>
    <t>TOTAL MONEY IN OTHER INVESTMENT</t>
  </si>
  <si>
    <t>CURRENT CUT-OFF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</si>
</sst>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sz val="11"/>
      <color theme="7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64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2" fillId="21" borderId="28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10" fontId="17" fillId="24" borderId="0" xfId="0" applyNumberFormat="1" applyFont="1" applyFill="1" applyAlignment="1">
      <alignment horizontal="center"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2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26" borderId="0" xfId="0" applyFont="1" applyFill="1"/>
    <xf numFmtId="0" fontId="0" fillId="26" borderId="0" xfId="0" applyFill="1"/>
    <xf numFmtId="0" fontId="0" fillId="25" borderId="0" xfId="0" applyFill="1"/>
    <xf numFmtId="0" fontId="2" fillId="27" borderId="0" xfId="0" applyFont="1" applyFill="1"/>
    <xf numFmtId="0" fontId="2" fillId="28" borderId="0" xfId="0" applyFont="1" applyFill="1"/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8" fillId="20" borderId="9" xfId="0" applyFont="1" applyFill="1" applyBorder="1" applyAlignment="1">
      <alignment horizontal="center" vertical="center"/>
    </xf>
    <xf numFmtId="0" fontId="18" fillId="20" borderId="10" xfId="0" applyFont="1" applyFill="1" applyBorder="1" applyAlignment="1">
      <alignment horizontal="center" vertical="center"/>
    </xf>
    <xf numFmtId="0" fontId="18" fillId="20" borderId="11" xfId="0" applyFont="1" applyFill="1" applyBorder="1" applyAlignment="1">
      <alignment horizontal="center" vertical="center"/>
    </xf>
    <xf numFmtId="0" fontId="18" fillId="20" borderId="33" xfId="0" applyFont="1" applyFill="1" applyBorder="1" applyAlignment="1">
      <alignment horizontal="center" vertical="center"/>
    </xf>
    <xf numFmtId="0" fontId="18" fillId="20" borderId="0" xfId="0" applyFont="1" applyFill="1" applyBorder="1" applyAlignment="1">
      <alignment horizontal="center" vertical="center"/>
    </xf>
    <xf numFmtId="0" fontId="18" fillId="20" borderId="12" xfId="0" applyFont="1" applyFill="1" applyBorder="1" applyAlignment="1">
      <alignment horizontal="center" vertical="center"/>
    </xf>
    <xf numFmtId="0" fontId="18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0" fontId="0" fillId="13" borderId="0" xfId="0" applyFill="1" applyBorder="1"/>
    <xf numFmtId="0" fontId="7" fillId="12" borderId="10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9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241012</xdr:colOff>
      <xdr:row>0</xdr:row>
      <xdr:rowOff>38100</xdr:rowOff>
    </xdr:from>
    <xdr:ext cx="184731" cy="153221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93787" y="38100"/>
          <a:ext cx="184731" cy="153221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8800" b="1" strike="noStrike" cap="none" spc="0" baseline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oneCellAnchor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93901</xdr:colOff>
      <xdr:row>1</xdr:row>
      <xdr:rowOff>50881</xdr:rowOff>
    </xdr:from>
    <xdr:to>
      <xdr:col>4</xdr:col>
      <xdr:colOff>219075</xdr:colOff>
      <xdr:row>19</xdr:row>
      <xdr:rowOff>57150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551" y="241381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13</xdr:row>
          <xdr:rowOff>85725</xdr:rowOff>
        </xdr:from>
        <xdr:to>
          <xdr:col>9</xdr:col>
          <xdr:colOff>381000</xdr:colOff>
          <xdr:row>15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16</xdr:row>
          <xdr:rowOff>66675</xdr:rowOff>
        </xdr:from>
        <xdr:to>
          <xdr:col>9</xdr:col>
          <xdr:colOff>390525</xdr:colOff>
          <xdr:row>18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352426</xdr:colOff>
      <xdr:row>2</xdr:row>
      <xdr:rowOff>22800</xdr:rowOff>
    </xdr:from>
    <xdr:to>
      <xdr:col>11</xdr:col>
      <xdr:colOff>123163</xdr:colOff>
      <xdr:row>11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1" y="403800"/>
          <a:ext cx="3780762" cy="1901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tabSelected="1" workbookViewId="0">
      <selection activeCell="U10" sqref="U10:X11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</row>
    <row r="2" spans="1:39" x14ac:dyDescent="0.25">
      <c r="A2" s="30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30"/>
      <c r="O2" s="30"/>
      <c r="P2" s="32"/>
      <c r="Q2" s="32"/>
      <c r="R2" s="117" t="s">
        <v>71</v>
      </c>
      <c r="S2" s="117"/>
      <c r="T2" s="117"/>
      <c r="U2" s="117"/>
      <c r="V2" s="117"/>
      <c r="W2" s="117"/>
      <c r="X2" s="32"/>
      <c r="Y2" s="32"/>
      <c r="Z2" s="30"/>
      <c r="AB2" s="74"/>
      <c r="AC2" s="32"/>
      <c r="AD2" s="32"/>
      <c r="AE2" s="117" t="s">
        <v>72</v>
      </c>
      <c r="AF2" s="117"/>
      <c r="AG2" s="117"/>
      <c r="AH2" s="117"/>
      <c r="AI2" s="117"/>
      <c r="AJ2" s="117"/>
      <c r="AK2" s="32"/>
      <c r="AL2" s="32"/>
      <c r="AM2" s="74"/>
    </row>
    <row r="3" spans="1:39" ht="15.75" thickBot="1" x14ac:dyDescent="0.3">
      <c r="A3" s="30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30"/>
      <c r="O3" s="30"/>
      <c r="P3" s="32"/>
      <c r="Q3" s="32"/>
      <c r="R3" s="118"/>
      <c r="S3" s="118"/>
      <c r="T3" s="118"/>
      <c r="U3" s="118"/>
      <c r="V3" s="118"/>
      <c r="W3" s="118"/>
      <c r="X3" s="32"/>
      <c r="Y3" s="32"/>
      <c r="Z3" s="30"/>
      <c r="AB3" s="74"/>
      <c r="AC3" s="32"/>
      <c r="AD3" s="32"/>
      <c r="AE3" s="150"/>
      <c r="AF3" s="150"/>
      <c r="AG3" s="150"/>
      <c r="AH3" s="150"/>
      <c r="AI3" s="150"/>
      <c r="AJ3" s="150"/>
      <c r="AK3" s="32"/>
      <c r="AL3" s="32"/>
      <c r="AM3" s="74"/>
    </row>
    <row r="4" spans="1:39" x14ac:dyDescent="0.25">
      <c r="A4" s="30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30"/>
      <c r="O4" s="30"/>
      <c r="P4" s="32"/>
      <c r="Q4" s="99" t="s">
        <v>60</v>
      </c>
      <c r="R4" s="100"/>
      <c r="S4" s="100"/>
      <c r="T4" s="101"/>
      <c r="U4" s="105">
        <f>U7 +U10</f>
        <v>1143000</v>
      </c>
      <c r="V4" s="106"/>
      <c r="W4" s="106"/>
      <c r="X4" s="107"/>
      <c r="Y4" s="32"/>
      <c r="Z4" s="30"/>
      <c r="AB4" s="74"/>
      <c r="AC4" s="32"/>
      <c r="AD4" s="32"/>
      <c r="AE4" s="153"/>
      <c r="AF4" s="153"/>
      <c r="AG4" s="153"/>
      <c r="AH4" s="153"/>
      <c r="AI4" s="153"/>
      <c r="AJ4" s="153"/>
      <c r="AK4" s="32"/>
      <c r="AL4" s="32"/>
      <c r="AM4" s="74"/>
    </row>
    <row r="5" spans="1:39" ht="15.75" thickBot="1" x14ac:dyDescent="0.3">
      <c r="A5" s="30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30"/>
      <c r="O5" s="30"/>
      <c r="P5" s="32"/>
      <c r="Q5" s="102"/>
      <c r="R5" s="103"/>
      <c r="S5" s="103"/>
      <c r="T5" s="104"/>
      <c r="U5" s="108"/>
      <c r="V5" s="109"/>
      <c r="W5" s="109"/>
      <c r="X5" s="110"/>
      <c r="Y5" s="32"/>
      <c r="Z5" s="30"/>
      <c r="AB5" s="74"/>
      <c r="AC5" s="32"/>
      <c r="AD5" s="32"/>
      <c r="AE5" s="153"/>
      <c r="AF5" s="153"/>
      <c r="AG5" s="153"/>
      <c r="AH5" s="153"/>
      <c r="AI5" s="153"/>
      <c r="AJ5" s="153"/>
      <c r="AK5" s="32"/>
      <c r="AL5" s="32"/>
      <c r="AM5" s="74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32"/>
      <c r="W6" s="32"/>
      <c r="X6" s="32"/>
      <c r="Y6" s="32"/>
      <c r="Z6" s="30"/>
      <c r="AB6" s="74"/>
      <c r="AC6" s="32"/>
      <c r="AD6" s="99" t="s">
        <v>70</v>
      </c>
      <c r="AE6" s="100"/>
      <c r="AF6" s="100"/>
      <c r="AG6" s="101"/>
      <c r="AH6" s="105">
        <v>980000</v>
      </c>
      <c r="AI6" s="106"/>
      <c r="AJ6" s="106"/>
      <c r="AK6" s="107"/>
      <c r="AL6" s="32"/>
      <c r="AM6" s="74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111" t="s">
        <v>55</v>
      </c>
      <c r="R7" s="112"/>
      <c r="S7" s="112"/>
      <c r="T7" s="113"/>
      <c r="U7" s="105">
        <v>243000</v>
      </c>
      <c r="V7" s="106"/>
      <c r="W7" s="106"/>
      <c r="X7" s="107"/>
      <c r="Y7" s="32"/>
      <c r="Z7" s="30"/>
      <c r="AB7" s="74"/>
      <c r="AC7" s="32"/>
      <c r="AD7" s="102"/>
      <c r="AE7" s="103"/>
      <c r="AF7" s="103"/>
      <c r="AG7" s="104"/>
      <c r="AH7" s="108"/>
      <c r="AI7" s="109"/>
      <c r="AJ7" s="109"/>
      <c r="AK7" s="110"/>
      <c r="AL7" s="32"/>
      <c r="AM7" s="74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114"/>
      <c r="R8" s="115"/>
      <c r="S8" s="115"/>
      <c r="T8" s="116"/>
      <c r="U8" s="108"/>
      <c r="V8" s="109"/>
      <c r="W8" s="109"/>
      <c r="X8" s="110"/>
      <c r="Y8" s="32"/>
      <c r="Z8" s="30"/>
      <c r="AB8" s="74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4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32"/>
      <c r="W9" s="32"/>
      <c r="X9" s="32"/>
      <c r="Y9" s="32"/>
      <c r="Z9" s="30"/>
      <c r="AB9" s="74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4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111" t="s">
        <v>56</v>
      </c>
      <c r="R10" s="112"/>
      <c r="S10" s="112"/>
      <c r="T10" s="113"/>
      <c r="U10" s="105">
        <f>SUM(U13,U15,U17)</f>
        <v>900000</v>
      </c>
      <c r="V10" s="106"/>
      <c r="W10" s="106"/>
      <c r="X10" s="107"/>
      <c r="Y10" s="32"/>
      <c r="Z10" s="30"/>
      <c r="AB10" s="74"/>
      <c r="AC10" s="32"/>
      <c r="AD10" s="156" t="s">
        <v>80</v>
      </c>
      <c r="AE10" s="154"/>
      <c r="AF10" s="154"/>
      <c r="AG10" s="157"/>
      <c r="AH10" s="105">
        <v>120000</v>
      </c>
      <c r="AI10" s="106"/>
      <c r="AJ10" s="106"/>
      <c r="AK10" s="107"/>
      <c r="AL10" s="32"/>
      <c r="AM10" s="74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114"/>
      <c r="R11" s="115"/>
      <c r="S11" s="115"/>
      <c r="T11" s="116"/>
      <c r="U11" s="108"/>
      <c r="V11" s="109"/>
      <c r="W11" s="109"/>
      <c r="X11" s="110"/>
      <c r="Y11" s="32"/>
      <c r="Z11" s="30"/>
      <c r="AB11" s="74"/>
      <c r="AC11" s="32"/>
      <c r="AD11" s="158"/>
      <c r="AE11" s="155"/>
      <c r="AF11" s="155"/>
      <c r="AG11" s="159"/>
      <c r="AH11" s="151"/>
      <c r="AI11" s="152"/>
      <c r="AJ11" s="152"/>
      <c r="AK11" s="163"/>
      <c r="AL11" s="32"/>
      <c r="AM11" s="74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4"/>
      <c r="AC12" s="32"/>
      <c r="AD12" s="160"/>
      <c r="AE12" s="161"/>
      <c r="AF12" s="161"/>
      <c r="AG12" s="162"/>
      <c r="AH12" s="108"/>
      <c r="AI12" s="109"/>
      <c r="AJ12" s="109"/>
      <c r="AK12" s="110"/>
      <c r="AL12" s="32"/>
      <c r="AM12" s="74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93" t="s">
        <v>59</v>
      </c>
      <c r="S13" s="94"/>
      <c r="T13" s="95"/>
      <c r="U13" s="96">
        <v>300000</v>
      </c>
      <c r="V13" s="97"/>
      <c r="W13" s="98"/>
      <c r="X13" s="32"/>
      <c r="Y13" s="32"/>
      <c r="Z13" s="30"/>
      <c r="AB13" s="74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4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4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4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93" t="s">
        <v>57</v>
      </c>
      <c r="S15" s="94"/>
      <c r="T15" s="95"/>
      <c r="U15" s="96">
        <v>300000</v>
      </c>
      <c r="V15" s="97"/>
      <c r="W15" s="98"/>
      <c r="X15" s="32"/>
      <c r="Y15" s="32"/>
      <c r="Z15" s="30"/>
      <c r="AB15" s="74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4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4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4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93" t="s">
        <v>58</v>
      </c>
      <c r="S17" s="94"/>
      <c r="T17" s="95"/>
      <c r="U17" s="96">
        <v>300000</v>
      </c>
      <c r="V17" s="97"/>
      <c r="W17" s="98"/>
      <c r="X17" s="32"/>
      <c r="Y17" s="32"/>
      <c r="Z17" s="30"/>
      <c r="AB17" s="74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4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4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4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4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4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4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4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</row>
  </sheetData>
  <mergeCells count="18">
    <mergeCell ref="AE2:AJ3"/>
    <mergeCell ref="AD6:AG7"/>
    <mergeCell ref="AH6:AK7"/>
    <mergeCell ref="R2:W3"/>
    <mergeCell ref="R13:T13"/>
    <mergeCell ref="U13:W13"/>
    <mergeCell ref="AD10:AG12"/>
    <mergeCell ref="AH10:AK12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542925</xdr:colOff>
                <xdr:row>16</xdr:row>
                <xdr:rowOff>66675</xdr:rowOff>
              </from>
              <to>
                <xdr:col>9</xdr:col>
                <xdr:colOff>390525</xdr:colOff>
                <xdr:row>18</xdr:row>
                <xdr:rowOff>76200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533400</xdr:colOff>
                <xdr:row>13</xdr:row>
                <xdr:rowOff>85725</xdr:rowOff>
              </from>
              <to>
                <xdr:col>9</xdr:col>
                <xdr:colOff>381000</xdr:colOff>
                <xdr:row>15</xdr:row>
                <xdr:rowOff>85725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zoomScale="85" zoomScaleNormal="85" workbookViewId="0">
      <selection activeCell="K36" sqref="K36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7" ht="15.75" thickBot="1" x14ac:dyDescent="0.3">
      <c r="A1" s="38" t="s">
        <v>50</v>
      </c>
    </row>
    <row r="2" spans="1:27" ht="15.75" thickBot="1" x14ac:dyDescent="0.3">
      <c r="A2" s="46" t="s">
        <v>4</v>
      </c>
      <c r="B2" s="65" t="s">
        <v>47</v>
      </c>
      <c r="C2" s="60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44</v>
      </c>
      <c r="AA2" s="59" t="s">
        <v>46</v>
      </c>
    </row>
    <row r="3" spans="1:27" x14ac:dyDescent="0.25">
      <c r="A3" s="47">
        <v>41820</v>
      </c>
      <c r="B3" s="66">
        <v>35435</v>
      </c>
      <c r="C3" s="61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7" x14ac:dyDescent="0.25">
      <c r="A4" s="47">
        <v>41835</v>
      </c>
      <c r="B4" s="67">
        <v>148000</v>
      </c>
      <c r="C4" s="62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7" x14ac:dyDescent="0.25">
      <c r="A5" s="47">
        <v>41850</v>
      </c>
      <c r="B5" s="67">
        <v>54300</v>
      </c>
      <c r="C5" s="62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7" x14ac:dyDescent="0.25">
      <c r="A6" s="47">
        <v>41866</v>
      </c>
      <c r="B6" s="67">
        <v>76000</v>
      </c>
      <c r="C6" s="62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7" x14ac:dyDescent="0.25">
      <c r="A7" s="47">
        <v>41881</v>
      </c>
      <c r="B7" s="67">
        <v>56500</v>
      </c>
      <c r="C7" s="62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7" x14ac:dyDescent="0.25">
      <c r="A8" s="47">
        <v>41897</v>
      </c>
      <c r="B8" s="67">
        <v>60000</v>
      </c>
      <c r="C8" s="62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7" x14ac:dyDescent="0.25">
      <c r="A9" s="47">
        <v>41912</v>
      </c>
      <c r="B9" s="67">
        <v>125000</v>
      </c>
      <c r="C9" s="62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7" x14ac:dyDescent="0.25">
      <c r="A10" s="47">
        <v>41927</v>
      </c>
      <c r="B10" s="67">
        <v>99000</v>
      </c>
      <c r="C10" s="62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7" x14ac:dyDescent="0.25">
      <c r="A11" s="47">
        <v>41942</v>
      </c>
      <c r="B11" s="67">
        <v>32000</v>
      </c>
      <c r="C11" s="62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7" x14ac:dyDescent="0.25">
      <c r="A12" s="47">
        <v>41958</v>
      </c>
      <c r="B12" s="67">
        <v>76000</v>
      </c>
      <c r="C12" s="62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7" x14ac:dyDescent="0.25">
      <c r="A13" s="47">
        <v>41973</v>
      </c>
      <c r="B13" s="67">
        <v>33400</v>
      </c>
      <c r="C13" s="62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7" x14ac:dyDescent="0.25">
      <c r="A14" s="47">
        <v>41623</v>
      </c>
      <c r="B14" s="68">
        <v>45000</v>
      </c>
      <c r="C14" s="62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7" x14ac:dyDescent="0.25">
      <c r="A15" s="48" t="s">
        <v>5</v>
      </c>
      <c r="B15" s="67">
        <f>SUM(B3:B14)</f>
        <v>840635</v>
      </c>
      <c r="C15" s="81">
        <f t="shared" ref="C15:Z15" si="0">SUM(C3:C14)</f>
        <v>300000</v>
      </c>
      <c r="D15" s="82">
        <f t="shared" si="0"/>
        <v>20310</v>
      </c>
      <c r="E15" s="82">
        <f t="shared" si="0"/>
        <v>57240</v>
      </c>
      <c r="F15" s="82">
        <f t="shared" si="0"/>
        <v>100745</v>
      </c>
      <c r="G15" s="82">
        <f t="shared" si="0"/>
        <v>111733</v>
      </c>
      <c r="H15" s="82">
        <f t="shared" si="0"/>
        <v>67667</v>
      </c>
      <c r="I15" s="82">
        <f t="shared" si="0"/>
        <v>190226</v>
      </c>
      <c r="J15" s="82">
        <f t="shared" si="0"/>
        <v>4834</v>
      </c>
      <c r="K15" s="82">
        <f t="shared" si="0"/>
        <v>167305</v>
      </c>
      <c r="L15" s="82">
        <f t="shared" si="0"/>
        <v>49565</v>
      </c>
      <c r="M15" s="82">
        <f t="shared" si="0"/>
        <v>50000</v>
      </c>
      <c r="N15" s="82">
        <f t="shared" si="0"/>
        <v>27172</v>
      </c>
      <c r="O15" s="82">
        <f t="shared" si="0"/>
        <v>6000</v>
      </c>
      <c r="P15" s="82">
        <f t="shared" si="0"/>
        <v>14070</v>
      </c>
      <c r="Q15" s="82">
        <f t="shared" si="0"/>
        <v>208629</v>
      </c>
      <c r="R15" s="82">
        <f t="shared" si="0"/>
        <v>10500</v>
      </c>
      <c r="S15" s="82">
        <f t="shared" si="0"/>
        <v>181027</v>
      </c>
      <c r="T15" s="82">
        <f t="shared" si="0"/>
        <v>88164</v>
      </c>
      <c r="U15" s="82">
        <f t="shared" si="0"/>
        <v>27000</v>
      </c>
      <c r="V15" s="82">
        <f t="shared" si="0"/>
        <v>23000</v>
      </c>
      <c r="W15" s="82">
        <f t="shared" si="0"/>
        <v>30000</v>
      </c>
      <c r="X15" s="82">
        <f t="shared" si="0"/>
        <v>38000</v>
      </c>
      <c r="Y15" s="82">
        <f t="shared" si="0"/>
        <v>38000</v>
      </c>
      <c r="Z15" s="82">
        <f t="shared" si="0"/>
        <v>15000</v>
      </c>
      <c r="AA15" s="83">
        <f>SUM(AB3:AB14)</f>
        <v>0</v>
      </c>
    </row>
    <row r="16" spans="1:27" x14ac:dyDescent="0.25">
      <c r="A16" s="49" t="s">
        <v>62</v>
      </c>
      <c r="B16" s="69">
        <f>SUM(C15:AA15)</f>
        <v>1826187</v>
      </c>
      <c r="C16" s="63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32" ht="15.75" thickBot="1" x14ac:dyDescent="0.3">
      <c r="A17" s="50" t="s">
        <v>63</v>
      </c>
      <c r="B17" s="70">
        <f>SUM(C17:AA17)</f>
        <v>840635</v>
      </c>
      <c r="C17" s="64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32" ht="15.75" thickBot="1" x14ac:dyDescent="0.3">
      <c r="B18" s="80">
        <f>SUM(C16:AA16)</f>
        <v>1.0000000000000002</v>
      </c>
    </row>
    <row r="19" spans="1:32" ht="15.75" thickBot="1" x14ac:dyDescent="0.3">
      <c r="A19" s="37" t="s">
        <v>48</v>
      </c>
    </row>
    <row r="20" spans="1:32" ht="15.75" thickBot="1" x14ac:dyDescent="0.3">
      <c r="A20" s="20" t="s">
        <v>4</v>
      </c>
      <c r="B20" s="45" t="s">
        <v>47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44</v>
      </c>
      <c r="AA20" s="43" t="s">
        <v>45</v>
      </c>
    </row>
    <row r="21" spans="1:32" x14ac:dyDescent="0.25">
      <c r="A21" s="26">
        <v>42003</v>
      </c>
      <c r="B21" s="79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32" x14ac:dyDescent="0.25">
      <c r="A22" s="27">
        <v>41654</v>
      </c>
      <c r="B22" s="79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32" x14ac:dyDescent="0.25">
      <c r="A23" s="27">
        <v>41669</v>
      </c>
      <c r="B23" s="79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  <c r="AF23">
        <v>1</v>
      </c>
    </row>
    <row r="24" spans="1:32" x14ac:dyDescent="0.25">
      <c r="A24" s="27">
        <v>41685</v>
      </c>
      <c r="B24" s="79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32" x14ac:dyDescent="0.25">
      <c r="A25" s="27">
        <v>41698</v>
      </c>
      <c r="B25" s="79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32" x14ac:dyDescent="0.25">
      <c r="A26" s="27">
        <v>41713</v>
      </c>
      <c r="B26" s="79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32" x14ac:dyDescent="0.25">
      <c r="A27" s="27">
        <v>41728</v>
      </c>
      <c r="B27" s="79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32" x14ac:dyDescent="0.25">
      <c r="A28" s="27">
        <v>41744</v>
      </c>
      <c r="B28" s="79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32" x14ac:dyDescent="0.25">
      <c r="A29" s="27">
        <v>41759</v>
      </c>
      <c r="B29" s="79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32" x14ac:dyDescent="0.25">
      <c r="A30" s="27">
        <v>41774</v>
      </c>
      <c r="B30" s="79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32" x14ac:dyDescent="0.25">
      <c r="A31" s="27">
        <v>41789</v>
      </c>
      <c r="B31" s="79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32" ht="15.75" thickBot="1" x14ac:dyDescent="0.3">
      <c r="A32" s="28">
        <v>41805</v>
      </c>
      <c r="B32" s="79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8">
        <f>SUM(B21:B32)</f>
        <v>24524350</v>
      </c>
      <c r="C33" s="84">
        <f t="shared" ref="C33:M33" si="1">SUM(C21:C32) + C15</f>
        <v>300000</v>
      </c>
      <c r="D33" s="84">
        <f t="shared" si="1"/>
        <v>21210</v>
      </c>
      <c r="E33" s="84">
        <f t="shared" si="1"/>
        <v>62740</v>
      </c>
      <c r="F33" s="84">
        <f t="shared" si="1"/>
        <v>136745</v>
      </c>
      <c r="G33" s="84">
        <f t="shared" si="1"/>
        <v>144733</v>
      </c>
      <c r="H33" s="84">
        <f t="shared" si="1"/>
        <v>69667</v>
      </c>
      <c r="I33" s="84">
        <f t="shared" si="1"/>
        <v>244087</v>
      </c>
      <c r="J33" s="84">
        <f t="shared" si="1"/>
        <v>6834</v>
      </c>
      <c r="K33" s="84">
        <f t="shared" si="1"/>
        <v>249967</v>
      </c>
      <c r="L33" s="84">
        <f t="shared" si="1"/>
        <v>53565</v>
      </c>
      <c r="M33" s="84">
        <f t="shared" si="1"/>
        <v>68000</v>
      </c>
      <c r="N33" s="84">
        <f>SUM(N21:N32) + N14</f>
        <v>0</v>
      </c>
      <c r="O33" s="84">
        <f>SUM(O21:O32) + O14</f>
        <v>10419</v>
      </c>
      <c r="P33" s="84">
        <f t="shared" ref="P33:AA33" si="2">SUM(P21:P32) + P15</f>
        <v>14070</v>
      </c>
      <c r="Q33" s="84">
        <f t="shared" si="2"/>
        <v>237537</v>
      </c>
      <c r="R33" s="84">
        <f t="shared" si="2"/>
        <v>14521</v>
      </c>
      <c r="S33" s="84">
        <f t="shared" si="2"/>
        <v>245151</v>
      </c>
      <c r="T33" s="84">
        <f t="shared" si="2"/>
        <v>136164</v>
      </c>
      <c r="U33" s="84">
        <f t="shared" si="2"/>
        <v>58235</v>
      </c>
      <c r="V33" s="84">
        <f t="shared" si="2"/>
        <v>36543</v>
      </c>
      <c r="W33" s="84">
        <f t="shared" si="2"/>
        <v>44662</v>
      </c>
      <c r="X33" s="84">
        <f t="shared" si="2"/>
        <v>86367</v>
      </c>
      <c r="Y33" s="84">
        <f t="shared" si="2"/>
        <v>86618</v>
      </c>
      <c r="Z33" s="84">
        <f t="shared" si="2"/>
        <v>15000</v>
      </c>
      <c r="AA33" s="84">
        <f t="shared" si="2"/>
        <v>0</v>
      </c>
    </row>
    <row r="34" spans="1:27" x14ac:dyDescent="0.25">
      <c r="A34" s="35" t="s">
        <v>62</v>
      </c>
      <c r="B34" s="69">
        <f>SUM(C33:AA33)</f>
        <v>2342835</v>
      </c>
      <c r="C34" s="63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64</v>
      </c>
      <c r="B35" s="70">
        <f>SUM(C35:AA35)</f>
        <v>24524349.999999996</v>
      </c>
      <c r="C35" s="64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80">
        <f>SUM(C34:AA34)</f>
        <v>1</v>
      </c>
    </row>
    <row r="37" spans="1:27" ht="15.75" thickBot="1" x14ac:dyDescent="0.3">
      <c r="A37" s="37" t="s">
        <v>49</v>
      </c>
    </row>
    <row r="38" spans="1:27" ht="15.75" thickBot="1" x14ac:dyDescent="0.3">
      <c r="A38" s="20" t="s">
        <v>4</v>
      </c>
      <c r="B38" s="4" t="s">
        <v>47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44</v>
      </c>
      <c r="AA38" s="22" t="s">
        <v>45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47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4">
        <f t="shared" ref="C51:M51" si="3">SUM(C39:C50) + C33</f>
        <v>300000</v>
      </c>
      <c r="D51" s="84">
        <f t="shared" si="3"/>
        <v>39210</v>
      </c>
      <c r="E51" s="84">
        <f t="shared" si="3"/>
        <v>81740</v>
      </c>
      <c r="F51" s="84">
        <f t="shared" si="3"/>
        <v>154745</v>
      </c>
      <c r="G51" s="84">
        <f t="shared" si="3"/>
        <v>163733</v>
      </c>
      <c r="H51" s="84">
        <f t="shared" si="3"/>
        <v>81667</v>
      </c>
      <c r="I51" s="84">
        <f t="shared" si="3"/>
        <v>255087</v>
      </c>
      <c r="J51" s="84">
        <f t="shared" si="3"/>
        <v>17834</v>
      </c>
      <c r="K51" s="84">
        <f t="shared" si="3"/>
        <v>261967</v>
      </c>
      <c r="L51" s="84">
        <f t="shared" si="3"/>
        <v>61565</v>
      </c>
      <c r="M51" s="84">
        <f t="shared" si="3"/>
        <v>89000</v>
      </c>
      <c r="N51" s="84">
        <f>SUM(N39:N50) + N32</f>
        <v>18000</v>
      </c>
      <c r="O51" s="84">
        <f>SUM(O39:O50) + O32</f>
        <v>6000</v>
      </c>
      <c r="P51" s="84">
        <f t="shared" ref="P51:AA51" si="4">SUM(P39:P50) + P33</f>
        <v>35070</v>
      </c>
      <c r="Q51" s="84">
        <f t="shared" si="4"/>
        <v>251537</v>
      </c>
      <c r="R51" s="84">
        <f t="shared" si="4"/>
        <v>18521</v>
      </c>
      <c r="S51" s="84">
        <f t="shared" si="4"/>
        <v>260151</v>
      </c>
      <c r="T51" s="84">
        <f t="shared" si="4"/>
        <v>153164</v>
      </c>
      <c r="U51" s="84">
        <f t="shared" si="4"/>
        <v>75235</v>
      </c>
      <c r="V51" s="84">
        <f t="shared" si="4"/>
        <v>49543</v>
      </c>
      <c r="W51" s="84">
        <f t="shared" si="4"/>
        <v>54662</v>
      </c>
      <c r="X51" s="84">
        <f t="shared" si="4"/>
        <v>96367</v>
      </c>
      <c r="Y51" s="84">
        <f t="shared" si="4"/>
        <v>105618</v>
      </c>
      <c r="Z51" s="84">
        <f t="shared" si="4"/>
        <v>23000</v>
      </c>
      <c r="AA51" s="84">
        <f t="shared" si="4"/>
        <v>15000</v>
      </c>
    </row>
    <row r="52" spans="1:27" x14ac:dyDescent="0.25">
      <c r="A52" s="35" t="s">
        <v>62</v>
      </c>
      <c r="B52" s="69">
        <f>SUM(C51:AA51)</f>
        <v>2668416</v>
      </c>
      <c r="C52" s="63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64</v>
      </c>
      <c r="B53" s="70">
        <f>SUM(C53:AA53)</f>
        <v>1100927.0000000002</v>
      </c>
      <c r="C53" s="64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80">
        <f>SUM(C52:AA52)</f>
        <v>1</v>
      </c>
    </row>
    <row r="55" spans="1:27" x14ac:dyDescent="0.25">
      <c r="A55" s="90">
        <v>2015</v>
      </c>
      <c r="B55" t="s">
        <v>47</v>
      </c>
    </row>
    <row r="56" spans="1:27" x14ac:dyDescent="0.25">
      <c r="A56" s="15" t="s">
        <v>79</v>
      </c>
    </row>
    <row r="57" spans="1:27" x14ac:dyDescent="0.25">
      <c r="A57" s="89" t="s">
        <v>79</v>
      </c>
    </row>
    <row r="58" spans="1:27" x14ac:dyDescent="0.25">
      <c r="A58" s="89" t="s">
        <v>79</v>
      </c>
    </row>
    <row r="59" spans="1:27" x14ac:dyDescent="0.25">
      <c r="A59" s="89" t="s">
        <v>79</v>
      </c>
    </row>
    <row r="60" spans="1:27" x14ac:dyDescent="0.25">
      <c r="A60" s="89" t="s">
        <v>79</v>
      </c>
    </row>
    <row r="61" spans="1:27" x14ac:dyDescent="0.25">
      <c r="A61" s="89" t="s">
        <v>79</v>
      </c>
    </row>
    <row r="62" spans="1:27" x14ac:dyDescent="0.25">
      <c r="A62" s="89" t="s">
        <v>79</v>
      </c>
    </row>
    <row r="63" spans="1:27" x14ac:dyDescent="0.25">
      <c r="A63" s="89" t="s">
        <v>79</v>
      </c>
    </row>
    <row r="64" spans="1:27" x14ac:dyDescent="0.25">
      <c r="A64" s="89" t="s">
        <v>79</v>
      </c>
    </row>
    <row r="65" spans="1:32" x14ac:dyDescent="0.25">
      <c r="A65" s="89" t="s">
        <v>79</v>
      </c>
    </row>
    <row r="66" spans="1:32" x14ac:dyDescent="0.25">
      <c r="A66" s="89" t="s">
        <v>79</v>
      </c>
    </row>
    <row r="67" spans="1:32" x14ac:dyDescent="0.25">
      <c r="A67" s="88" t="s">
        <v>79</v>
      </c>
      <c r="AF67" s="1"/>
    </row>
    <row r="68" spans="1:32" x14ac:dyDescent="0.25">
      <c r="A68" s="88" t="s">
        <v>79</v>
      </c>
      <c r="AF68" s="1"/>
    </row>
    <row r="69" spans="1:32" x14ac:dyDescent="0.25">
      <c r="A69" s="91" t="s">
        <v>5</v>
      </c>
      <c r="AF69" s="1"/>
    </row>
    <row r="70" spans="1:32" x14ac:dyDescent="0.25">
      <c r="A70" s="92"/>
      <c r="AF70" s="1"/>
    </row>
    <row r="71" spans="1:32" x14ac:dyDescent="0.25">
      <c r="AF71" s="1"/>
    </row>
    <row r="73" spans="1:32" x14ac:dyDescent="0.25">
      <c r="AF73" s="1"/>
    </row>
    <row r="74" spans="1:32" x14ac:dyDescent="0.25">
      <c r="AF74" s="1"/>
    </row>
    <row r="75" spans="1:32" x14ac:dyDescent="0.25">
      <c r="AF75" s="1"/>
    </row>
    <row r="76" spans="1:32" x14ac:dyDescent="0.25"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AF124" s="2"/>
    </row>
    <row r="125" spans="1:32" x14ac:dyDescent="0.25">
      <c r="A125"/>
      <c r="AF125" s="2"/>
    </row>
    <row r="126" spans="1:32" x14ac:dyDescent="0.25">
      <c r="A126"/>
      <c r="AF126" s="2"/>
    </row>
    <row r="127" spans="1:32" x14ac:dyDescent="0.25">
      <c r="AF127" s="2"/>
    </row>
    <row r="128" spans="1:32" x14ac:dyDescent="0.25">
      <c r="AF128" s="2"/>
    </row>
    <row r="129" spans="32:32" x14ac:dyDescent="0.25">
      <c r="AF129" s="2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G20" sqref="G20"/>
    </sheetView>
  </sheetViews>
  <sheetFormatPr defaultRowHeight="15" x14ac:dyDescent="0.25"/>
  <cols>
    <col min="1" max="1" width="23.28515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127" t="s">
        <v>65</v>
      </c>
      <c r="B1" s="128"/>
      <c r="C1" s="128"/>
      <c r="D1" s="128"/>
      <c r="E1" s="128"/>
      <c r="F1" s="128"/>
      <c r="G1" s="128"/>
      <c r="H1" s="128"/>
      <c r="I1" s="129"/>
    </row>
    <row r="2" spans="1:9" ht="15.75" thickBot="1" x14ac:dyDescent="0.3">
      <c r="A2" s="130"/>
      <c r="B2" s="131"/>
      <c r="C2" s="131"/>
      <c r="D2" s="131"/>
      <c r="E2" s="131"/>
      <c r="F2" s="132"/>
      <c r="G2" s="132"/>
      <c r="H2" s="132"/>
      <c r="I2" s="133"/>
    </row>
    <row r="3" spans="1:9" x14ac:dyDescent="0.25">
      <c r="A3" s="73" t="s">
        <v>66</v>
      </c>
      <c r="B3" s="73" t="s">
        <v>62</v>
      </c>
      <c r="C3" s="73" t="s">
        <v>67</v>
      </c>
      <c r="D3" s="73" t="s">
        <v>68</v>
      </c>
      <c r="E3" s="75" t="s">
        <v>69</v>
      </c>
      <c r="F3" s="134" t="s">
        <v>81</v>
      </c>
      <c r="G3" s="135"/>
      <c r="H3" s="135"/>
      <c r="I3" s="136"/>
    </row>
    <row r="4" spans="1:9" ht="15.75" thickBot="1" x14ac:dyDescent="0.3">
      <c r="A4" s="44" t="str">
        <f>Savings!C2</f>
        <v>ken</v>
      </c>
      <c r="B4" s="71">
        <f>Savings!C16</f>
        <v>0.16427671426858256</v>
      </c>
      <c r="C4" s="72">
        <f>Savings!C17</f>
        <v>138096.75569916991</v>
      </c>
      <c r="D4" s="44">
        <v>200</v>
      </c>
      <c r="E4" s="76">
        <f>C4-D4</f>
        <v>137896.75569916991</v>
      </c>
      <c r="F4" s="137"/>
      <c r="G4" s="138"/>
      <c r="H4" s="138"/>
      <c r="I4" s="139"/>
    </row>
    <row r="5" spans="1:9" x14ac:dyDescent="0.25">
      <c r="A5" s="44" t="str">
        <f>Savings!D2</f>
        <v>gian</v>
      </c>
      <c r="B5" s="71">
        <f>Savings!D16</f>
        <v>1.112153355598304E-2</v>
      </c>
      <c r="C5" s="72">
        <f>Savings!D17</f>
        <v>9349.1503608338026</v>
      </c>
      <c r="D5" s="44">
        <v>200</v>
      </c>
      <c r="E5" s="76">
        <f t="shared" ref="E5:E28" si="0">C5-D5</f>
        <v>9149.1503608338026</v>
      </c>
      <c r="F5" s="140" t="s">
        <v>73</v>
      </c>
      <c r="G5" s="141"/>
      <c r="H5" s="141"/>
      <c r="I5" s="142"/>
    </row>
    <row r="6" spans="1:9" ht="15.75" thickBot="1" x14ac:dyDescent="0.3">
      <c r="A6" s="44" t="str">
        <f>Savings!E2</f>
        <v>donque</v>
      </c>
      <c r="B6" s="71">
        <f>Savings!E16</f>
        <v>3.1343997082445556E-2</v>
      </c>
      <c r="C6" s="72">
        <f>Savings!E17</f>
        <v>26348.860987401618</v>
      </c>
      <c r="D6" s="44">
        <v>200</v>
      </c>
      <c r="E6" s="76">
        <f t="shared" si="0"/>
        <v>26148.860987401618</v>
      </c>
      <c r="F6" s="143"/>
      <c r="G6" s="144"/>
      <c r="H6" s="144"/>
      <c r="I6" s="145"/>
    </row>
    <row r="7" spans="1:9" x14ac:dyDescent="0.25">
      <c r="A7" s="44" t="str">
        <f>Savings!F2</f>
        <v>bernard</v>
      </c>
      <c r="B7" s="71">
        <f>Savings!F16</f>
        <v>5.5166858596627837E-2</v>
      </c>
      <c r="C7" s="72">
        <f>Savings!F17</f>
        <v>46375.192176376244</v>
      </c>
      <c r="D7" s="44">
        <v>100</v>
      </c>
      <c r="E7" s="72">
        <f t="shared" si="0"/>
        <v>46275.192176376244</v>
      </c>
      <c r="F7" s="77"/>
      <c r="G7" s="77"/>
      <c r="H7" s="77"/>
      <c r="I7" s="77"/>
    </row>
    <row r="8" spans="1:9" x14ac:dyDescent="0.25">
      <c r="A8" s="44" t="str">
        <f>Savings!G2</f>
        <v>gina</v>
      </c>
      <c r="B8" s="71">
        <f>Savings!G16</f>
        <v>6.1183767051238458E-2</v>
      </c>
      <c r="C8" s="72">
        <f>Savings!G17</f>
        <v>51433.21601511784</v>
      </c>
      <c r="D8" s="44">
        <v>200</v>
      </c>
      <c r="E8" s="72">
        <f t="shared" si="0"/>
        <v>51233.21601511784</v>
      </c>
      <c r="F8" s="77"/>
      <c r="G8" s="77"/>
      <c r="H8" s="77"/>
      <c r="I8" s="77"/>
    </row>
    <row r="9" spans="1:9" x14ac:dyDescent="0.25">
      <c r="A9" s="44" t="str">
        <f>Savings!H2</f>
        <v>rowel</v>
      </c>
      <c r="B9" s="71">
        <f>Savings!H16</f>
        <v>3.7053708081373926E-2</v>
      </c>
      <c r="C9" s="72">
        <f>Savings!H17</f>
        <v>31148.643892985769</v>
      </c>
      <c r="D9" s="44">
        <v>200</v>
      </c>
      <c r="E9" s="72">
        <f t="shared" si="0"/>
        <v>30948.643892985769</v>
      </c>
      <c r="F9" s="77"/>
      <c r="G9" s="77"/>
      <c r="H9" s="77"/>
      <c r="I9" s="77"/>
    </row>
    <row r="10" spans="1:9" x14ac:dyDescent="0.25">
      <c r="A10" s="44" t="str">
        <f>Savings!I2</f>
        <v>leo j.</v>
      </c>
      <c r="B10" s="71">
        <f>Savings!I16</f>
        <v>0.10416567416151797</v>
      </c>
      <c r="C10" s="72">
        <f>Savings!I17</f>
        <v>87565.311498767653</v>
      </c>
      <c r="D10" s="44">
        <v>100</v>
      </c>
      <c r="E10" s="72">
        <f t="shared" si="0"/>
        <v>87465.311498767653</v>
      </c>
      <c r="F10" s="77"/>
      <c r="G10" s="77"/>
      <c r="H10" s="77"/>
      <c r="I10" s="77"/>
    </row>
    <row r="11" spans="1:9" x14ac:dyDescent="0.25">
      <c r="A11" s="44" t="str">
        <f>Savings!J2</f>
        <v>emman r.</v>
      </c>
      <c r="B11" s="71">
        <f>Savings!J16</f>
        <v>2.6470454559144271E-3</v>
      </c>
      <c r="C11" s="72">
        <f>Savings!J17</f>
        <v>2225.1990568326246</v>
      </c>
      <c r="D11" s="44">
        <v>200</v>
      </c>
      <c r="E11" s="72">
        <f t="shared" si="0"/>
        <v>2025.1990568326246</v>
      </c>
      <c r="F11" s="77"/>
      <c r="G11" s="77"/>
      <c r="H11" s="77"/>
      <c r="I11" s="77"/>
    </row>
    <row r="12" spans="1:9" x14ac:dyDescent="0.25">
      <c r="A12" s="44" t="str">
        <f>Savings!K2</f>
        <v>jeff</v>
      </c>
      <c r="B12" s="71">
        <f>Savings!K16</f>
        <v>9.161438560235069E-2</v>
      </c>
      <c r="C12" s="72">
        <f>Savings!K17</f>
        <v>77014.259040832068</v>
      </c>
      <c r="D12" s="44">
        <v>100</v>
      </c>
      <c r="E12" s="72">
        <f t="shared" si="0"/>
        <v>76914.259040832068</v>
      </c>
      <c r="F12" s="77"/>
      <c r="G12" s="77"/>
      <c r="H12" s="77"/>
      <c r="I12" s="77"/>
    </row>
    <row r="13" spans="1:9" ht="15.75" thickBot="1" x14ac:dyDescent="0.3">
      <c r="A13" s="44" t="str">
        <f>Savings!L2</f>
        <v>rubin</v>
      </c>
      <c r="B13" s="71">
        <f>Savings!L16</f>
        <v>2.714125114240765E-2</v>
      </c>
      <c r="C13" s="72">
        <f>Savings!L17</f>
        <v>22815.885654097856</v>
      </c>
      <c r="D13" s="44">
        <v>200</v>
      </c>
      <c r="E13" s="72">
        <f t="shared" si="0"/>
        <v>22615.885654097856</v>
      </c>
      <c r="F13" s="77"/>
      <c r="G13" s="77"/>
      <c r="H13" s="77"/>
      <c r="I13" s="77"/>
    </row>
    <row r="14" spans="1:9" x14ac:dyDescent="0.25">
      <c r="A14" s="44" t="str">
        <f>Savings!M2</f>
        <v>rommel c.</v>
      </c>
      <c r="B14" s="71">
        <f>Savings!M16</f>
        <v>2.7379452378097094E-2</v>
      </c>
      <c r="C14" s="72">
        <f>Savings!M17</f>
        <v>23016.125949861649</v>
      </c>
      <c r="D14" s="44">
        <v>200</v>
      </c>
      <c r="E14" s="76">
        <f t="shared" si="0"/>
        <v>22816.125949861649</v>
      </c>
      <c r="F14" s="119" t="s">
        <v>74</v>
      </c>
      <c r="G14" s="120"/>
      <c r="H14" s="146">
        <f>SUM(B4:B28)</f>
        <v>1.0000000000000002</v>
      </c>
      <c r="I14" s="147"/>
    </row>
    <row r="15" spans="1:9" ht="15.75" thickBot="1" x14ac:dyDescent="0.3">
      <c r="A15" s="44" t="str">
        <f>Savings!N2</f>
        <v>guilly</v>
      </c>
      <c r="B15" s="71">
        <f>Savings!N16</f>
        <v>1.4879089600353085E-2</v>
      </c>
      <c r="C15" s="72">
        <f>Savings!N17</f>
        <v>12507.883486192815</v>
      </c>
      <c r="D15" s="44">
        <v>200</v>
      </c>
      <c r="E15" s="76">
        <f t="shared" si="0"/>
        <v>12307.883486192815</v>
      </c>
      <c r="F15" s="121"/>
      <c r="G15" s="122"/>
      <c r="H15" s="148"/>
      <c r="I15" s="149"/>
    </row>
    <row r="16" spans="1:9" x14ac:dyDescent="0.25">
      <c r="A16" s="44" t="str">
        <f>Savings!O2</f>
        <v>edward</v>
      </c>
      <c r="B16" s="71">
        <f>Savings!O16</f>
        <v>3.2855342853716513E-3</v>
      </c>
      <c r="C16" s="72">
        <f>Savings!O17</f>
        <v>2761.935113983398</v>
      </c>
      <c r="D16" s="44">
        <v>200</v>
      </c>
      <c r="E16" s="76">
        <f t="shared" si="0"/>
        <v>2561.935113983398</v>
      </c>
      <c r="F16" s="119" t="s">
        <v>75</v>
      </c>
      <c r="G16" s="120"/>
      <c r="H16" s="123">
        <f>SUM(C4:C28)</f>
        <v>840635</v>
      </c>
      <c r="I16" s="124"/>
    </row>
    <row r="17" spans="1:9" ht="15.75" thickBot="1" x14ac:dyDescent="0.3">
      <c r="A17" s="44" t="str">
        <f>Savings!P2</f>
        <v>kc</v>
      </c>
      <c r="B17" s="71">
        <f>Savings!P16</f>
        <v>7.7045778991965226E-3</v>
      </c>
      <c r="C17" s="72">
        <f>Savings!P17</f>
        <v>6476.7378422910688</v>
      </c>
      <c r="D17" s="44">
        <v>200</v>
      </c>
      <c r="E17" s="76">
        <f t="shared" si="0"/>
        <v>6276.7378422910688</v>
      </c>
      <c r="F17" s="121"/>
      <c r="G17" s="122"/>
      <c r="H17" s="125"/>
      <c r="I17" s="126"/>
    </row>
    <row r="18" spans="1:9" x14ac:dyDescent="0.25">
      <c r="A18" s="44" t="str">
        <f>Savings!Q2</f>
        <v>paulo</v>
      </c>
      <c r="B18" s="71">
        <f>Savings!Q16</f>
        <v>0.11424295540380038</v>
      </c>
      <c r="C18" s="72">
        <f>Savings!Q17</f>
        <v>96036.626815873722</v>
      </c>
      <c r="D18" s="44">
        <v>200</v>
      </c>
      <c r="E18" s="72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1">
        <f>Savings!R16</f>
        <v>5.7496849994003903E-3</v>
      </c>
      <c r="C19" s="72">
        <f>Savings!R17</f>
        <v>4833.3864494709469</v>
      </c>
      <c r="D19" s="44">
        <v>200</v>
      </c>
      <c r="E19" s="72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1">
        <f>Savings!S16</f>
        <v>9.912840251299565E-2</v>
      </c>
      <c r="C20" s="72">
        <f>Savings!S17</f>
        <v>83330.804646512101</v>
      </c>
      <c r="D20" s="44">
        <v>200</v>
      </c>
      <c r="E20" s="72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1">
        <f>Savings!T16</f>
        <v>4.8277640789251043E-2</v>
      </c>
      <c r="C21" s="72">
        <f>Savings!T17</f>
        <v>40583.874564872051</v>
      </c>
      <c r="D21" s="44">
        <v>200</v>
      </c>
      <c r="E21" s="72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1">
        <f>Savings!U16</f>
        <v>1.4784904284172432E-2</v>
      </c>
      <c r="C22" s="72">
        <f>Savings!U17</f>
        <v>12428.708012925292</v>
      </c>
      <c r="D22" s="44">
        <v>200</v>
      </c>
      <c r="E22" s="72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1">
        <f>Savings!V16</f>
        <v>1.2594548093924664E-2</v>
      </c>
      <c r="C23" s="72">
        <f>Savings!V17</f>
        <v>10587.417936936359</v>
      </c>
      <c r="D23" s="44">
        <v>200</v>
      </c>
      <c r="E23" s="72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1">
        <f>Savings!W16</f>
        <v>1.6427671426858258E-2</v>
      </c>
      <c r="C24" s="72">
        <f>Savings!W17</f>
        <v>13809.675569916992</v>
      </c>
      <c r="D24" s="44">
        <v>200</v>
      </c>
      <c r="E24" s="72">
        <f t="shared" si="0"/>
        <v>13609.675569916992</v>
      </c>
      <c r="F24" s="41"/>
      <c r="G24" s="41"/>
      <c r="H24" s="41"/>
      <c r="I24" s="41"/>
    </row>
    <row r="25" spans="1:9" x14ac:dyDescent="0.25">
      <c r="A25" s="72" t="str">
        <f>Savings!X2</f>
        <v>kero</v>
      </c>
      <c r="B25" s="71">
        <f>Savings!X16</f>
        <v>2.0808383807353791E-2</v>
      </c>
      <c r="C25" s="72">
        <f>Savings!X17</f>
        <v>17492.255721894853</v>
      </c>
      <c r="D25" s="44">
        <v>200</v>
      </c>
      <c r="E25" s="72">
        <f t="shared" si="0"/>
        <v>17292.255721894853</v>
      </c>
    </row>
    <row r="26" spans="1:9" x14ac:dyDescent="0.25">
      <c r="A26" s="44" t="str">
        <f>Savings!Y2</f>
        <v>gef</v>
      </c>
      <c r="B26" s="71">
        <f>Savings!Y16</f>
        <v>2.0808383807353791E-2</v>
      </c>
      <c r="C26" s="72">
        <f>Savings!Y17</f>
        <v>17492.255721894853</v>
      </c>
      <c r="D26" s="44">
        <v>200</v>
      </c>
      <c r="E26" s="72">
        <f t="shared" si="0"/>
        <v>17292.255721894853</v>
      </c>
    </row>
    <row r="27" spans="1:9" x14ac:dyDescent="0.25">
      <c r="A27" s="44" t="str">
        <f>Savings!Z2</f>
        <v>alvin</v>
      </c>
      <c r="B27" s="71">
        <f>Savings!Z16</f>
        <v>8.2138357134291292E-3</v>
      </c>
      <c r="C27" s="72">
        <f>Savings!Z17</f>
        <v>6904.8377849584958</v>
      </c>
      <c r="D27" s="44">
        <v>200</v>
      </c>
      <c r="E27" s="72">
        <f t="shared" si="0"/>
        <v>6704.8377849584958</v>
      </c>
    </row>
    <row r="28" spans="1:9" x14ac:dyDescent="0.25">
      <c r="A28" s="44" t="str">
        <f>Savings!AA2</f>
        <v>gugu</v>
      </c>
      <c r="B28" s="71">
        <f>Savings!AA16</f>
        <v>0</v>
      </c>
      <c r="C28" s="72">
        <f>Savings!AA17</f>
        <v>0</v>
      </c>
      <c r="D28" s="44">
        <v>200</v>
      </c>
      <c r="E28" s="72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C148"/>
  <sheetViews>
    <sheetView workbookViewId="0">
      <pane ySplit="2" topLeftCell="A9" activePane="bottomLeft" state="frozen"/>
      <selection pane="bottomLeft" activeCell="A16" sqref="A16"/>
    </sheetView>
  </sheetViews>
  <sheetFormatPr defaultRowHeight="15" x14ac:dyDescent="0.25"/>
  <cols>
    <col min="1" max="1" width="13" customWidth="1"/>
    <col min="2" max="2" width="9.28515625" bestFit="1" customWidth="1"/>
    <col min="3" max="3" width="16.5703125" customWidth="1"/>
    <col min="4" max="4" width="14.28515625" customWidth="1"/>
    <col min="5" max="5" width="17.140625" customWidth="1"/>
    <col min="6" max="6" width="16.7109375" customWidth="1"/>
    <col min="7" max="7" width="15.5703125" customWidth="1"/>
    <col min="8" max="8" width="13.5703125" customWidth="1"/>
    <col min="9" max="9" width="14.28515625" bestFit="1" customWidth="1"/>
    <col min="11" max="11" width="9.28515625" bestFit="1" customWidth="1"/>
    <col min="13" max="13" width="14.28515625" bestFit="1" customWidth="1"/>
    <col min="15" max="15" width="9.28515625" bestFit="1" customWidth="1"/>
    <col min="33" max="34" width="8.7109375" customWidth="1"/>
  </cols>
  <sheetData>
    <row r="1" spans="1:169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43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pans="1:169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</row>
    <row r="3" spans="1:169" x14ac:dyDescent="0.25">
      <c r="A3" s="16">
        <v>43586.259375000001</v>
      </c>
      <c r="B3" s="4">
        <v>10000</v>
      </c>
      <c r="C3" s="17"/>
      <c r="D3" s="4">
        <v>10000</v>
      </c>
      <c r="E3" s="19">
        <v>43587.180451388886</v>
      </c>
      <c r="F3" s="5">
        <v>50000</v>
      </c>
      <c r="G3" s="17"/>
      <c r="H3" s="5">
        <v>50000</v>
      </c>
      <c r="I3" s="16">
        <v>43587.187615740739</v>
      </c>
      <c r="J3" s="4">
        <v>20000</v>
      </c>
      <c r="K3" s="17"/>
      <c r="L3" s="4">
        <v>20000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</row>
    <row r="4" spans="1:169" x14ac:dyDescent="0.25">
      <c r="A4" s="16">
        <v>43586.259398148148</v>
      </c>
      <c r="B4" s="4">
        <v>0</v>
      </c>
      <c r="C4" s="18">
        <v>300</v>
      </c>
      <c r="D4" s="4">
        <v>10300</v>
      </c>
      <c r="E4" s="19">
        <v>43587.180474537039</v>
      </c>
      <c r="F4" s="5">
        <v>0</v>
      </c>
      <c r="G4" s="17">
        <v>1500</v>
      </c>
      <c r="H4" s="5">
        <v>53000</v>
      </c>
      <c r="I4" s="16">
        <v>43587.195613425924</v>
      </c>
      <c r="J4" s="4"/>
      <c r="K4" s="18">
        <v>600</v>
      </c>
      <c r="L4" s="4">
        <v>21200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</row>
    <row r="5" spans="1:169" ht="15.75" customHeight="1" x14ac:dyDescent="0.25">
      <c r="A5" s="16">
        <v>43586.259699074071</v>
      </c>
      <c r="B5" s="4">
        <v>0</v>
      </c>
      <c r="C5" s="4"/>
      <c r="D5" s="4">
        <v>10000</v>
      </c>
      <c r="E5" s="19">
        <v>43587.180474537039</v>
      </c>
      <c r="F5" s="5">
        <v>0</v>
      </c>
      <c r="G5" s="17">
        <v>1500</v>
      </c>
      <c r="H5" s="5">
        <v>56000</v>
      </c>
      <c r="I5" s="16">
        <v>43587.206620370373</v>
      </c>
      <c r="J5" s="4"/>
      <c r="K5" s="4"/>
      <c r="L5" s="4">
        <v>20000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</row>
    <row r="6" spans="1:169" x14ac:dyDescent="0.25">
      <c r="A6" s="16">
        <v>43586.260092592594</v>
      </c>
      <c r="B6" s="4"/>
      <c r="C6" s="18">
        <v>300</v>
      </c>
      <c r="D6" s="4">
        <v>10300</v>
      </c>
      <c r="E6" s="19">
        <v>43587.180486111109</v>
      </c>
      <c r="F6" s="5">
        <v>0</v>
      </c>
      <c r="G6" s="17">
        <v>1500</v>
      </c>
      <c r="H6" s="5">
        <v>59000</v>
      </c>
      <c r="I6" s="16">
        <v>43587.206643518519</v>
      </c>
      <c r="J6" s="4"/>
      <c r="K6" s="17">
        <v>600</v>
      </c>
      <c r="L6" s="4">
        <v>21200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</row>
    <row r="7" spans="1:169" x14ac:dyDescent="0.25">
      <c r="A7" s="16">
        <v>43586.26017361111</v>
      </c>
      <c r="B7" s="4"/>
      <c r="C7" s="4"/>
      <c r="D7" s="4">
        <v>10000</v>
      </c>
      <c r="E7" s="19">
        <v>43587.180509259262</v>
      </c>
      <c r="F7" s="5">
        <v>0</v>
      </c>
      <c r="G7" s="18">
        <v>1500</v>
      </c>
      <c r="H7" s="5">
        <v>62000</v>
      </c>
      <c r="I7" s="16">
        <v>43587.206666666665</v>
      </c>
      <c r="J7" s="4"/>
      <c r="K7" s="17">
        <v>600</v>
      </c>
      <c r="L7" s="4">
        <v>22400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</row>
    <row r="8" spans="1:169" x14ac:dyDescent="0.25">
      <c r="A8" s="16">
        <v>43586.260243055556</v>
      </c>
      <c r="B8" s="4">
        <v>-3000</v>
      </c>
      <c r="C8" s="17"/>
      <c r="D8" s="4">
        <v>7000</v>
      </c>
      <c r="E8" s="19">
        <v>43587.180567129632</v>
      </c>
      <c r="F8" s="5">
        <v>0</v>
      </c>
      <c r="G8" s="18"/>
      <c r="H8" s="5">
        <v>60500</v>
      </c>
      <c r="I8" s="16">
        <v>43587.206666666665</v>
      </c>
      <c r="J8" s="4"/>
      <c r="K8" s="18">
        <v>600</v>
      </c>
      <c r="L8" s="4">
        <v>23600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</row>
    <row r="9" spans="1:169" x14ac:dyDescent="0.25">
      <c r="A9" s="19">
        <v>43586.260254629633</v>
      </c>
      <c r="B9" s="5">
        <v>0</v>
      </c>
      <c r="C9" s="18">
        <v>210</v>
      </c>
      <c r="D9" s="5">
        <v>7210</v>
      </c>
      <c r="E9" s="19">
        <v>43587.181747685187</v>
      </c>
      <c r="F9" s="5"/>
      <c r="G9" s="5"/>
      <c r="H9" s="5">
        <v>56000</v>
      </c>
      <c r="I9" s="16">
        <v>43587.206712962965</v>
      </c>
      <c r="J9" s="4"/>
      <c r="K9" s="18"/>
      <c r="L9" s="4">
        <v>21600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</row>
    <row r="10" spans="1:169" x14ac:dyDescent="0.25">
      <c r="A10" s="19">
        <v>43586.260347222225</v>
      </c>
      <c r="B10" s="5">
        <v>0</v>
      </c>
      <c r="C10" s="5"/>
      <c r="D10" s="5">
        <v>7000</v>
      </c>
      <c r="E10" s="19">
        <v>43587.181979166664</v>
      </c>
      <c r="F10" s="5"/>
      <c r="G10" s="18">
        <v>1500</v>
      </c>
      <c r="H10" s="5">
        <v>59000</v>
      </c>
      <c r="I10" s="19">
        <v>43587.206747685188</v>
      </c>
      <c r="J10" s="4"/>
      <c r="K10" s="4"/>
      <c r="L10" s="4">
        <v>20000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</row>
    <row r="11" spans="1:169" x14ac:dyDescent="0.25">
      <c r="A11" s="19">
        <v>43586.952615740738</v>
      </c>
      <c r="B11" s="5"/>
      <c r="C11" s="18">
        <v>210</v>
      </c>
      <c r="D11" s="5">
        <v>7210</v>
      </c>
      <c r="E11" s="19">
        <v>43587.182164351849</v>
      </c>
      <c r="F11" s="5"/>
      <c r="G11" s="5"/>
      <c r="H11" s="5">
        <v>57500</v>
      </c>
      <c r="I11" s="19">
        <v>43587.206805555557</v>
      </c>
      <c r="J11" s="5">
        <v>-5000</v>
      </c>
      <c r="K11" s="17"/>
      <c r="L11" s="5">
        <v>15000</v>
      </c>
      <c r="M11" s="5"/>
      <c r="N11" s="5"/>
      <c r="O11" s="5"/>
      <c r="P11" s="5"/>
      <c r="Q11" s="5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</row>
    <row r="12" spans="1:169" s="14" customFormat="1" x14ac:dyDescent="0.25">
      <c r="A12" s="19">
        <v>43586.952766203707</v>
      </c>
      <c r="B12" s="5"/>
      <c r="C12" s="5"/>
      <c r="D12" s="5">
        <v>7000</v>
      </c>
      <c r="E12" s="19">
        <v>43587.182233796295</v>
      </c>
      <c r="F12" s="5"/>
      <c r="G12" s="18">
        <v>1500</v>
      </c>
      <c r="H12" s="5">
        <v>60500</v>
      </c>
      <c r="I12" s="19">
        <v>43587.206817129627</v>
      </c>
      <c r="J12" s="5">
        <v>0</v>
      </c>
      <c r="K12" s="17">
        <v>450</v>
      </c>
      <c r="L12" s="5">
        <v>15900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</row>
    <row r="13" spans="1:169" x14ac:dyDescent="0.25">
      <c r="A13" s="16">
        <v>43586.952800925923</v>
      </c>
      <c r="B13" s="4"/>
      <c r="C13" s="18">
        <v>210</v>
      </c>
      <c r="D13" s="4">
        <v>7210</v>
      </c>
      <c r="E13" s="19">
        <v>43587.182303240741</v>
      </c>
      <c r="F13" s="5"/>
      <c r="G13" s="5"/>
      <c r="H13" s="5">
        <v>59000</v>
      </c>
      <c r="I13" s="16">
        <v>43587.20684027778</v>
      </c>
      <c r="J13" s="4">
        <v>0</v>
      </c>
      <c r="K13" s="18">
        <v>450</v>
      </c>
      <c r="L13" s="4">
        <v>16800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</row>
    <row r="14" spans="1:169" x14ac:dyDescent="0.25">
      <c r="A14" s="16">
        <v>43586.958854166667</v>
      </c>
      <c r="B14" s="4"/>
      <c r="C14" s="4"/>
      <c r="D14" s="4">
        <v>5770</v>
      </c>
      <c r="E14" s="19">
        <v>43587.186967592592</v>
      </c>
      <c r="F14" s="5"/>
      <c r="G14" s="17">
        <v>1500</v>
      </c>
      <c r="H14" s="5">
        <v>53000</v>
      </c>
      <c r="I14" s="16">
        <v>43587.206863425927</v>
      </c>
      <c r="J14" s="4">
        <v>0</v>
      </c>
      <c r="K14" s="18"/>
      <c r="L14" s="4">
        <v>16000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</row>
    <row r="15" spans="1:169" x14ac:dyDescent="0.25">
      <c r="A15" s="16">
        <v>43586.958958333336</v>
      </c>
      <c r="B15" s="4"/>
      <c r="C15" s="18">
        <v>210</v>
      </c>
      <c r="D15" s="4">
        <v>5980</v>
      </c>
      <c r="E15" s="19">
        <v>43587.186990740738</v>
      </c>
      <c r="F15" s="5"/>
      <c r="G15" s="17">
        <v>1500</v>
      </c>
      <c r="H15" s="5">
        <v>56000</v>
      </c>
      <c r="I15" s="16">
        <v>43587.206886574073</v>
      </c>
      <c r="J15" s="4">
        <v>0</v>
      </c>
      <c r="K15" s="4"/>
      <c r="L15" s="4">
        <v>15000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</row>
    <row r="16" spans="1:169" x14ac:dyDescent="0.25">
      <c r="A16" s="16">
        <v>43586.959027777775</v>
      </c>
      <c r="B16" s="4"/>
      <c r="C16" s="4"/>
      <c r="D16" s="4">
        <v>5560</v>
      </c>
      <c r="E16" s="19">
        <v>43587.186990740738</v>
      </c>
      <c r="F16" s="5"/>
      <c r="G16" s="17">
        <v>1500</v>
      </c>
      <c r="H16" s="5">
        <v>59000</v>
      </c>
      <c r="I16" s="16">
        <v>43587.206932870373</v>
      </c>
      <c r="J16" s="4">
        <v>2000</v>
      </c>
      <c r="K16" s="17"/>
      <c r="L16" s="4">
        <v>17000</v>
      </c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9">
        <v>43587.187013888892</v>
      </c>
      <c r="F17" s="5"/>
      <c r="G17" s="18">
        <v>1500</v>
      </c>
      <c r="H17" s="5">
        <v>62000</v>
      </c>
      <c r="I17" s="16">
        <v>43587.206944444442</v>
      </c>
      <c r="J17" s="4">
        <v>0</v>
      </c>
      <c r="K17" s="18">
        <v>510</v>
      </c>
      <c r="L17" s="4">
        <v>18020</v>
      </c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</row>
    <row r="18" spans="1:185" x14ac:dyDescent="0.25">
      <c r="A18" s="16">
        <v>43586.961539351854</v>
      </c>
      <c r="B18" s="4"/>
      <c r="C18" s="4"/>
      <c r="D18" s="4">
        <v>7000</v>
      </c>
      <c r="E18" s="19">
        <v>43587.187060185184</v>
      </c>
      <c r="F18" s="5"/>
      <c r="G18" s="18"/>
      <c r="H18" s="5">
        <v>59000</v>
      </c>
      <c r="I18" s="16">
        <v>43587.206979166665</v>
      </c>
      <c r="J18" s="4">
        <v>0</v>
      </c>
      <c r="K18" s="4"/>
      <c r="L18" s="4">
        <v>17000</v>
      </c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19">
        <v>43587.187118055554</v>
      </c>
      <c r="F19" s="5"/>
      <c r="G19" s="5"/>
      <c r="H19" s="5">
        <v>50000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5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5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5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/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/>
      <c r="B32" s="5"/>
      <c r="C32" s="5"/>
      <c r="D32" s="10"/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/>
      <c r="B33" s="5"/>
      <c r="C33" s="5"/>
      <c r="D33" s="10"/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/>
      <c r="B34" s="5"/>
      <c r="C34" s="5"/>
      <c r="D34" s="10"/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/>
      <c r="B35" s="5"/>
      <c r="C35" s="5"/>
      <c r="D35" s="10"/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/>
      <c r="B36" s="5"/>
      <c r="C36" s="5"/>
      <c r="D36" s="10"/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185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185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185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185" x14ac:dyDescent="0.25">
      <c r="A52" s="7"/>
      <c r="B52" s="5"/>
      <c r="C52" s="5"/>
      <c r="D52" s="10"/>
      <c r="E52" s="11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</row>
    <row r="53" spans="1:185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185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185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185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185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185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185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185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185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185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185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185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COUNTA(A1:AM1)</f>
        <v>3</v>
      </c>
      <c r="C100">
        <f>COUNTA(A1:A95)</f>
        <v>31</v>
      </c>
      <c r="D100">
        <f>SUM(E100,H100)</f>
        <v>5000</v>
      </c>
      <c r="E100">
        <f>SUM(B3:B95)</f>
        <v>5000</v>
      </c>
      <c r="F100">
        <f>SUM(C3:C95)</f>
        <v>3120</v>
      </c>
      <c r="G100">
        <v>3120</v>
      </c>
      <c r="H100">
        <f>F100-G100</f>
        <v>0</v>
      </c>
    </row>
    <row r="101" spans="1:8" x14ac:dyDescent="0.25">
      <c r="A101" t="s">
        <v>42</v>
      </c>
      <c r="C101">
        <f>COUNTA(E1:E95)</f>
        <v>24</v>
      </c>
      <c r="D101">
        <f t="shared" ref="D101:D148" si="0">SUM(E101,H101)</f>
        <v>30000</v>
      </c>
      <c r="E101">
        <f>SUM(F3:F95)</f>
        <v>30000</v>
      </c>
      <c r="F101">
        <f>SUM(G3:G95)</f>
        <v>17400</v>
      </c>
      <c r="G101">
        <v>17400</v>
      </c>
      <c r="H101">
        <f t="shared" ref="H101:H148" si="1">F101-G101</f>
        <v>0</v>
      </c>
    </row>
    <row r="102" spans="1:8" x14ac:dyDescent="0.25">
      <c r="A102" t="s">
        <v>43</v>
      </c>
      <c r="C102">
        <f>COUNTA(I1:I95)</f>
        <v>18</v>
      </c>
      <c r="D102">
        <f t="shared" si="0"/>
        <v>17000</v>
      </c>
      <c r="E102">
        <f>SUM(J3:J95)</f>
        <v>17000</v>
      </c>
      <c r="F102">
        <f>SUM(K3:K95)</f>
        <v>3810</v>
      </c>
      <c r="G102">
        <v>3810</v>
      </c>
      <c r="H102">
        <f t="shared" si="1"/>
        <v>0</v>
      </c>
    </row>
    <row r="103" spans="1:8" x14ac:dyDescent="0.25">
      <c r="C103">
        <f>COUNTA(M1:M95)</f>
        <v>0</v>
      </c>
      <c r="D103">
        <f t="shared" si="0"/>
        <v>0</v>
      </c>
      <c r="E103">
        <f>SUM(N3:N95)</f>
        <v>0</v>
      </c>
      <c r="F103">
        <f>SUM(O3:O95)</f>
        <v>0</v>
      </c>
      <c r="H103">
        <f t="shared" si="1"/>
        <v>0</v>
      </c>
    </row>
    <row r="104" spans="1:8" x14ac:dyDescent="0.25">
      <c r="C104">
        <f>COUNTA(Q1:Q95)</f>
        <v>0</v>
      </c>
      <c r="D104">
        <f t="shared" si="0"/>
        <v>0</v>
      </c>
      <c r="E104">
        <f>SUM(R3:R95)</f>
        <v>0</v>
      </c>
      <c r="F104">
        <f>SUM(S3:S95)</f>
        <v>0</v>
      </c>
      <c r="H104">
        <f t="shared" si="1"/>
        <v>0</v>
      </c>
    </row>
    <row r="105" spans="1:8" x14ac:dyDescent="0.25">
      <c r="C105">
        <f>COUNTA(U1:U95)</f>
        <v>0</v>
      </c>
      <c r="D105">
        <f t="shared" si="0"/>
        <v>0</v>
      </c>
      <c r="E105">
        <f>SUM(V3:V95)</f>
        <v>0</v>
      </c>
      <c r="F105">
        <f>SUM(W3:W95)</f>
        <v>0</v>
      </c>
      <c r="H105">
        <f t="shared" si="1"/>
        <v>0</v>
      </c>
    </row>
    <row r="106" spans="1:8" x14ac:dyDescent="0.25">
      <c r="C106">
        <f>COUNTA(Y1:Y95)</f>
        <v>0</v>
      </c>
      <c r="D106">
        <f t="shared" si="0"/>
        <v>0</v>
      </c>
      <c r="E106">
        <f>SUM(Z3:Z95)</f>
        <v>0</v>
      </c>
      <c r="F106">
        <f>SUM(AA3:AA95)</f>
        <v>0</v>
      </c>
      <c r="H106">
        <f t="shared" si="1"/>
        <v>0</v>
      </c>
    </row>
    <row r="107" spans="1:8" x14ac:dyDescent="0.25">
      <c r="C107">
        <f>COUNTA(AC1:AC95)</f>
        <v>0</v>
      </c>
      <c r="D107">
        <f t="shared" si="0"/>
        <v>0</v>
      </c>
      <c r="E107">
        <f>SUM(AD3:AD95)</f>
        <v>0</v>
      </c>
      <c r="F107">
        <f>SUM(AE3:AE95)</f>
        <v>0</v>
      </c>
      <c r="H107">
        <f t="shared" si="1"/>
        <v>0</v>
      </c>
    </row>
    <row r="108" spans="1:8" x14ac:dyDescent="0.25">
      <c r="C108">
        <f>COUNTA(AG1:AG95)</f>
        <v>0</v>
      </c>
      <c r="D108">
        <f t="shared" si="0"/>
        <v>0</v>
      </c>
      <c r="E108">
        <f>SUM(AH3:AH95)</f>
        <v>0</v>
      </c>
      <c r="F108">
        <f>SUM(AI3:AI95)</f>
        <v>0</v>
      </c>
      <c r="H108">
        <f t="shared" si="1"/>
        <v>0</v>
      </c>
    </row>
    <row r="109" spans="1:8" x14ac:dyDescent="0.25">
      <c r="C109">
        <f>COUNTA(AK1:AK95)</f>
        <v>0</v>
      </c>
      <c r="D109">
        <f t="shared" si="0"/>
        <v>0</v>
      </c>
      <c r="E109">
        <f>SUM(AL3:AL95)</f>
        <v>0</v>
      </c>
      <c r="F109">
        <f>SUM(AM3:AM95)</f>
        <v>0</v>
      </c>
      <c r="H109">
        <f t="shared" si="1"/>
        <v>0</v>
      </c>
    </row>
    <row r="110" spans="1:8" x14ac:dyDescent="0.25">
      <c r="C110">
        <f>COUNTA(AO1:AO95)</f>
        <v>0</v>
      </c>
      <c r="D110">
        <f t="shared" si="0"/>
        <v>0</v>
      </c>
      <c r="E110">
        <f>SUM(AP3:AP95)</f>
        <v>0</v>
      </c>
      <c r="F110">
        <f>SUM(AQ3:AQ95)</f>
        <v>0</v>
      </c>
      <c r="H110">
        <f t="shared" si="1"/>
        <v>0</v>
      </c>
    </row>
    <row r="111" spans="1:8" x14ac:dyDescent="0.25">
      <c r="C111">
        <f>COUNTA(AS1:AS95)</f>
        <v>0</v>
      </c>
      <c r="D111">
        <f t="shared" si="0"/>
        <v>0</v>
      </c>
      <c r="E111">
        <f>SUM(AT3:AT95)</f>
        <v>0</v>
      </c>
      <c r="F111">
        <f>SUM(AU3:AU95)</f>
        <v>0</v>
      </c>
      <c r="H111">
        <f t="shared" si="1"/>
        <v>0</v>
      </c>
    </row>
    <row r="112" spans="1:8" x14ac:dyDescent="0.25">
      <c r="C112">
        <f>COUNTA(AW1:AW95)</f>
        <v>0</v>
      </c>
      <c r="D112">
        <f t="shared" si="0"/>
        <v>0</v>
      </c>
      <c r="E112">
        <f>SUM(AX3:AX95)</f>
        <v>0</v>
      </c>
      <c r="F112">
        <f>SUM(AY3:AY95)</f>
        <v>0</v>
      </c>
      <c r="H112">
        <f t="shared" si="1"/>
        <v>0</v>
      </c>
    </row>
    <row r="113" spans="3:8" x14ac:dyDescent="0.25">
      <c r="C113">
        <f>COUNTA(BA1:BA95)</f>
        <v>0</v>
      </c>
      <c r="D113">
        <f t="shared" si="0"/>
        <v>0</v>
      </c>
      <c r="E113">
        <f>SUM(BB3:BB95)</f>
        <v>0</v>
      </c>
      <c r="F113">
        <f>SUM(BC3:BC95)</f>
        <v>0</v>
      </c>
      <c r="H113">
        <f t="shared" si="1"/>
        <v>0</v>
      </c>
    </row>
    <row r="114" spans="3:8" x14ac:dyDescent="0.25">
      <c r="C114">
        <f>COUNTA(BE1:BE95)</f>
        <v>0</v>
      </c>
      <c r="D114">
        <f t="shared" si="0"/>
        <v>0</v>
      </c>
      <c r="E114">
        <f>SUM(BF3:BF95)</f>
        <v>0</v>
      </c>
      <c r="F114">
        <f>SUM(BG3:BG95)</f>
        <v>0</v>
      </c>
      <c r="H114">
        <f t="shared" si="1"/>
        <v>0</v>
      </c>
    </row>
    <row r="115" spans="3:8" x14ac:dyDescent="0.25">
      <c r="C115">
        <f>COUNTA(BI1:BI95)</f>
        <v>0</v>
      </c>
      <c r="D115">
        <f t="shared" si="0"/>
        <v>0</v>
      </c>
      <c r="E115">
        <f>SUM(BJ3:BJ95)</f>
        <v>0</v>
      </c>
      <c r="F115">
        <f>SUM(BK3:BK95)</f>
        <v>0</v>
      </c>
      <c r="H115">
        <f t="shared" si="1"/>
        <v>0</v>
      </c>
    </row>
    <row r="116" spans="3:8" x14ac:dyDescent="0.25">
      <c r="C116">
        <f>COUNTA(BM1:BM95)</f>
        <v>0</v>
      </c>
      <c r="D116">
        <f t="shared" si="0"/>
        <v>0</v>
      </c>
      <c r="E116">
        <f>SUM(BN3:BN95)</f>
        <v>0</v>
      </c>
      <c r="F116">
        <f>SUM(BO3:BO95)</f>
        <v>0</v>
      </c>
      <c r="H116">
        <f t="shared" si="1"/>
        <v>0</v>
      </c>
    </row>
    <row r="117" spans="3:8" x14ac:dyDescent="0.25">
      <c r="C117">
        <f>COUNTA(BQ1:BQ95)</f>
        <v>0</v>
      </c>
      <c r="D117">
        <f t="shared" si="0"/>
        <v>0</v>
      </c>
      <c r="E117">
        <f>SUM(BR3:BR95)</f>
        <v>0</v>
      </c>
      <c r="F117">
        <f>SUM(BS3:BS95)</f>
        <v>0</v>
      </c>
      <c r="H117">
        <f t="shared" si="1"/>
        <v>0</v>
      </c>
    </row>
    <row r="118" spans="3:8" x14ac:dyDescent="0.25">
      <c r="C118">
        <f>COUNTA(BU1:BU95)</f>
        <v>0</v>
      </c>
      <c r="D118">
        <f t="shared" si="0"/>
        <v>0</v>
      </c>
      <c r="E118">
        <f>SUM(BV3:BV95)</f>
        <v>0</v>
      </c>
      <c r="F118">
        <f>SUM(BW3:BW95)</f>
        <v>0</v>
      </c>
      <c r="H118">
        <f t="shared" si="1"/>
        <v>0</v>
      </c>
    </row>
    <row r="119" spans="3:8" x14ac:dyDescent="0.25">
      <c r="C119">
        <f>COUNTA(BY1:BY95)</f>
        <v>0</v>
      </c>
      <c r="D119">
        <f t="shared" si="0"/>
        <v>0</v>
      </c>
      <c r="E119">
        <f>SUM(BZ3:BZ95)</f>
        <v>0</v>
      </c>
      <c r="F119">
        <f>SUM(CA3:CA95)</f>
        <v>0</v>
      </c>
      <c r="H119">
        <f t="shared" si="1"/>
        <v>0</v>
      </c>
    </row>
    <row r="120" spans="3:8" x14ac:dyDescent="0.25">
      <c r="C120">
        <f>COUNTA(CC1:CC95)</f>
        <v>0</v>
      </c>
      <c r="D120">
        <f t="shared" si="0"/>
        <v>0</v>
      </c>
      <c r="E120">
        <f>SUM(CD3:CD95)</f>
        <v>0</v>
      </c>
      <c r="F120">
        <f>SUM(CE3:CE95)</f>
        <v>0</v>
      </c>
      <c r="H120">
        <f t="shared" si="1"/>
        <v>0</v>
      </c>
    </row>
    <row r="121" spans="3:8" x14ac:dyDescent="0.25">
      <c r="C121">
        <f>COUNTA(CG1:CG95)</f>
        <v>0</v>
      </c>
      <c r="D121">
        <f t="shared" si="0"/>
        <v>0</v>
      </c>
      <c r="E121">
        <f>SUM(CH3:CH95)</f>
        <v>0</v>
      </c>
      <c r="F121">
        <f>SUM(CI3:CI95)</f>
        <v>0</v>
      </c>
      <c r="H121">
        <f t="shared" si="1"/>
        <v>0</v>
      </c>
    </row>
    <row r="122" spans="3:8" x14ac:dyDescent="0.25">
      <c r="C122">
        <f>COUNTA(CK1:CK95)</f>
        <v>0</v>
      </c>
      <c r="D122">
        <f t="shared" si="0"/>
        <v>0</v>
      </c>
      <c r="E122">
        <f>SUM(CL3:CL95)</f>
        <v>0</v>
      </c>
      <c r="F122">
        <f>SUM(CM3:CM95)</f>
        <v>0</v>
      </c>
      <c r="H122">
        <f t="shared" si="1"/>
        <v>0</v>
      </c>
    </row>
    <row r="123" spans="3:8" x14ac:dyDescent="0.25">
      <c r="C123">
        <f>COUNTA(CO1:CO95)</f>
        <v>0</v>
      </c>
      <c r="D123">
        <f t="shared" si="0"/>
        <v>0</v>
      </c>
      <c r="E123">
        <f>SUM(CP3:CP95)</f>
        <v>0</v>
      </c>
      <c r="F123">
        <f>SUM(CQ3:CQ95)</f>
        <v>0</v>
      </c>
      <c r="H123">
        <f t="shared" si="1"/>
        <v>0</v>
      </c>
    </row>
    <row r="124" spans="3:8" x14ac:dyDescent="0.25">
      <c r="C124">
        <f>COUNTA(CS1:CS95)</f>
        <v>0</v>
      </c>
      <c r="D124">
        <f t="shared" si="0"/>
        <v>0</v>
      </c>
      <c r="E124">
        <f>SUM(CT3:CT95)</f>
        <v>0</v>
      </c>
      <c r="F124">
        <f>SUM(CU3:CU95)</f>
        <v>0</v>
      </c>
      <c r="H124">
        <f t="shared" si="1"/>
        <v>0</v>
      </c>
    </row>
    <row r="125" spans="3:8" x14ac:dyDescent="0.25">
      <c r="C125">
        <f>COUNTA(CW1:CW95)</f>
        <v>0</v>
      </c>
      <c r="D125">
        <f t="shared" si="0"/>
        <v>0</v>
      </c>
      <c r="E125">
        <f>SUM(CX3:CX95)</f>
        <v>0</v>
      </c>
      <c r="F125">
        <f>SUM(CY3:CY95)</f>
        <v>0</v>
      </c>
      <c r="H125">
        <f t="shared" si="1"/>
        <v>0</v>
      </c>
    </row>
    <row r="126" spans="3:8" x14ac:dyDescent="0.25">
      <c r="C126">
        <f>COUNTA(DA1:DA95)</f>
        <v>0</v>
      </c>
      <c r="D126">
        <f t="shared" si="0"/>
        <v>0</v>
      </c>
      <c r="E126">
        <f>SUM(DB3:DB95)</f>
        <v>0</v>
      </c>
      <c r="F126">
        <f>SUM(DC3:DC95)</f>
        <v>0</v>
      </c>
      <c r="H126">
        <f t="shared" si="1"/>
        <v>0</v>
      </c>
    </row>
    <row r="127" spans="3:8" x14ac:dyDescent="0.25">
      <c r="C127">
        <f>COUNTA(DE1:DE95)</f>
        <v>0</v>
      </c>
      <c r="D127">
        <f t="shared" si="0"/>
        <v>0</v>
      </c>
      <c r="E127">
        <f>SUM(DF3:DF95)</f>
        <v>0</v>
      </c>
      <c r="F127">
        <f>SUM(DG3:DG95)</f>
        <v>0</v>
      </c>
      <c r="H127">
        <f t="shared" si="1"/>
        <v>0</v>
      </c>
    </row>
    <row r="128" spans="3:8" x14ac:dyDescent="0.25">
      <c r="C128">
        <f>COUNTA(DI1:DI95)</f>
        <v>0</v>
      </c>
      <c r="D128">
        <f t="shared" si="0"/>
        <v>0</v>
      </c>
      <c r="E128">
        <f>SUM(DJ3:DJ95)</f>
        <v>0</v>
      </c>
      <c r="F128">
        <f>SUM(DK3:DK95)</f>
        <v>0</v>
      </c>
      <c r="H128">
        <f t="shared" si="1"/>
        <v>0</v>
      </c>
    </row>
    <row r="129" spans="3:8" x14ac:dyDescent="0.25">
      <c r="C129">
        <f>COUNTA(DM1:DM95)</f>
        <v>0</v>
      </c>
      <c r="D129">
        <f t="shared" si="0"/>
        <v>0</v>
      </c>
      <c r="E129">
        <f>SUM(DN3:DN95)</f>
        <v>0</v>
      </c>
      <c r="F129">
        <f>SUM(DO3:DO95)</f>
        <v>0</v>
      </c>
      <c r="H129">
        <f t="shared" si="1"/>
        <v>0</v>
      </c>
    </row>
    <row r="130" spans="3:8" x14ac:dyDescent="0.25">
      <c r="C130">
        <f>COUNTA(DQ1:DQ95)</f>
        <v>0</v>
      </c>
      <c r="D130">
        <f t="shared" si="0"/>
        <v>0</v>
      </c>
      <c r="E130">
        <f>SUM(DR3:DR95)</f>
        <v>0</v>
      </c>
      <c r="F130">
        <f>SUM(DS3:DS95)</f>
        <v>0</v>
      </c>
      <c r="H130">
        <f t="shared" si="1"/>
        <v>0</v>
      </c>
    </row>
    <row r="131" spans="3:8" x14ac:dyDescent="0.25">
      <c r="C131">
        <f>COUNTA(DU1:DU95)</f>
        <v>0</v>
      </c>
      <c r="D131">
        <f t="shared" si="0"/>
        <v>0</v>
      </c>
      <c r="E131">
        <f>SUM(DV3:DV95)</f>
        <v>0</v>
      </c>
      <c r="F131">
        <f>SUM(DW3:DW95)</f>
        <v>0</v>
      </c>
      <c r="H131">
        <f t="shared" si="1"/>
        <v>0</v>
      </c>
    </row>
    <row r="132" spans="3:8" x14ac:dyDescent="0.25">
      <c r="C132">
        <f>COUNTA(DY1:DY95)</f>
        <v>0</v>
      </c>
      <c r="D132">
        <f t="shared" si="0"/>
        <v>0</v>
      </c>
      <c r="E132">
        <f>SUM(DX3:DX95)</f>
        <v>0</v>
      </c>
      <c r="F132">
        <f>SUM(DY3:DY95)</f>
        <v>0</v>
      </c>
      <c r="H132">
        <f t="shared" si="1"/>
        <v>0</v>
      </c>
    </row>
    <row r="133" spans="3:8" x14ac:dyDescent="0.25">
      <c r="C133">
        <f>COUNTA(EC1:EC95)</f>
        <v>0</v>
      </c>
      <c r="D133">
        <f t="shared" si="0"/>
        <v>0</v>
      </c>
      <c r="E133">
        <f>SUM(ED3:ED95)</f>
        <v>0</v>
      </c>
      <c r="F133">
        <f>SUM(EE3:EE95)</f>
        <v>0</v>
      </c>
      <c r="H133">
        <f t="shared" si="1"/>
        <v>0</v>
      </c>
    </row>
    <row r="134" spans="3:8" x14ac:dyDescent="0.25">
      <c r="C134">
        <f>COUNTA(EG1:EG96)</f>
        <v>0</v>
      </c>
      <c r="D134">
        <f t="shared" si="0"/>
        <v>0</v>
      </c>
      <c r="E134">
        <f>SUM(EH3:EH95)</f>
        <v>0</v>
      </c>
      <c r="F134">
        <f>SUM(EI3:EI95)</f>
        <v>0</v>
      </c>
      <c r="H134">
        <f t="shared" si="1"/>
        <v>0</v>
      </c>
    </row>
    <row r="135" spans="3:8" x14ac:dyDescent="0.25">
      <c r="C135">
        <f>COUNTA(EK1:EK95)</f>
        <v>0</v>
      </c>
      <c r="D135">
        <f t="shared" si="0"/>
        <v>0</v>
      </c>
      <c r="E135">
        <f>SUM(EL3:EL95)</f>
        <v>0</v>
      </c>
      <c r="F135">
        <f>SUM(EM3:EM95)</f>
        <v>0</v>
      </c>
      <c r="H135">
        <f t="shared" si="1"/>
        <v>0</v>
      </c>
    </row>
    <row r="136" spans="3:8" x14ac:dyDescent="0.25">
      <c r="C136">
        <f>COUNTA(EO1:EO95)</f>
        <v>0</v>
      </c>
      <c r="D136">
        <f t="shared" si="0"/>
        <v>0</v>
      </c>
      <c r="E136">
        <f>SUM(EP3:EP95)</f>
        <v>0</v>
      </c>
      <c r="F136">
        <f>SUM(EQ3:EQ95)</f>
        <v>0</v>
      </c>
      <c r="H136">
        <f t="shared" si="1"/>
        <v>0</v>
      </c>
    </row>
    <row r="137" spans="3:8" x14ac:dyDescent="0.25">
      <c r="C137">
        <f>COUNTA(ES1:ES95)</f>
        <v>0</v>
      </c>
      <c r="D137">
        <f t="shared" si="0"/>
        <v>0</v>
      </c>
      <c r="E137">
        <f>SUM(ET3:ET95)</f>
        <v>0</v>
      </c>
      <c r="F137">
        <f>SUM(EU3:EU95)</f>
        <v>0</v>
      </c>
      <c r="H137">
        <f t="shared" si="1"/>
        <v>0</v>
      </c>
    </row>
    <row r="138" spans="3:8" x14ac:dyDescent="0.25">
      <c r="C138">
        <f>COUNTA(EW1:EW95)</f>
        <v>0</v>
      </c>
      <c r="D138">
        <f t="shared" si="0"/>
        <v>0</v>
      </c>
      <c r="E138">
        <f>SUM(EX3:EX95)</f>
        <v>0</v>
      </c>
      <c r="F138">
        <f>SUM(EY3:EY95)</f>
        <v>0</v>
      </c>
      <c r="H138">
        <f t="shared" si="1"/>
        <v>0</v>
      </c>
    </row>
    <row r="139" spans="3:8" x14ac:dyDescent="0.25">
      <c r="C139">
        <f>COUNTA(FA1:FA95)</f>
        <v>0</v>
      </c>
      <c r="D139">
        <f t="shared" si="0"/>
        <v>0</v>
      </c>
      <c r="E139">
        <f>SUM(FB3:FB95)</f>
        <v>0</v>
      </c>
      <c r="F139">
        <f>SUM(FC3:FC95)</f>
        <v>0</v>
      </c>
      <c r="H139">
        <f t="shared" si="1"/>
        <v>0</v>
      </c>
    </row>
    <row r="140" spans="3:8" x14ac:dyDescent="0.25">
      <c r="C140">
        <f>COUNTA(FE1:FE95)</f>
        <v>0</v>
      </c>
      <c r="D140">
        <f t="shared" si="0"/>
        <v>0</v>
      </c>
      <c r="E140">
        <f>SUM(FF3:FF95)</f>
        <v>0</v>
      </c>
      <c r="F140">
        <f>SUM(FG3:FG95)</f>
        <v>0</v>
      </c>
      <c r="H140">
        <f t="shared" si="1"/>
        <v>0</v>
      </c>
    </row>
    <row r="141" spans="3:8" x14ac:dyDescent="0.25">
      <c r="C141">
        <f>COUNTA(FI1:FI95)</f>
        <v>0</v>
      </c>
      <c r="D141">
        <f t="shared" si="0"/>
        <v>0</v>
      </c>
      <c r="E141">
        <f>SUM(FJ3:FJ95)</f>
        <v>0</v>
      </c>
      <c r="F141">
        <f>SUM(FK3:FK95)</f>
        <v>0</v>
      </c>
      <c r="H141">
        <f t="shared" si="1"/>
        <v>0</v>
      </c>
    </row>
    <row r="142" spans="3:8" x14ac:dyDescent="0.25">
      <c r="C142">
        <f>COUNTA(FM1:FM95)</f>
        <v>0</v>
      </c>
      <c r="D142">
        <f t="shared" si="0"/>
        <v>0</v>
      </c>
      <c r="E142">
        <f>SUM(FN3:FN95)</f>
        <v>0</v>
      </c>
      <c r="F142">
        <f>SUM(FO3:FO95)</f>
        <v>0</v>
      </c>
      <c r="H142">
        <f t="shared" si="1"/>
        <v>0</v>
      </c>
    </row>
    <row r="143" spans="3:8" x14ac:dyDescent="0.25">
      <c r="C143">
        <f>COUNTA(FQ1:FQ95)</f>
        <v>0</v>
      </c>
      <c r="D143">
        <f t="shared" si="0"/>
        <v>0</v>
      </c>
      <c r="E143">
        <f>SUM(FR3:FR95)</f>
        <v>0</v>
      </c>
      <c r="F143">
        <f>SUM(FS3:FS95)</f>
        <v>0</v>
      </c>
      <c r="H143">
        <f t="shared" si="1"/>
        <v>0</v>
      </c>
    </row>
    <row r="144" spans="3:8" x14ac:dyDescent="0.25">
      <c r="C144">
        <f>COUNTA(FU1:FU95)</f>
        <v>0</v>
      </c>
      <c r="D144">
        <f t="shared" si="0"/>
        <v>0</v>
      </c>
      <c r="E144">
        <f>SUM(FV3:FV95)</f>
        <v>0</v>
      </c>
      <c r="F144">
        <f>SUM(FW3:FW95)</f>
        <v>0</v>
      </c>
      <c r="H144">
        <f t="shared" si="1"/>
        <v>0</v>
      </c>
    </row>
    <row r="145" spans="3:8" x14ac:dyDescent="0.25">
      <c r="C145">
        <f>COUNTA(FY1:FY95)</f>
        <v>0</v>
      </c>
      <c r="D145">
        <f t="shared" si="0"/>
        <v>0</v>
      </c>
      <c r="E145">
        <f>SUM(FZ3:FZ95)</f>
        <v>0</v>
      </c>
      <c r="F145">
        <f>SUM(GA3:GA95)</f>
        <v>0</v>
      </c>
      <c r="H145">
        <f t="shared" si="1"/>
        <v>0</v>
      </c>
    </row>
    <row r="146" spans="3:8" x14ac:dyDescent="0.25">
      <c r="C146">
        <f>COUNTA(GC1:GC95)</f>
        <v>0</v>
      </c>
      <c r="D146">
        <f t="shared" si="0"/>
        <v>0</v>
      </c>
      <c r="E146">
        <f>SUM(GD3:GD95)</f>
        <v>0</v>
      </c>
      <c r="F146">
        <f>SUM(GE3:GE95)</f>
        <v>0</v>
      </c>
      <c r="H146">
        <f t="shared" si="1"/>
        <v>0</v>
      </c>
    </row>
    <row r="147" spans="3:8" x14ac:dyDescent="0.25">
      <c r="C147">
        <f>COUNTA(GG1:GG95)</f>
        <v>0</v>
      </c>
      <c r="D147">
        <f t="shared" si="0"/>
        <v>0</v>
      </c>
      <c r="E147">
        <f>SUM(GH3:GH95)</f>
        <v>0</v>
      </c>
      <c r="F147">
        <f>SUM(GI3:GI95)</f>
        <v>0</v>
      </c>
      <c r="H147">
        <f t="shared" si="1"/>
        <v>0</v>
      </c>
    </row>
    <row r="148" spans="3:8" x14ac:dyDescent="0.25">
      <c r="C148">
        <f>COUNTA(GK1:GK95)</f>
        <v>0</v>
      </c>
      <c r="D148">
        <f t="shared" si="0"/>
        <v>0</v>
      </c>
      <c r="E148">
        <f>SUM(GL3:GL95)</f>
        <v>0</v>
      </c>
      <c r="F148">
        <f>SUM(GM3:GM95)</f>
        <v>0</v>
      </c>
      <c r="H148">
        <f t="shared" si="1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6" x14ac:dyDescent="0.25">
      <c r="A2" t="s">
        <v>61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44</v>
      </c>
      <c r="Z2" t="s">
        <v>45</v>
      </c>
    </row>
    <row r="3" spans="1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6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6" x14ac:dyDescent="0.25">
      <c r="A6" s="9">
        <v>41654</v>
      </c>
    </row>
    <row r="7" spans="1:26" x14ac:dyDescent="0.25">
      <c r="A7" s="9">
        <v>41669</v>
      </c>
    </row>
    <row r="8" spans="1:26" x14ac:dyDescent="0.25">
      <c r="A8" s="9">
        <v>41685</v>
      </c>
    </row>
    <row r="9" spans="1:26" x14ac:dyDescent="0.25">
      <c r="A9" s="9">
        <v>41698</v>
      </c>
    </row>
    <row r="10" spans="1:26" x14ac:dyDescent="0.25">
      <c r="A10" s="9">
        <v>41713</v>
      </c>
    </row>
    <row r="11" spans="1:26" x14ac:dyDescent="0.25">
      <c r="A11" s="9">
        <v>41728</v>
      </c>
    </row>
    <row r="12" spans="1:26" x14ac:dyDescent="0.25">
      <c r="A12" s="9">
        <v>41744</v>
      </c>
    </row>
    <row r="13" spans="1:26" x14ac:dyDescent="0.25">
      <c r="A13" s="9">
        <v>41759</v>
      </c>
    </row>
    <row r="14" spans="1:26" x14ac:dyDescent="0.25">
      <c r="A14" s="9">
        <v>41774</v>
      </c>
    </row>
    <row r="15" spans="1:26" x14ac:dyDescent="0.25">
      <c r="A15" s="9">
        <v>41789</v>
      </c>
    </row>
    <row r="16" spans="1:26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6" workbookViewId="0">
      <selection activeCell="D10" sqref="D10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31"/>
  <sheetViews>
    <sheetView workbookViewId="0">
      <selection activeCell="K16" sqref="K16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</cols>
  <sheetData>
    <row r="1" spans="1:27" x14ac:dyDescent="0.25">
      <c r="A1" s="41"/>
      <c r="B1" s="41"/>
      <c r="C1" s="41"/>
      <c r="D1" s="41"/>
      <c r="E1" s="86" t="s">
        <v>76</v>
      </c>
      <c r="F1" s="41"/>
    </row>
    <row r="2" spans="1:27" x14ac:dyDescent="0.25">
      <c r="A2" s="41"/>
      <c r="B2" s="86" t="s">
        <v>78</v>
      </c>
      <c r="C2" s="86" t="s">
        <v>77</v>
      </c>
      <c r="D2" s="41"/>
      <c r="E2" s="41">
        <f>COUNTA(Savings!C2:AH2)</f>
        <v>25</v>
      </c>
      <c r="F2" s="86" t="s">
        <v>17</v>
      </c>
      <c r="G2" s="86" t="s">
        <v>51</v>
      </c>
      <c r="H2" s="86" t="s">
        <v>52</v>
      </c>
      <c r="AA2" s="15"/>
    </row>
    <row r="3" spans="1:27" x14ac:dyDescent="0.25">
      <c r="A3" s="41"/>
      <c r="B3" s="85" t="s">
        <v>21</v>
      </c>
      <c r="C3" s="41" t="s">
        <v>50</v>
      </c>
      <c r="D3" s="41" t="s">
        <v>1</v>
      </c>
      <c r="E3" s="41"/>
      <c r="F3" s="41">
        <v>18</v>
      </c>
      <c r="G3" s="41">
        <f>COUNTA(C3:C36)</f>
        <v>4</v>
      </c>
      <c r="H3" s="41">
        <f>G3*F3</f>
        <v>72</v>
      </c>
    </row>
    <row r="4" spans="1:27" x14ac:dyDescent="0.25">
      <c r="A4" s="41"/>
      <c r="B4" s="85" t="s">
        <v>22</v>
      </c>
      <c r="C4" s="41" t="s">
        <v>53</v>
      </c>
      <c r="D4" s="41" t="s">
        <v>3</v>
      </c>
      <c r="E4" s="41"/>
      <c r="F4" s="41"/>
      <c r="G4" s="41"/>
      <c r="H4" s="41"/>
    </row>
    <row r="5" spans="1:27" x14ac:dyDescent="0.25">
      <c r="A5" s="41"/>
      <c r="B5" s="85" t="s">
        <v>23</v>
      </c>
      <c r="C5" s="41" t="s">
        <v>54</v>
      </c>
      <c r="D5" s="41" t="s">
        <v>2</v>
      </c>
      <c r="E5" s="41"/>
      <c r="F5" s="41"/>
    </row>
    <row r="6" spans="1:27" x14ac:dyDescent="0.25">
      <c r="A6" s="41"/>
      <c r="B6" s="85" t="s">
        <v>24</v>
      </c>
      <c r="C6" s="41">
        <v>2015</v>
      </c>
      <c r="D6" s="41"/>
      <c r="E6" s="41"/>
      <c r="F6" s="41"/>
    </row>
    <row r="7" spans="1:27" x14ac:dyDescent="0.25">
      <c r="A7" s="41"/>
      <c r="B7" s="85" t="s">
        <v>25</v>
      </c>
      <c r="C7" s="41"/>
      <c r="D7" s="41"/>
      <c r="E7" s="41"/>
      <c r="F7" s="41"/>
    </row>
    <row r="8" spans="1:27" x14ac:dyDescent="0.25">
      <c r="A8" s="41"/>
      <c r="B8" s="85" t="s">
        <v>26</v>
      </c>
      <c r="C8" s="41"/>
      <c r="D8" s="41"/>
      <c r="E8" s="41"/>
      <c r="F8" s="41"/>
    </row>
    <row r="9" spans="1:27" x14ac:dyDescent="0.25">
      <c r="A9" s="41"/>
      <c r="B9" s="85" t="s">
        <v>27</v>
      </c>
      <c r="C9" s="41"/>
      <c r="D9" s="41"/>
      <c r="E9" s="41"/>
      <c r="F9" s="87"/>
    </row>
    <row r="10" spans="1:27" x14ac:dyDescent="0.25">
      <c r="A10" s="41"/>
      <c r="B10" s="85" t="s">
        <v>28</v>
      </c>
      <c r="C10" s="41"/>
      <c r="D10" s="41"/>
      <c r="E10" s="41"/>
      <c r="F10" s="41"/>
    </row>
    <row r="11" spans="1:27" x14ac:dyDescent="0.25">
      <c r="A11" s="41"/>
      <c r="B11" s="85" t="s">
        <v>29</v>
      </c>
      <c r="C11" s="41"/>
      <c r="D11" s="41"/>
      <c r="E11" s="41"/>
      <c r="F11" s="41"/>
    </row>
    <row r="12" spans="1:27" x14ac:dyDescent="0.25">
      <c r="A12" s="41"/>
      <c r="B12" s="85" t="s">
        <v>20</v>
      </c>
      <c r="C12" s="41"/>
      <c r="D12" s="41"/>
      <c r="E12" s="41"/>
      <c r="F12" s="41"/>
    </row>
    <row r="13" spans="1:27" x14ac:dyDescent="0.25">
      <c r="A13" s="41"/>
      <c r="B13" s="85" t="s">
        <v>30</v>
      </c>
      <c r="C13" s="41"/>
      <c r="D13" s="41"/>
      <c r="E13" s="41"/>
      <c r="F13" s="41"/>
    </row>
    <row r="14" spans="1:27" x14ac:dyDescent="0.25">
      <c r="A14" s="41"/>
      <c r="B14" s="85" t="s">
        <v>31</v>
      </c>
      <c r="C14" s="41"/>
      <c r="D14" s="41"/>
      <c r="E14" s="41"/>
      <c r="F14" s="41"/>
    </row>
    <row r="15" spans="1:27" x14ac:dyDescent="0.25">
      <c r="A15" s="41"/>
      <c r="B15" s="85" t="s">
        <v>32</v>
      </c>
      <c r="C15" s="41"/>
      <c r="D15" s="41"/>
      <c r="E15" s="41"/>
      <c r="F15" s="41"/>
    </row>
    <row r="16" spans="1:27" x14ac:dyDescent="0.25">
      <c r="A16" s="41"/>
      <c r="B16" s="85" t="s">
        <v>33</v>
      </c>
      <c r="C16" s="41"/>
      <c r="D16" s="41"/>
      <c r="E16" s="41"/>
      <c r="F16" s="41"/>
    </row>
    <row r="17" spans="1:6" x14ac:dyDescent="0.25">
      <c r="A17" s="41"/>
      <c r="B17" s="85" t="s">
        <v>34</v>
      </c>
      <c r="C17" s="41"/>
      <c r="D17" s="41"/>
      <c r="E17" s="41"/>
      <c r="F17" s="41"/>
    </row>
    <row r="18" spans="1:6" x14ac:dyDescent="0.25">
      <c r="A18" s="41"/>
      <c r="B18" s="85" t="s">
        <v>35</v>
      </c>
      <c r="C18" s="41"/>
      <c r="D18" s="41"/>
      <c r="E18" s="41"/>
      <c r="F18" s="41"/>
    </row>
    <row r="19" spans="1:6" x14ac:dyDescent="0.25">
      <c r="A19" s="41"/>
      <c r="B19" s="85" t="s">
        <v>36</v>
      </c>
      <c r="C19" s="41"/>
      <c r="D19" s="41"/>
      <c r="E19" s="41"/>
      <c r="F19" s="41"/>
    </row>
    <row r="20" spans="1:6" x14ac:dyDescent="0.25">
      <c r="A20" s="41"/>
      <c r="B20" s="85" t="s">
        <v>37</v>
      </c>
      <c r="C20" s="41"/>
      <c r="D20" s="41"/>
      <c r="E20" s="41"/>
      <c r="F20" s="41"/>
    </row>
    <row r="21" spans="1:6" x14ac:dyDescent="0.25">
      <c r="A21" s="41"/>
      <c r="B21" s="85" t="s">
        <v>6</v>
      </c>
      <c r="C21" s="41"/>
      <c r="D21" s="41"/>
      <c r="E21" s="41"/>
      <c r="F21" s="41"/>
    </row>
    <row r="22" spans="1:6" x14ac:dyDescent="0.25">
      <c r="A22" s="41"/>
      <c r="B22" s="85" t="s">
        <v>0</v>
      </c>
      <c r="C22" s="41"/>
      <c r="D22" s="41"/>
      <c r="E22" s="41"/>
      <c r="F22" s="41"/>
    </row>
    <row r="23" spans="1:6" x14ac:dyDescent="0.25">
      <c r="A23" s="41"/>
      <c r="B23" s="85" t="s">
        <v>38</v>
      </c>
      <c r="C23" s="41"/>
      <c r="D23" s="41"/>
      <c r="E23" s="41"/>
      <c r="F23" s="41"/>
    </row>
    <row r="24" spans="1:6" x14ac:dyDescent="0.25">
      <c r="A24" s="41"/>
      <c r="B24" s="85" t="s">
        <v>39</v>
      </c>
      <c r="C24" s="41"/>
      <c r="D24" s="41"/>
      <c r="E24" s="41"/>
      <c r="F24" s="41"/>
    </row>
    <row r="25" spans="1:6" x14ac:dyDescent="0.25">
      <c r="A25" s="41"/>
      <c r="B25" s="85" t="s">
        <v>40</v>
      </c>
      <c r="C25" s="41"/>
      <c r="D25" s="41"/>
      <c r="E25" s="41"/>
      <c r="F25" s="41"/>
    </row>
    <row r="26" spans="1:6" x14ac:dyDescent="0.25">
      <c r="A26" s="41"/>
      <c r="B26" s="85" t="s">
        <v>44</v>
      </c>
      <c r="C26" s="41"/>
      <c r="D26" s="41"/>
      <c r="E26" s="41"/>
      <c r="F26" s="41"/>
    </row>
    <row r="27" spans="1:6" x14ac:dyDescent="0.25">
      <c r="A27" s="41"/>
      <c r="B27" s="85" t="s">
        <v>46</v>
      </c>
      <c r="C27" s="41"/>
      <c r="D27" s="41"/>
      <c r="E27" s="41"/>
      <c r="F27" s="41"/>
    </row>
    <row r="28" spans="1:6" x14ac:dyDescent="0.25">
      <c r="A28" s="41"/>
      <c r="B28" s="41"/>
      <c r="C28" s="41"/>
      <c r="D28" s="41"/>
      <c r="E28" s="41"/>
      <c r="F28" s="41"/>
    </row>
    <row r="29" spans="1:6" x14ac:dyDescent="0.25">
      <c r="A29" s="41"/>
      <c r="B29" s="41"/>
      <c r="C29" s="41"/>
      <c r="D29" s="41"/>
      <c r="E29" s="41"/>
      <c r="F29" s="41"/>
    </row>
    <row r="30" spans="1:6" x14ac:dyDescent="0.25">
      <c r="A30" s="41"/>
      <c r="B30" s="41"/>
      <c r="C30" s="41"/>
      <c r="D30" s="41"/>
      <c r="E30" s="41"/>
      <c r="F30" s="41"/>
    </row>
    <row r="31" spans="1:6" x14ac:dyDescent="0.25">
      <c r="A31" s="41"/>
      <c r="B31" s="41"/>
      <c r="C31" s="41"/>
      <c r="D31" s="41"/>
      <c r="E31" s="41"/>
      <c r="F31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Savings</vt:lpstr>
      <vt:lpstr>Profit</vt:lpstr>
      <vt:lpstr>Borrowers</vt:lpstr>
      <vt:lpstr>Revenues</vt:lpstr>
      <vt:lpstr>LOG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2025-02-19T01:29:09Z</dcterms:modified>
</cp:coreProperties>
</file>