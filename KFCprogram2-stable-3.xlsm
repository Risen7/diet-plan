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ampifs03\Assy_Maintenance\FOLMaint\General\Ryan\FYI and Instructions\"/>
    </mc:Choice>
  </mc:AlternateContent>
  <xr:revisionPtr revIDLastSave="0" documentId="13_ncr:1_{D85471FF-2985-45B1-94B7-899FC00FAAD8}" xr6:coauthVersionLast="47" xr6:coauthVersionMax="47" xr10:uidLastSave="{00000000-0000-0000-0000-000000000000}"/>
  <bookViews>
    <workbookView xWindow="-120" yWindow="-120" windowWidth="24240" windowHeight="13020" tabRatio="593" xr2:uid="{00000000-000D-0000-FFFF-FFFF00000000}"/>
  </bookViews>
  <sheets>
    <sheet name="Home" sheetId="1" r:id="rId1"/>
    <sheet name="Savings" sheetId="2" r:id="rId2"/>
    <sheet name="Profit" sheetId="8" r:id="rId3"/>
    <sheet name="Borrowers" sheetId="4" r:id="rId4"/>
    <sheet name="Revenues" sheetId="5" r:id="rId5"/>
    <sheet name="LOG" sheetId="6" r:id="rId6"/>
    <sheet name="data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1" i="2" l="1"/>
  <c r="Z51" i="2"/>
  <c r="Z52" i="2" s="1"/>
  <c r="Z53" i="2" s="1"/>
  <c r="Y51" i="2"/>
  <c r="X51" i="2"/>
  <c r="X52" i="2" s="1"/>
  <c r="X53" i="2" s="1"/>
  <c r="W51" i="2"/>
  <c r="V51" i="2"/>
  <c r="V52" i="2" s="1"/>
  <c r="V53" i="2" s="1"/>
  <c r="U51" i="2"/>
  <c r="T51" i="2"/>
  <c r="T52" i="2" s="1"/>
  <c r="T53" i="2" s="1"/>
  <c r="S51" i="2"/>
  <c r="R51" i="2"/>
  <c r="R52" i="2" s="1"/>
  <c r="R53" i="2" s="1"/>
  <c r="Q51" i="2"/>
  <c r="P51" i="2"/>
  <c r="P52" i="2" s="1"/>
  <c r="P53" i="2" s="1"/>
  <c r="O51" i="2"/>
  <c r="N51" i="2"/>
  <c r="N52" i="2" s="1"/>
  <c r="N53" i="2" s="1"/>
  <c r="M51" i="2"/>
  <c r="L51" i="2"/>
  <c r="L52" i="2" s="1"/>
  <c r="L53" i="2" s="1"/>
  <c r="K51" i="2"/>
  <c r="J51" i="2"/>
  <c r="J52" i="2" s="1"/>
  <c r="J53" i="2" s="1"/>
  <c r="I51" i="2"/>
  <c r="H51" i="2"/>
  <c r="H52" i="2" s="1"/>
  <c r="H53" i="2" s="1"/>
  <c r="G51" i="2"/>
  <c r="F51" i="2"/>
  <c r="F52" i="2" s="1"/>
  <c r="F53" i="2" s="1"/>
  <c r="E51" i="2"/>
  <c r="D51" i="2"/>
  <c r="D52" i="2" s="1"/>
  <c r="D53" i="2" s="1"/>
  <c r="C51" i="2"/>
  <c r="B52" i="2"/>
  <c r="AA52" i="2" s="1"/>
  <c r="AA53" i="2" s="1"/>
  <c r="G3" i="7"/>
  <c r="H3" i="7" s="1"/>
  <c r="E2" i="7"/>
  <c r="B35" i="2"/>
  <c r="AA35" i="2"/>
  <c r="Z35" i="2"/>
  <c r="Y35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A34" i="2"/>
  <c r="Z34" i="2"/>
  <c r="Y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E34" i="2"/>
  <c r="D34" i="2"/>
  <c r="B36" i="2" s="1"/>
  <c r="C34" i="2"/>
  <c r="B34" i="2"/>
  <c r="H16" i="8"/>
  <c r="H1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4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A33" i="2"/>
  <c r="Z33" i="2"/>
  <c r="Y33" i="2"/>
  <c r="X33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18" i="2"/>
  <c r="B51" i="2"/>
  <c r="B33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X15" i="2"/>
  <c r="Y15" i="2"/>
  <c r="Z15" i="2"/>
  <c r="B16" i="2" s="1"/>
  <c r="AA15" i="2"/>
  <c r="U4" i="1"/>
  <c r="E52" i="2" l="1"/>
  <c r="E53" i="2" s="1"/>
  <c r="I52" i="2"/>
  <c r="I53" i="2" s="1"/>
  <c r="M52" i="2"/>
  <c r="M53" i="2" s="1"/>
  <c r="Q52" i="2"/>
  <c r="Q53" i="2" s="1"/>
  <c r="U52" i="2"/>
  <c r="U53" i="2" s="1"/>
  <c r="Y52" i="2"/>
  <c r="Y53" i="2" s="1"/>
  <c r="C52" i="2"/>
  <c r="G52" i="2"/>
  <c r="G53" i="2" s="1"/>
  <c r="K52" i="2"/>
  <c r="K53" i="2" s="1"/>
  <c r="O52" i="2"/>
  <c r="O53" i="2" s="1"/>
  <c r="S52" i="2"/>
  <c r="S53" i="2" s="1"/>
  <c r="W52" i="2"/>
  <c r="W53" i="2" s="1"/>
  <c r="AA16" i="2"/>
  <c r="AA17" i="2" s="1"/>
  <c r="X16" i="2"/>
  <c r="X17" i="2" s="1"/>
  <c r="H16" i="2"/>
  <c r="H17" i="2" s="1"/>
  <c r="T16" i="2"/>
  <c r="T17" i="2" s="1"/>
  <c r="D16" i="2"/>
  <c r="D17" i="2" s="1"/>
  <c r="L16" i="2"/>
  <c r="L17" i="2" s="1"/>
  <c r="P16" i="2"/>
  <c r="P17" i="2" s="1"/>
  <c r="E16" i="2"/>
  <c r="E17" i="2" s="1"/>
  <c r="I16" i="2"/>
  <c r="I17" i="2" s="1"/>
  <c r="M16" i="2"/>
  <c r="M17" i="2" s="1"/>
  <c r="Q16" i="2"/>
  <c r="Q17" i="2" s="1"/>
  <c r="U16" i="2"/>
  <c r="U17" i="2" s="1"/>
  <c r="Y16" i="2"/>
  <c r="Y17" i="2" s="1"/>
  <c r="Z16" i="2"/>
  <c r="Z17" i="2" s="1"/>
  <c r="F16" i="2"/>
  <c r="F17" i="2" s="1"/>
  <c r="J16" i="2"/>
  <c r="J17" i="2" s="1"/>
  <c r="N16" i="2"/>
  <c r="N17" i="2" s="1"/>
  <c r="R16" i="2"/>
  <c r="R17" i="2" s="1"/>
  <c r="V16" i="2"/>
  <c r="V17" i="2" s="1"/>
  <c r="C16" i="2"/>
  <c r="C17" i="2" s="1"/>
  <c r="G16" i="2"/>
  <c r="G17" i="2" s="1"/>
  <c r="K16" i="2"/>
  <c r="K17" i="2" s="1"/>
  <c r="O16" i="2"/>
  <c r="O17" i="2" s="1"/>
  <c r="S16" i="2"/>
  <c r="S17" i="2" s="1"/>
  <c r="W16" i="2"/>
  <c r="W17" i="2" s="1"/>
  <c r="F100" i="4"/>
  <c r="H100" i="4" s="1"/>
  <c r="E100" i="4"/>
  <c r="C100" i="4"/>
  <c r="F101" i="4"/>
  <c r="H101" i="4" s="1"/>
  <c r="E101" i="4"/>
  <c r="C101" i="4"/>
  <c r="C53" i="2" l="1"/>
  <c r="B53" i="2" s="1"/>
  <c r="B54" i="2"/>
  <c r="B17" i="2"/>
  <c r="D101" i="4"/>
  <c r="D100" i="4"/>
  <c r="F102" i="4"/>
  <c r="H102" i="4" s="1"/>
  <c r="E102" i="4"/>
  <c r="C102" i="4"/>
  <c r="F104" i="4"/>
  <c r="H104" i="4" s="1"/>
  <c r="E104" i="4"/>
  <c r="C104" i="4"/>
  <c r="D104" i="4" l="1"/>
  <c r="D102" i="4"/>
  <c r="F103" i="4"/>
  <c r="H103" i="4" s="1"/>
  <c r="E103" i="4"/>
  <c r="D103" i="4" s="1"/>
  <c r="C103" i="4"/>
  <c r="C99" i="5" l="1"/>
  <c r="F148" i="4" l="1"/>
  <c r="H148" i="4" s="1"/>
  <c r="F147" i="4"/>
  <c r="H147" i="4" s="1"/>
  <c r="F146" i="4"/>
  <c r="H146" i="4" s="1"/>
  <c r="F145" i="4"/>
  <c r="H145" i="4" s="1"/>
  <c r="F144" i="4"/>
  <c r="H144" i="4" s="1"/>
  <c r="F143" i="4"/>
  <c r="H143" i="4" s="1"/>
  <c r="F142" i="4"/>
  <c r="H142" i="4" s="1"/>
  <c r="F141" i="4"/>
  <c r="H141" i="4" s="1"/>
  <c r="F140" i="4"/>
  <c r="H140" i="4" s="1"/>
  <c r="F139" i="4"/>
  <c r="H139" i="4" s="1"/>
  <c r="F138" i="4"/>
  <c r="H138" i="4" s="1"/>
  <c r="F137" i="4"/>
  <c r="H137" i="4" s="1"/>
  <c r="F136" i="4"/>
  <c r="H136" i="4" s="1"/>
  <c r="F135" i="4"/>
  <c r="H135" i="4" s="1"/>
  <c r="F134" i="4"/>
  <c r="H134" i="4" s="1"/>
  <c r="F133" i="4"/>
  <c r="H133" i="4" s="1"/>
  <c r="F132" i="4"/>
  <c r="H132" i="4" s="1"/>
  <c r="F131" i="4"/>
  <c r="H131" i="4" s="1"/>
  <c r="F130" i="4"/>
  <c r="H130" i="4" s="1"/>
  <c r="F129" i="4"/>
  <c r="H129" i="4" s="1"/>
  <c r="F128" i="4"/>
  <c r="H128" i="4" s="1"/>
  <c r="F127" i="4"/>
  <c r="H127" i="4" s="1"/>
  <c r="F126" i="4"/>
  <c r="H126" i="4" s="1"/>
  <c r="F125" i="4"/>
  <c r="H125" i="4" s="1"/>
  <c r="F124" i="4"/>
  <c r="H124" i="4" s="1"/>
  <c r="F123" i="4"/>
  <c r="H123" i="4" s="1"/>
  <c r="F122" i="4"/>
  <c r="H122" i="4" s="1"/>
  <c r="F121" i="4"/>
  <c r="H121" i="4" s="1"/>
  <c r="F120" i="4"/>
  <c r="H120" i="4" s="1"/>
  <c r="F119" i="4"/>
  <c r="H119" i="4" s="1"/>
  <c r="F118" i="4"/>
  <c r="H118" i="4" s="1"/>
  <c r="F117" i="4"/>
  <c r="H117" i="4" s="1"/>
  <c r="F116" i="4"/>
  <c r="H116" i="4" s="1"/>
  <c r="F115" i="4"/>
  <c r="H115" i="4" s="1"/>
  <c r="F114" i="4"/>
  <c r="H114" i="4" s="1"/>
  <c r="F113" i="4"/>
  <c r="H113" i="4" s="1"/>
  <c r="F112" i="4"/>
  <c r="H112" i="4" s="1"/>
  <c r="F111" i="4"/>
  <c r="H111" i="4" s="1"/>
  <c r="F110" i="4"/>
  <c r="H110" i="4" s="1"/>
  <c r="F109" i="4"/>
  <c r="H109" i="4" s="1"/>
  <c r="F108" i="4" l="1"/>
  <c r="H108" i="4" s="1"/>
  <c r="F107" i="4"/>
  <c r="H107" i="4" s="1"/>
  <c r="F106" i="4"/>
  <c r="H106" i="4" s="1"/>
  <c r="F105" i="4"/>
  <c r="H105" i="4" s="1"/>
  <c r="C105" i="4" l="1"/>
  <c r="E148" i="4" l="1"/>
  <c r="D148" i="4" s="1"/>
  <c r="E147" i="4"/>
  <c r="D147" i="4" s="1"/>
  <c r="E146" i="4"/>
  <c r="D146" i="4" s="1"/>
  <c r="E145" i="4"/>
  <c r="D145" i="4" s="1"/>
  <c r="E144" i="4"/>
  <c r="D144" i="4" s="1"/>
  <c r="E143" i="4"/>
  <c r="D143" i="4" s="1"/>
  <c r="E142" i="4"/>
  <c r="D142" i="4" s="1"/>
  <c r="E141" i="4"/>
  <c r="D141" i="4" s="1"/>
  <c r="E140" i="4"/>
  <c r="D140" i="4" s="1"/>
  <c r="E139" i="4"/>
  <c r="D139" i="4" s="1"/>
  <c r="E138" i="4"/>
  <c r="D138" i="4" s="1"/>
  <c r="E137" i="4"/>
  <c r="D137" i="4" s="1"/>
  <c r="E136" i="4"/>
  <c r="D136" i="4" s="1"/>
  <c r="E135" i="4"/>
  <c r="D135" i="4" s="1"/>
  <c r="E134" i="4"/>
  <c r="D134" i="4" s="1"/>
  <c r="E133" i="4"/>
  <c r="D133" i="4" s="1"/>
  <c r="E132" i="4"/>
  <c r="D132" i="4" s="1"/>
  <c r="E131" i="4"/>
  <c r="D131" i="4" s="1"/>
  <c r="E130" i="4"/>
  <c r="D130" i="4" s="1"/>
  <c r="E129" i="4"/>
  <c r="D129" i="4" s="1"/>
  <c r="E128" i="4"/>
  <c r="D128" i="4" s="1"/>
  <c r="E127" i="4"/>
  <c r="D127" i="4" s="1"/>
  <c r="E126" i="4"/>
  <c r="D126" i="4" s="1"/>
  <c r="E125" i="4"/>
  <c r="D125" i="4" s="1"/>
  <c r="E124" i="4"/>
  <c r="D124" i="4" s="1"/>
  <c r="E123" i="4"/>
  <c r="D123" i="4" s="1"/>
  <c r="E122" i="4"/>
  <c r="D122" i="4" s="1"/>
  <c r="E121" i="4"/>
  <c r="D121" i="4" s="1"/>
  <c r="E120" i="4"/>
  <c r="D120" i="4" s="1"/>
  <c r="E119" i="4"/>
  <c r="D119" i="4" s="1"/>
  <c r="E118" i="4"/>
  <c r="D118" i="4" s="1"/>
  <c r="E117" i="4"/>
  <c r="D117" i="4" s="1"/>
  <c r="E116" i="4"/>
  <c r="D116" i="4" s="1"/>
  <c r="E115" i="4"/>
  <c r="D115" i="4" s="1"/>
  <c r="E114" i="4"/>
  <c r="D114" i="4" s="1"/>
  <c r="E113" i="4"/>
  <c r="D113" i="4" s="1"/>
  <c r="E112" i="4"/>
  <c r="D112" i="4" s="1"/>
  <c r="E111" i="4"/>
  <c r="D111" i="4" s="1"/>
  <c r="E110" i="4"/>
  <c r="D110" i="4" s="1"/>
  <c r="E109" i="4"/>
  <c r="D109" i="4" s="1"/>
  <c r="E108" i="4"/>
  <c r="D108" i="4" s="1"/>
  <c r="E107" i="4"/>
  <c r="D107" i="4" s="1"/>
  <c r="E106" i="4"/>
  <c r="D106" i="4" s="1"/>
  <c r="E105" i="4"/>
  <c r="D105" i="4" s="1"/>
  <c r="C148" i="4"/>
  <c r="C147" i="4" l="1"/>
  <c r="C146" i="4"/>
  <c r="C145" i="4"/>
  <c r="C144" i="4"/>
  <c r="C143" i="4"/>
  <c r="C142" i="4"/>
  <c r="C141" i="4"/>
  <c r="C140" i="4"/>
  <c r="C139" i="4"/>
  <c r="C138" i="4"/>
  <c r="C137" i="4"/>
  <c r="C136" i="4" l="1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 l="1"/>
  <c r="C106" i="4"/>
  <c r="B100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Balaguer, Ryan</author>
  </authors>
  <commentList>
    <comment ref="B16" authorId="0" shapeId="0" xr:uid="{DBD67DDC-B9D2-45F6-A39D-6257FA325135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17" authorId="0" shapeId="0" xr:uid="{8E982E21-8239-49E7-9785-52809F20C4F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18" authorId="0" shapeId="0" xr:uid="{37B016AF-A45C-4008-890E-D4A275348B4C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34" authorId="0" shapeId="0" xr:uid="{C477323C-5C95-4C74-90F9-7A1C97FDF891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35" authorId="0" shapeId="0" xr:uid="{4A597FC4-34B8-44CE-A5EE-417CCA0B6360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36" authorId="0" shapeId="0" xr:uid="{7B40135B-53CB-43CF-BB4A-1AA8EEC6143D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  <comment ref="B52" authorId="0" shapeId="0" xr:uid="{7F708A87-12D6-4684-9DCE-A5968457ECD2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SHARES
</t>
        </r>
      </text>
    </comment>
    <comment ref="B53" authorId="0" shapeId="0" xr:uid="{09696B12-4055-4DF2-BB74-8FB470271383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</t>
        </r>
      </text>
    </comment>
    <comment ref="B54" authorId="0" shapeId="0" xr:uid="{0FE6E06B-70DE-451B-BBE3-4C3E0FC3C8EE}">
      <text>
        <r>
          <rPr>
            <b/>
            <sz val="9"/>
            <color indexed="81"/>
            <rFont val="Tahoma"/>
            <family val="2"/>
          </rPr>
          <t>Balaguer, Ryan:</t>
        </r>
        <r>
          <rPr>
            <sz val="9"/>
            <color indexed="81"/>
            <rFont val="Tahoma"/>
            <family val="2"/>
          </rPr>
          <t xml:space="preserve">
TOTAL PROFIT SHARES PERCENT</t>
        </r>
      </text>
    </comment>
  </commentList>
</comments>
</file>

<file path=xl/sharedStrings.xml><?xml version="1.0" encoding="utf-8"?>
<sst xmlns="http://schemas.openxmlformats.org/spreadsheetml/2006/main" count="220" uniqueCount="81">
  <si>
    <t>ryan</t>
  </si>
  <si>
    <t>Savings</t>
  </si>
  <si>
    <t>Revenue</t>
  </si>
  <si>
    <t>Borrower</t>
  </si>
  <si>
    <t>DATE of CUTOFF</t>
  </si>
  <si>
    <t>TOTAL</t>
  </si>
  <si>
    <t>vince</t>
  </si>
  <si>
    <t>Total</t>
  </si>
  <si>
    <t>no. of list</t>
  </si>
  <si>
    <t>qrow</t>
  </si>
  <si>
    <t>Combobox</t>
  </si>
  <si>
    <t>Total Principal</t>
  </si>
  <si>
    <t>Total Interest</t>
  </si>
  <si>
    <t>Date</t>
  </si>
  <si>
    <t>Principal</t>
  </si>
  <si>
    <t>Interest</t>
  </si>
  <si>
    <t>Remaining Int</t>
  </si>
  <si>
    <t>rrow</t>
  </si>
  <si>
    <t>Interest Paid</t>
  </si>
  <si>
    <t>kenneth</t>
  </si>
  <si>
    <t>rubin</t>
  </si>
  <si>
    <t>ken</t>
  </si>
  <si>
    <t>gian</t>
  </si>
  <si>
    <t>donque</t>
  </si>
  <si>
    <t>bernard</t>
  </si>
  <si>
    <t>gina</t>
  </si>
  <si>
    <t>rowel</t>
  </si>
  <si>
    <t>leo j.</t>
  </si>
  <si>
    <t>emman r.</t>
  </si>
  <si>
    <t>jeff</t>
  </si>
  <si>
    <t>rommel c.</t>
  </si>
  <si>
    <t>guilly</t>
  </si>
  <si>
    <t>edward</t>
  </si>
  <si>
    <t>kc</t>
  </si>
  <si>
    <t>paulo</t>
  </si>
  <si>
    <t>karen</t>
  </si>
  <si>
    <t>roldan</t>
  </si>
  <si>
    <t>mark c.</t>
  </si>
  <si>
    <t>hazel</t>
  </si>
  <si>
    <t>kero</t>
  </si>
  <si>
    <t>gef</t>
  </si>
  <si>
    <t>second</t>
  </si>
  <si>
    <t>third</t>
  </si>
  <si>
    <t>fourth</t>
  </si>
  <si>
    <t>alvin</t>
  </si>
  <si>
    <t>gwgw</t>
  </si>
  <si>
    <t>gugu</t>
  </si>
  <si>
    <t>PROFIT</t>
  </si>
  <si>
    <t>2019 - 1st Half</t>
  </si>
  <si>
    <t>2019 - 2nd Half</t>
  </si>
  <si>
    <t>2013 - 2nd Half</t>
  </si>
  <si>
    <t>yrow</t>
  </si>
  <si>
    <t>arow</t>
  </si>
  <si>
    <t>2014 - 1st Half</t>
  </si>
  <si>
    <t>2014 - 2nd Half</t>
  </si>
  <si>
    <t>ON HAND</t>
  </si>
  <si>
    <t>ON BANK</t>
  </si>
  <si>
    <t>BANK 2</t>
  </si>
  <si>
    <t>BANK 3</t>
  </si>
  <si>
    <t>GCASH</t>
  </si>
  <si>
    <t>TOTAL MONEY IN POSSESSION</t>
  </si>
  <si>
    <t>Cutoff</t>
  </si>
  <si>
    <t>Percent Share</t>
  </si>
  <si>
    <t>Profit for 2013 2nd half</t>
  </si>
  <si>
    <t>Profit for 2014 2nd half</t>
  </si>
  <si>
    <t>PROFIT OVERVIEW</t>
  </si>
  <si>
    <t>Shareholders</t>
  </si>
  <si>
    <t>Profit Per Share</t>
  </si>
  <si>
    <t>Deductions</t>
  </si>
  <si>
    <t>Take Home</t>
  </si>
  <si>
    <t>TOTAL MONEY IN LENT</t>
  </si>
  <si>
    <t>KFC MONEY ON HAND</t>
  </si>
  <si>
    <t>KFC LENT MONEY</t>
  </si>
  <si>
    <t>CUT-OFF DATE</t>
  </si>
  <si>
    <t>2/28/205</t>
  </si>
  <si>
    <t>Total Percent Share</t>
  </si>
  <si>
    <t>Total Profit</t>
  </si>
  <si>
    <t>sroww</t>
  </si>
  <si>
    <t>Year(addy)</t>
  </si>
  <si>
    <t>Members(addcsav)</t>
  </si>
  <si>
    <t>copy date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</si>
</sst>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1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8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0"/>
      <color rgb="FF000000"/>
      <name val="Calibri"/>
      <family val="2"/>
    </font>
    <font>
      <sz val="11"/>
      <color theme="7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33CC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50">
    <xf numFmtId="0" fontId="0" fillId="0" borderId="0" xfId="0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/>
    <xf numFmtId="0" fontId="0" fillId="0" borderId="1" xfId="0" applyBorder="1"/>
    <xf numFmtId="0" fontId="0" fillId="4" borderId="1" xfId="0" applyFill="1" applyBorder="1"/>
    <xf numFmtId="0" fontId="2" fillId="4" borderId="1" xfId="0" applyFont="1" applyFill="1" applyBorder="1" applyAlignment="1">
      <alignment horizontal="center"/>
    </xf>
    <xf numFmtId="164" fontId="2" fillId="4" borderId="1" xfId="0" applyNumberFormat="1" applyFont="1" applyFill="1" applyBorder="1" applyAlignment="1">
      <alignment horizontal="center"/>
    </xf>
    <xf numFmtId="0" fontId="0" fillId="5" borderId="0" xfId="0" applyFill="1"/>
    <xf numFmtId="164" fontId="0" fillId="0" borderId="0" xfId="0" applyNumberFormat="1"/>
    <xf numFmtId="0" fontId="0" fillId="4" borderId="2" xfId="0" applyFill="1" applyBorder="1"/>
    <xf numFmtId="164" fontId="0" fillId="0" borderId="1" xfId="0" applyNumberFormat="1" applyBorder="1"/>
    <xf numFmtId="164" fontId="0" fillId="4" borderId="1" xfId="0" applyNumberFormat="1" applyFill="1" applyBorder="1"/>
    <xf numFmtId="0" fontId="0" fillId="6" borderId="1" xfId="0" applyFill="1" applyBorder="1"/>
    <xf numFmtId="0" fontId="0" fillId="4" borderId="0" xfId="0" applyFill="1"/>
    <xf numFmtId="0" fontId="0" fillId="7" borderId="0" xfId="0" applyFill="1"/>
    <xf numFmtId="22" fontId="0" fillId="0" borderId="1" xfId="0" applyNumberFormat="1" applyBorder="1"/>
    <xf numFmtId="0" fontId="0" fillId="8" borderId="1" xfId="0" applyFill="1" applyBorder="1"/>
    <xf numFmtId="0" fontId="0" fillId="9" borderId="1" xfId="0" applyFill="1" applyBorder="1"/>
    <xf numFmtId="22" fontId="0" fillId="4" borderId="1" xfId="0" applyNumberFormat="1" applyFill="1" applyBorder="1"/>
    <xf numFmtId="0" fontId="1" fillId="3" borderId="4" xfId="0" applyFont="1" applyFill="1" applyBorder="1"/>
    <xf numFmtId="0" fontId="3" fillId="7" borderId="1" xfId="0" applyFont="1" applyFill="1" applyBorder="1"/>
    <xf numFmtId="0" fontId="0" fillId="7" borderId="1" xfId="0" applyFill="1" applyBorder="1"/>
    <xf numFmtId="0" fontId="2" fillId="5" borderId="5" xfId="0" applyFont="1" applyFill="1" applyBorder="1" applyAlignment="1">
      <alignment horizontal="center" vertical="center"/>
    </xf>
    <xf numFmtId="0" fontId="0" fillId="10" borderId="0" xfId="0" applyFill="1"/>
    <xf numFmtId="0" fontId="0" fillId="11" borderId="0" xfId="0" applyFill="1"/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0" fillId="11" borderId="1" xfId="0" applyFill="1" applyBorder="1"/>
    <xf numFmtId="0" fontId="0" fillId="12" borderId="0" xfId="0" applyFill="1"/>
    <xf numFmtId="0" fontId="0" fillId="12" borderId="0" xfId="0" applyFill="1" applyAlignment="1">
      <alignment wrapText="1"/>
    </xf>
    <xf numFmtId="0" fontId="0" fillId="13" borderId="0" xfId="0" applyFill="1"/>
    <xf numFmtId="164" fontId="2" fillId="14" borderId="6" xfId="0" applyNumberFormat="1" applyFont="1" applyFill="1" applyBorder="1" applyAlignment="1">
      <alignment horizontal="center"/>
    </xf>
    <xf numFmtId="164" fontId="2" fillId="14" borderId="7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Border="1"/>
    <xf numFmtId="0" fontId="2" fillId="15" borderId="3" xfId="0" applyNumberFormat="1" applyFont="1" applyFill="1" applyBorder="1" applyAlignment="1">
      <alignment horizontal="center" vertical="center"/>
    </xf>
    <xf numFmtId="0" fontId="2" fillId="15" borderId="17" xfId="0" applyNumberFormat="1" applyFont="1" applyFill="1" applyBorder="1" applyAlignment="1">
      <alignment horizontal="center" vertical="center"/>
    </xf>
    <xf numFmtId="10" fontId="0" fillId="16" borderId="1" xfId="0" applyNumberFormat="1" applyFill="1" applyBorder="1"/>
    <xf numFmtId="4" fontId="0" fillId="0" borderId="1" xfId="0" applyNumberFormat="1" applyBorder="1"/>
    <xf numFmtId="0" fontId="0" fillId="0" borderId="0" xfId="0" applyAlignment="1">
      <alignment horizontal="center" vertical="center"/>
    </xf>
    <xf numFmtId="0" fontId="10" fillId="21" borderId="1" xfId="0" applyFont="1" applyFill="1" applyBorder="1" applyAlignment="1">
      <alignment horizontal="center" vertical="center"/>
    </xf>
    <xf numFmtId="0" fontId="2" fillId="21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" fillId="3" borderId="19" xfId="0" applyFont="1" applyFill="1" applyBorder="1"/>
    <xf numFmtId="164" fontId="2" fillId="4" borderId="20" xfId="0" applyNumberFormat="1" applyFont="1" applyFill="1" applyBorder="1" applyAlignment="1">
      <alignment horizontal="center"/>
    </xf>
    <xf numFmtId="0" fontId="2" fillId="5" borderId="20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4" fontId="0" fillId="0" borderId="22" xfId="0" applyNumberFormat="1" applyBorder="1"/>
    <xf numFmtId="10" fontId="0" fillId="16" borderId="22" xfId="0" applyNumberFormat="1" applyFill="1" applyBorder="1"/>
    <xf numFmtId="4" fontId="2" fillId="18" borderId="23" xfId="0" applyNumberFormat="1" applyFont="1" applyFill="1" applyBorder="1"/>
    <xf numFmtId="4" fontId="2" fillId="18" borderId="24" xfId="0" applyNumberFormat="1" applyFont="1" applyFill="1" applyBorder="1"/>
    <xf numFmtId="4" fontId="0" fillId="0" borderId="25" xfId="0" applyNumberFormat="1" applyBorder="1"/>
    <xf numFmtId="4" fontId="0" fillId="0" borderId="26" xfId="0" applyNumberFormat="1" applyBorder="1"/>
    <xf numFmtId="0" fontId="10" fillId="21" borderId="27" xfId="0" applyFont="1" applyFill="1" applyBorder="1" applyAlignment="1">
      <alignment horizontal="center" vertical="center"/>
    </xf>
    <xf numFmtId="0" fontId="2" fillId="21" borderId="27" xfId="0" applyFont="1" applyFill="1" applyBorder="1" applyAlignment="1">
      <alignment horizontal="center" vertical="center"/>
    </xf>
    <xf numFmtId="0" fontId="2" fillId="21" borderId="28" xfId="0" applyFont="1" applyFill="1" applyBorder="1" applyAlignment="1">
      <alignment horizontal="center" vertical="center"/>
    </xf>
    <xf numFmtId="0" fontId="10" fillId="21" borderId="29" xfId="0" applyFont="1" applyFill="1" applyBorder="1" applyAlignment="1">
      <alignment horizontal="center" vertical="center"/>
    </xf>
    <xf numFmtId="4" fontId="0" fillId="0" borderId="30" xfId="0" applyNumberFormat="1" applyBorder="1"/>
    <xf numFmtId="4" fontId="0" fillId="0" borderId="18" xfId="0" applyNumberFormat="1" applyBorder="1"/>
    <xf numFmtId="10" fontId="0" fillId="16" borderId="18" xfId="0" applyNumberFormat="1" applyFill="1" applyBorder="1"/>
    <xf numFmtId="4" fontId="2" fillId="18" borderId="31" xfId="0" applyNumberFormat="1" applyFont="1" applyFill="1" applyBorder="1"/>
    <xf numFmtId="0" fontId="2" fillId="0" borderId="3" xfId="0" applyFont="1" applyBorder="1" applyAlignment="1">
      <alignment horizontal="center" vertical="center"/>
    </xf>
    <xf numFmtId="4" fontId="0" fillId="17" borderId="32" xfId="0" applyNumberFormat="1" applyFill="1" applyBorder="1"/>
    <xf numFmtId="4" fontId="0" fillId="17" borderId="20" xfId="0" applyNumberFormat="1" applyFill="1" applyBorder="1"/>
    <xf numFmtId="4" fontId="0" fillId="11" borderId="20" xfId="0" applyNumberFormat="1" applyFill="1" applyBorder="1"/>
    <xf numFmtId="4" fontId="9" fillId="20" borderId="20" xfId="0" applyNumberFormat="1" applyFont="1" applyFill="1" applyBorder="1"/>
    <xf numFmtId="4" fontId="9" fillId="19" borderId="21" xfId="0" applyNumberFormat="1" applyFont="1" applyFill="1" applyBorder="1"/>
    <xf numFmtId="10" fontId="0" fillId="0" borderId="1" xfId="0" applyNumberFormat="1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/>
    </xf>
    <xf numFmtId="0" fontId="0" fillId="23" borderId="0" xfId="0" applyFill="1"/>
    <xf numFmtId="0" fontId="2" fillId="22" borderId="2" xfId="0" applyFont="1" applyFill="1" applyBorder="1" applyAlignment="1">
      <alignment horizontal="center" vertical="center"/>
    </xf>
    <xf numFmtId="4" fontId="0" fillId="0" borderId="2" xfId="0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0" fontId="0" fillId="17" borderId="0" xfId="0" applyFill="1" applyAlignment="1">
      <alignment vertical="center"/>
    </xf>
    <xf numFmtId="4" fontId="0" fillId="17" borderId="0" xfId="0" applyNumberFormat="1" applyFill="1" applyAlignment="1">
      <alignment vertical="center"/>
    </xf>
    <xf numFmtId="10" fontId="17" fillId="24" borderId="0" xfId="0" applyNumberFormat="1" applyFont="1" applyFill="1" applyAlignment="1">
      <alignment horizontal="center" vertical="center"/>
    </xf>
    <xf numFmtId="4" fontId="2" fillId="22" borderId="18" xfId="0" applyNumberFormat="1" applyFont="1" applyFill="1" applyBorder="1"/>
    <xf numFmtId="4" fontId="2" fillId="22" borderId="1" xfId="0" applyNumberFormat="1" applyFont="1" applyFill="1" applyBorder="1"/>
    <xf numFmtId="4" fontId="2" fillId="22" borderId="22" xfId="0" applyNumberFormat="1" applyFont="1" applyFill="1" applyBorder="1"/>
    <xf numFmtId="4" fontId="2" fillId="22" borderId="0" xfId="0" applyNumberFormat="1" applyFont="1" applyFill="1"/>
    <xf numFmtId="0" fontId="2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8" fillId="13" borderId="0" xfId="0" applyFont="1" applyFill="1" applyAlignment="1">
      <alignment horizontal="center" vertical="center"/>
    </xf>
    <xf numFmtId="0" fontId="8" fillId="13" borderId="12" xfId="0" applyFont="1" applyFill="1" applyBorder="1" applyAlignment="1">
      <alignment horizontal="center" vertical="center"/>
    </xf>
    <xf numFmtId="0" fontId="7" fillId="12" borderId="9" xfId="0" applyFont="1" applyFill="1" applyBorder="1" applyAlignment="1">
      <alignment horizontal="center" vertical="center"/>
    </xf>
    <xf numFmtId="0" fontId="7" fillId="12" borderId="10" xfId="0" applyFont="1" applyFill="1" applyBorder="1" applyAlignment="1">
      <alignment horizontal="center" vertical="center"/>
    </xf>
    <xf numFmtId="0" fontId="7" fillId="12" borderId="11" xfId="0" applyFont="1" applyFill="1" applyBorder="1" applyAlignment="1">
      <alignment horizontal="center" vertical="center"/>
    </xf>
    <xf numFmtId="0" fontId="7" fillId="12" borderId="4" xfId="0" applyFont="1" applyFill="1" applyBorder="1" applyAlignment="1">
      <alignment horizontal="center" vertical="center"/>
    </xf>
    <xf numFmtId="0" fontId="7" fillId="12" borderId="12" xfId="0" applyFont="1" applyFill="1" applyBorder="1" applyAlignment="1">
      <alignment horizontal="center" vertical="center"/>
    </xf>
    <xf numFmtId="0" fontId="7" fillId="12" borderId="13" xfId="0" applyFont="1" applyFill="1" applyBorder="1" applyAlignment="1">
      <alignment horizontal="center" vertical="center"/>
    </xf>
    <xf numFmtId="4" fontId="5" fillId="4" borderId="9" xfId="0" applyNumberFormat="1" applyFont="1" applyFill="1" applyBorder="1" applyAlignment="1">
      <alignment horizontal="center" vertical="center"/>
    </xf>
    <xf numFmtId="4" fontId="5" fillId="4" borderId="10" xfId="0" applyNumberFormat="1" applyFont="1" applyFill="1" applyBorder="1" applyAlignment="1">
      <alignment horizontal="center" vertical="center"/>
    </xf>
    <xf numFmtId="4" fontId="5" fillId="4" borderId="11" xfId="0" applyNumberFormat="1" applyFont="1" applyFill="1" applyBorder="1" applyAlignment="1">
      <alignment horizontal="center" vertical="center"/>
    </xf>
    <xf numFmtId="4" fontId="5" fillId="4" borderId="4" xfId="0" applyNumberFormat="1" applyFont="1" applyFill="1" applyBorder="1" applyAlignment="1">
      <alignment horizontal="center" vertical="center"/>
    </xf>
    <xf numFmtId="4" fontId="5" fillId="4" borderId="12" xfId="0" applyNumberFormat="1" applyFont="1" applyFill="1" applyBorder="1" applyAlignment="1">
      <alignment horizontal="center" vertical="center"/>
    </xf>
    <xf numFmtId="4" fontId="5" fillId="4" borderId="13" xfId="0" applyNumberFormat="1" applyFont="1" applyFill="1" applyBorder="1" applyAlignment="1">
      <alignment horizontal="center" vertical="center"/>
    </xf>
    <xf numFmtId="0" fontId="4" fillId="12" borderId="14" xfId="0" applyFont="1" applyFill="1" applyBorder="1" applyAlignment="1">
      <alignment horizontal="center"/>
    </xf>
    <xf numFmtId="0" fontId="4" fillId="12" borderId="15" xfId="0" applyFont="1" applyFill="1" applyBorder="1" applyAlignment="1">
      <alignment horizontal="center"/>
    </xf>
    <xf numFmtId="0" fontId="4" fillId="12" borderId="16" xfId="0" applyFont="1" applyFill="1" applyBorder="1" applyAlignment="1">
      <alignment horizontal="center"/>
    </xf>
    <xf numFmtId="4" fontId="0" fillId="4" borderId="14" xfId="0" applyNumberFormat="1" applyFill="1" applyBorder="1" applyAlignment="1">
      <alignment horizontal="center"/>
    </xf>
    <xf numFmtId="4" fontId="0" fillId="4" borderId="15" xfId="0" applyNumberFormat="1" applyFill="1" applyBorder="1" applyAlignment="1">
      <alignment horizontal="center"/>
    </xf>
    <xf numFmtId="4" fontId="0" fillId="4" borderId="16" xfId="0" applyNumberFormat="1" applyFill="1" applyBorder="1" applyAlignment="1">
      <alignment horizontal="center"/>
    </xf>
    <xf numFmtId="0" fontId="6" fillId="12" borderId="9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4" xfId="0" applyFont="1" applyFill="1" applyBorder="1" applyAlignment="1">
      <alignment horizontal="center" vertical="center"/>
    </xf>
    <xf numFmtId="0" fontId="6" fillId="12" borderId="12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15" fillId="11" borderId="9" xfId="0" applyFont="1" applyFill="1" applyBorder="1" applyAlignment="1">
      <alignment horizontal="center" vertical="center"/>
    </xf>
    <xf numFmtId="0" fontId="15" fillId="11" borderId="11" xfId="0" applyFont="1" applyFill="1" applyBorder="1" applyAlignment="1">
      <alignment horizontal="center" vertical="center"/>
    </xf>
    <xf numFmtId="0" fontId="15" fillId="11" borderId="4" xfId="0" applyFont="1" applyFill="1" applyBorder="1" applyAlignment="1">
      <alignment horizontal="center" vertical="center"/>
    </xf>
    <xf numFmtId="0" fontId="15" fillId="11" borderId="13" xfId="0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4" fillId="5" borderId="9" xfId="0" applyFont="1" applyFill="1" applyBorder="1" applyAlignment="1">
      <alignment horizontal="center" vertical="center"/>
    </xf>
    <xf numFmtId="0" fontId="14" fillId="5" borderId="10" xfId="0" applyFont="1" applyFill="1" applyBorder="1" applyAlignment="1">
      <alignment horizontal="center" vertical="center"/>
    </xf>
    <xf numFmtId="0" fontId="14" fillId="5" borderId="11" xfId="0" applyFont="1" applyFill="1" applyBorder="1" applyAlignment="1">
      <alignment horizontal="center" vertical="center"/>
    </xf>
    <xf numFmtId="0" fontId="14" fillId="5" borderId="4" xfId="0" applyFont="1" applyFill="1" applyBorder="1" applyAlignment="1">
      <alignment horizontal="center" vertical="center"/>
    </xf>
    <xf numFmtId="0" fontId="14" fillId="5" borderId="12" xfId="0" applyFont="1" applyFill="1" applyBorder="1" applyAlignment="1">
      <alignment horizontal="center" vertical="center"/>
    </xf>
    <xf numFmtId="0" fontId="14" fillId="5" borderId="13" xfId="0" applyFont="1" applyFill="1" applyBorder="1" applyAlignment="1">
      <alignment horizontal="center" vertical="center"/>
    </xf>
    <xf numFmtId="0" fontId="14" fillId="18" borderId="9" xfId="0" applyFont="1" applyFill="1" applyBorder="1" applyAlignment="1">
      <alignment horizontal="center" vertical="center"/>
    </xf>
    <xf numFmtId="0" fontId="14" fillId="18" borderId="10" xfId="0" applyFont="1" applyFill="1" applyBorder="1" applyAlignment="1">
      <alignment horizontal="center" vertical="center"/>
    </xf>
    <xf numFmtId="0" fontId="14" fillId="18" borderId="11" xfId="0" applyFont="1" applyFill="1" applyBorder="1" applyAlignment="1">
      <alignment horizontal="center" vertical="center"/>
    </xf>
    <xf numFmtId="0" fontId="14" fillId="18" borderId="4" xfId="0" applyFont="1" applyFill="1" applyBorder="1" applyAlignment="1">
      <alignment horizontal="center" vertical="center"/>
    </xf>
    <xf numFmtId="0" fontId="14" fillId="18" borderId="12" xfId="0" applyFont="1" applyFill="1" applyBorder="1" applyAlignment="1">
      <alignment horizontal="center" vertical="center"/>
    </xf>
    <xf numFmtId="0" fontId="14" fillId="18" borderId="13" xfId="0" applyFont="1" applyFill="1" applyBorder="1" applyAlignment="1">
      <alignment horizontal="center" vertical="center"/>
    </xf>
    <xf numFmtId="10" fontId="13" fillId="0" borderId="9" xfId="0" applyNumberFormat="1" applyFont="1" applyBorder="1" applyAlignment="1">
      <alignment horizontal="center" vertical="center"/>
    </xf>
    <xf numFmtId="10" fontId="13" fillId="0" borderId="11" xfId="0" applyNumberFormat="1" applyFont="1" applyBorder="1" applyAlignment="1">
      <alignment horizontal="center" vertical="center"/>
    </xf>
    <xf numFmtId="10" fontId="13" fillId="0" borderId="4" xfId="0" applyNumberFormat="1" applyFont="1" applyBorder="1" applyAlignment="1">
      <alignment horizontal="center" vertical="center"/>
    </xf>
    <xf numFmtId="10" fontId="13" fillId="0" borderId="13" xfId="0" applyNumberFormat="1" applyFont="1" applyBorder="1" applyAlignment="1">
      <alignment horizontal="center" vertical="center"/>
    </xf>
    <xf numFmtId="0" fontId="2" fillId="26" borderId="0" xfId="0" applyFont="1" applyFill="1"/>
    <xf numFmtId="0" fontId="0" fillId="26" borderId="0" xfId="0" applyFill="1"/>
    <xf numFmtId="0" fontId="0" fillId="25" borderId="0" xfId="0" applyFill="1"/>
    <xf numFmtId="0" fontId="2" fillId="27" borderId="0" xfId="0" applyFont="1" applyFill="1"/>
    <xf numFmtId="0" fontId="2" fillId="28" borderId="0" xfId="0" applyFont="1" applyFill="1"/>
    <xf numFmtId="0" fontId="18" fillId="20" borderId="9" xfId="0" applyFont="1" applyFill="1" applyBorder="1" applyAlignment="1">
      <alignment horizontal="center" vertical="center"/>
    </xf>
    <xf numFmtId="0" fontId="18" fillId="20" borderId="10" xfId="0" applyFont="1" applyFill="1" applyBorder="1" applyAlignment="1">
      <alignment horizontal="center" vertical="center"/>
    </xf>
    <xf numFmtId="0" fontId="18" fillId="20" borderId="11" xfId="0" applyFont="1" applyFill="1" applyBorder="1" applyAlignment="1">
      <alignment horizontal="center" vertical="center"/>
    </xf>
    <xf numFmtId="0" fontId="18" fillId="20" borderId="33" xfId="0" applyFont="1" applyFill="1" applyBorder="1" applyAlignment="1">
      <alignment horizontal="center" vertical="center"/>
    </xf>
    <xf numFmtId="0" fontId="18" fillId="20" borderId="0" xfId="0" applyFont="1" applyFill="1" applyBorder="1" applyAlignment="1">
      <alignment horizontal="center" vertical="center"/>
    </xf>
    <xf numFmtId="0" fontId="18" fillId="20" borderId="12" xfId="0" applyFont="1" applyFill="1" applyBorder="1" applyAlignment="1">
      <alignment horizontal="center" vertical="center"/>
    </xf>
    <xf numFmtId="0" fontId="18" fillId="20" borderId="1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FF00"/>
      <color rgb="FFFF33CC"/>
      <color rgb="FF66FFFF"/>
      <color rgb="FFFF5B5B"/>
      <color rgb="FFFF3B3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241012</xdr:colOff>
      <xdr:row>0</xdr:row>
      <xdr:rowOff>38100</xdr:rowOff>
    </xdr:from>
    <xdr:ext cx="184731" cy="1532214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393787" y="38100"/>
          <a:ext cx="184731" cy="153221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endParaRPr lang="en-US" sz="8800" b="1" strike="noStrike" cap="none" spc="0" baseline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Ebrima" panose="02000000000000000000" pitchFamily="2" charset="0"/>
            <a:ea typeface="Ebrima" panose="02000000000000000000" pitchFamily="2" charset="0"/>
            <a:cs typeface="Ebrima" panose="02000000000000000000" pitchFamily="2" charset="0"/>
          </a:endParaRPr>
        </a:p>
      </xdr:txBody>
    </xdr:sp>
    <xdr:clientData/>
  </xdr:oneCellAnchor>
  <xdr:oneCellAnchor>
    <xdr:from>
      <xdr:col>5</xdr:col>
      <xdr:colOff>77357</xdr:colOff>
      <xdr:row>7</xdr:row>
      <xdr:rowOff>85726</xdr:rowOff>
    </xdr:from>
    <xdr:ext cx="1940788" cy="108585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20532" y="1419226"/>
          <a:ext cx="1940788" cy="1085850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endParaRPr lang="en-US" sz="3600" b="1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oneCellAnchor>
  <xdr:twoCellAnchor editAs="oneCell">
    <xdr:from>
      <xdr:col>1</xdr:col>
      <xdr:colOff>93901</xdr:colOff>
      <xdr:row>1</xdr:row>
      <xdr:rowOff>50881</xdr:rowOff>
    </xdr:from>
    <xdr:to>
      <xdr:col>4</xdr:col>
      <xdr:colOff>219075</xdr:colOff>
      <xdr:row>19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551" y="241381"/>
          <a:ext cx="1811099" cy="35590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533400</xdr:colOff>
          <xdr:row>13</xdr:row>
          <xdr:rowOff>85725</xdr:rowOff>
        </xdr:from>
        <xdr:to>
          <xdr:col>9</xdr:col>
          <xdr:colOff>381000</xdr:colOff>
          <xdr:row>15</xdr:row>
          <xdr:rowOff>85725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542925</xdr:colOff>
          <xdr:row>16</xdr:row>
          <xdr:rowOff>66675</xdr:rowOff>
        </xdr:from>
        <xdr:to>
          <xdr:col>9</xdr:col>
          <xdr:colOff>390525</xdr:colOff>
          <xdr:row>18</xdr:row>
          <xdr:rowOff>76200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352426</xdr:colOff>
      <xdr:row>2</xdr:row>
      <xdr:rowOff>22800</xdr:rowOff>
    </xdr:from>
    <xdr:to>
      <xdr:col>11</xdr:col>
      <xdr:colOff>123163</xdr:colOff>
      <xdr:row>11</xdr:row>
      <xdr:rowOff>152400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1" y="403800"/>
          <a:ext cx="3780762" cy="19012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6</xdr:row>
          <xdr:rowOff>114300</xdr:rowOff>
        </xdr:from>
        <xdr:to>
          <xdr:col>8</xdr:col>
          <xdr:colOff>466725</xdr:colOff>
          <xdr:row>12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21"/>
  <sheetViews>
    <sheetView tabSelected="1" topLeftCell="G1" workbookViewId="0">
      <selection activeCell="L26" sqref="L26"/>
    </sheetView>
  </sheetViews>
  <sheetFormatPr defaultRowHeight="15" x14ac:dyDescent="0.25"/>
  <cols>
    <col min="1" max="1" width="2.85546875" customWidth="1"/>
    <col min="3" max="3" width="7" customWidth="1"/>
    <col min="7" max="7" width="5.28515625" customWidth="1"/>
    <col min="13" max="13" width="2.85546875" customWidth="1"/>
    <col min="15" max="15" width="2.85546875" customWidth="1"/>
    <col min="26" max="26" width="2.85546875" customWidth="1"/>
    <col min="28" max="28" width="2.85546875" customWidth="1"/>
    <col min="39" max="39" width="2.85546875" customWidth="1"/>
  </cols>
  <sheetData>
    <row r="1" spans="1:39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O1" s="30"/>
      <c r="P1" s="30"/>
      <c r="Q1" s="30"/>
      <c r="R1" s="30"/>
      <c r="S1" s="30"/>
      <c r="T1" s="30"/>
      <c r="U1" s="30"/>
      <c r="V1" s="30"/>
      <c r="W1" s="30"/>
      <c r="X1" s="30"/>
      <c r="Y1" s="30"/>
      <c r="Z1" s="30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</row>
    <row r="2" spans="1:39" x14ac:dyDescent="0.25">
      <c r="A2" s="30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30"/>
      <c r="O2" s="30"/>
      <c r="P2" s="32"/>
      <c r="Q2" s="32"/>
      <c r="R2" s="88" t="s">
        <v>71</v>
      </c>
      <c r="S2" s="88"/>
      <c r="T2" s="88"/>
      <c r="U2" s="88"/>
      <c r="V2" s="88"/>
      <c r="W2" s="88"/>
      <c r="X2" s="32"/>
      <c r="Y2" s="32"/>
      <c r="Z2" s="30"/>
      <c r="AB2" s="74"/>
      <c r="AC2" s="32"/>
      <c r="AD2" s="32"/>
      <c r="AE2" s="88" t="s">
        <v>72</v>
      </c>
      <c r="AF2" s="88"/>
      <c r="AG2" s="88"/>
      <c r="AH2" s="88"/>
      <c r="AI2" s="88"/>
      <c r="AJ2" s="88"/>
      <c r="AK2" s="32"/>
      <c r="AL2" s="32"/>
      <c r="AM2" s="74"/>
    </row>
    <row r="3" spans="1:39" ht="15.75" thickBot="1" x14ac:dyDescent="0.3">
      <c r="A3" s="30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30"/>
      <c r="O3" s="30"/>
      <c r="P3" s="32"/>
      <c r="Q3" s="32"/>
      <c r="R3" s="89"/>
      <c r="S3" s="89"/>
      <c r="T3" s="89"/>
      <c r="U3" s="89"/>
      <c r="V3" s="89"/>
      <c r="W3" s="89"/>
      <c r="X3" s="32"/>
      <c r="Y3" s="32"/>
      <c r="Z3" s="30"/>
      <c r="AB3" s="74"/>
      <c r="AC3" s="32"/>
      <c r="AD3" s="32"/>
      <c r="AE3" s="89"/>
      <c r="AF3" s="89"/>
      <c r="AG3" s="89"/>
      <c r="AH3" s="89"/>
      <c r="AI3" s="89"/>
      <c r="AJ3" s="89"/>
      <c r="AK3" s="32"/>
      <c r="AL3" s="32"/>
      <c r="AM3" s="74"/>
    </row>
    <row r="4" spans="1:39" x14ac:dyDescent="0.25">
      <c r="A4" s="30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30"/>
      <c r="O4" s="30"/>
      <c r="P4" s="32"/>
      <c r="Q4" s="90" t="s">
        <v>60</v>
      </c>
      <c r="R4" s="91"/>
      <c r="S4" s="91"/>
      <c r="T4" s="92"/>
      <c r="U4" s="96">
        <f>U7 +U10</f>
        <v>1143000</v>
      </c>
      <c r="V4" s="97"/>
      <c r="W4" s="97"/>
      <c r="X4" s="98"/>
      <c r="Y4" s="32"/>
      <c r="Z4" s="30"/>
      <c r="AB4" s="74"/>
      <c r="AC4" s="32"/>
      <c r="AD4" s="90" t="s">
        <v>70</v>
      </c>
      <c r="AE4" s="91"/>
      <c r="AF4" s="91"/>
      <c r="AG4" s="92"/>
      <c r="AH4" s="96">
        <v>980000</v>
      </c>
      <c r="AI4" s="97"/>
      <c r="AJ4" s="97"/>
      <c r="AK4" s="98"/>
      <c r="AL4" s="32"/>
      <c r="AM4" s="74"/>
    </row>
    <row r="5" spans="1:39" ht="15.75" thickBot="1" x14ac:dyDescent="0.3">
      <c r="A5" s="30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30"/>
      <c r="O5" s="30"/>
      <c r="P5" s="32"/>
      <c r="Q5" s="93"/>
      <c r="R5" s="94"/>
      <c r="S5" s="94"/>
      <c r="T5" s="95"/>
      <c r="U5" s="99"/>
      <c r="V5" s="100"/>
      <c r="W5" s="100"/>
      <c r="X5" s="101"/>
      <c r="Y5" s="32"/>
      <c r="Z5" s="30"/>
      <c r="AB5" s="74"/>
      <c r="AC5" s="32"/>
      <c r="AD5" s="93"/>
      <c r="AE5" s="94"/>
      <c r="AF5" s="94"/>
      <c r="AG5" s="95"/>
      <c r="AH5" s="99"/>
      <c r="AI5" s="100"/>
      <c r="AJ5" s="100"/>
      <c r="AK5" s="101"/>
      <c r="AL5" s="32"/>
      <c r="AM5" s="74"/>
    </row>
    <row r="6" spans="1:39" ht="15.75" thickBot="1" x14ac:dyDescent="0.3">
      <c r="A6" s="30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30"/>
      <c r="O6" s="30"/>
      <c r="P6" s="32"/>
      <c r="Q6" s="32"/>
      <c r="R6" s="32"/>
      <c r="S6" s="32"/>
      <c r="T6" s="32"/>
      <c r="U6" s="32"/>
      <c r="V6" s="32"/>
      <c r="W6" s="32"/>
      <c r="X6" s="32"/>
      <c r="Y6" s="32"/>
      <c r="Z6" s="30"/>
      <c r="AB6" s="74"/>
      <c r="AC6" s="32"/>
      <c r="AD6" s="32"/>
      <c r="AE6" s="32"/>
      <c r="AF6" s="32"/>
      <c r="AG6" s="32"/>
      <c r="AH6" s="32"/>
      <c r="AI6" s="32"/>
      <c r="AJ6" s="32"/>
      <c r="AK6" s="32"/>
      <c r="AL6" s="32"/>
      <c r="AM6" s="74"/>
    </row>
    <row r="7" spans="1:39" x14ac:dyDescent="0.25">
      <c r="A7" s="30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30"/>
      <c r="O7" s="30"/>
      <c r="P7" s="32"/>
      <c r="Q7" s="108" t="s">
        <v>55</v>
      </c>
      <c r="R7" s="109"/>
      <c r="S7" s="109"/>
      <c r="T7" s="110"/>
      <c r="U7" s="96">
        <v>243000</v>
      </c>
      <c r="V7" s="97"/>
      <c r="W7" s="97"/>
      <c r="X7" s="98"/>
      <c r="Y7" s="32"/>
      <c r="Z7" s="30"/>
      <c r="AB7" s="74"/>
      <c r="AC7" s="32"/>
      <c r="AD7" s="32"/>
      <c r="AE7" s="32"/>
      <c r="AF7" s="32"/>
      <c r="AG7" s="32"/>
      <c r="AH7" s="32"/>
      <c r="AI7" s="32"/>
      <c r="AJ7" s="32"/>
      <c r="AK7" s="32"/>
      <c r="AL7" s="32"/>
      <c r="AM7" s="74"/>
    </row>
    <row r="8" spans="1:39" ht="15.75" thickBot="1" x14ac:dyDescent="0.3">
      <c r="A8" s="30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30"/>
      <c r="O8" s="30"/>
      <c r="P8" s="32"/>
      <c r="Q8" s="111"/>
      <c r="R8" s="112"/>
      <c r="S8" s="112"/>
      <c r="T8" s="113"/>
      <c r="U8" s="99"/>
      <c r="V8" s="100"/>
      <c r="W8" s="100"/>
      <c r="X8" s="101"/>
      <c r="Y8" s="32"/>
      <c r="Z8" s="30"/>
      <c r="AB8" s="74"/>
      <c r="AC8" s="32"/>
      <c r="AD8" s="32"/>
      <c r="AE8" s="32"/>
      <c r="AF8" s="32"/>
      <c r="AG8" s="32"/>
      <c r="AH8" s="32"/>
      <c r="AI8" s="32"/>
      <c r="AJ8" s="32"/>
      <c r="AK8" s="32"/>
      <c r="AL8" s="32"/>
      <c r="AM8" s="74"/>
    </row>
    <row r="9" spans="1:39" ht="15.75" thickBot="1" x14ac:dyDescent="0.3">
      <c r="A9" s="30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30"/>
      <c r="O9" s="30"/>
      <c r="P9" s="32"/>
      <c r="Q9" s="32"/>
      <c r="R9" s="32"/>
      <c r="S9" s="32"/>
      <c r="T9" s="32"/>
      <c r="U9" s="32"/>
      <c r="V9" s="32"/>
      <c r="W9" s="32"/>
      <c r="X9" s="32"/>
      <c r="Y9" s="32"/>
      <c r="Z9" s="30"/>
      <c r="AB9" s="74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74"/>
    </row>
    <row r="10" spans="1:39" x14ac:dyDescent="0.25">
      <c r="A10" s="30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30"/>
      <c r="O10" s="31"/>
      <c r="P10" s="32"/>
      <c r="Q10" s="108" t="s">
        <v>56</v>
      </c>
      <c r="R10" s="109"/>
      <c r="S10" s="109"/>
      <c r="T10" s="110"/>
      <c r="U10" s="96">
        <v>900000</v>
      </c>
      <c r="V10" s="97"/>
      <c r="W10" s="97"/>
      <c r="X10" s="98"/>
      <c r="Y10" s="32"/>
      <c r="Z10" s="30"/>
      <c r="AB10" s="74"/>
      <c r="AC10" s="32"/>
      <c r="AD10" s="32"/>
      <c r="AE10" s="32"/>
      <c r="AF10" s="32"/>
      <c r="AG10" s="32"/>
      <c r="AH10" s="32"/>
      <c r="AI10" s="32"/>
      <c r="AJ10" s="32"/>
      <c r="AK10" s="32"/>
      <c r="AL10" s="32"/>
      <c r="AM10" s="74"/>
    </row>
    <row r="11" spans="1:39" ht="15.75" thickBot="1" x14ac:dyDescent="0.3">
      <c r="A11" s="30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30"/>
      <c r="O11" s="30"/>
      <c r="P11" s="32"/>
      <c r="Q11" s="111"/>
      <c r="R11" s="112"/>
      <c r="S11" s="112"/>
      <c r="T11" s="113"/>
      <c r="U11" s="99"/>
      <c r="V11" s="100"/>
      <c r="W11" s="100"/>
      <c r="X11" s="101"/>
      <c r="Y11" s="32"/>
      <c r="Z11" s="30"/>
      <c r="AB11" s="74"/>
      <c r="AC11" s="32"/>
      <c r="AD11" s="32"/>
      <c r="AE11" s="32"/>
      <c r="AF11" s="32"/>
      <c r="AG11" s="32"/>
      <c r="AH11" s="32"/>
      <c r="AI11" s="32"/>
      <c r="AJ11" s="32"/>
      <c r="AK11" s="32"/>
      <c r="AL11" s="32"/>
      <c r="AM11" s="74"/>
    </row>
    <row r="12" spans="1:39" ht="15.75" thickBot="1" x14ac:dyDescent="0.3">
      <c r="A12" s="30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30"/>
      <c r="O12" s="30"/>
      <c r="P12" s="32"/>
      <c r="Q12" s="32"/>
      <c r="R12" s="32"/>
      <c r="S12" s="32"/>
      <c r="T12" s="32"/>
      <c r="U12" s="32"/>
      <c r="V12" s="32"/>
      <c r="W12" s="32"/>
      <c r="X12" s="32"/>
      <c r="Y12" s="32"/>
      <c r="Z12" s="30"/>
      <c r="AB12" s="74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74"/>
    </row>
    <row r="13" spans="1:39" ht="15.75" thickBot="1" x14ac:dyDescent="0.3">
      <c r="A13" s="30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30"/>
      <c r="O13" s="30"/>
      <c r="P13" s="32"/>
      <c r="Q13" s="32"/>
      <c r="R13" s="102" t="s">
        <v>59</v>
      </c>
      <c r="S13" s="103"/>
      <c r="T13" s="104"/>
      <c r="U13" s="105">
        <v>300000</v>
      </c>
      <c r="V13" s="106"/>
      <c r="W13" s="107"/>
      <c r="X13" s="32"/>
      <c r="Y13" s="32"/>
      <c r="Z13" s="30"/>
      <c r="AB13" s="74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74"/>
    </row>
    <row r="14" spans="1:39" ht="15.75" thickBot="1" x14ac:dyDescent="0.3">
      <c r="A14" s="30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30"/>
      <c r="O14" s="30"/>
      <c r="P14" s="32"/>
      <c r="Q14" s="32"/>
      <c r="R14" s="32"/>
      <c r="S14" s="32"/>
      <c r="T14" s="32"/>
      <c r="U14" s="32"/>
      <c r="V14" s="32"/>
      <c r="W14" s="32"/>
      <c r="X14" s="32"/>
      <c r="Y14" s="32"/>
      <c r="Z14" s="30"/>
      <c r="AB14" s="74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74"/>
    </row>
    <row r="15" spans="1:39" ht="15.75" thickBot="1" x14ac:dyDescent="0.3">
      <c r="A15" s="30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30"/>
      <c r="O15" s="30"/>
      <c r="P15" s="32"/>
      <c r="Q15" s="32"/>
      <c r="R15" s="102" t="s">
        <v>57</v>
      </c>
      <c r="S15" s="103"/>
      <c r="T15" s="104"/>
      <c r="U15" s="105">
        <v>300000</v>
      </c>
      <c r="V15" s="106"/>
      <c r="W15" s="107"/>
      <c r="X15" s="32"/>
      <c r="Y15" s="32"/>
      <c r="Z15" s="30"/>
      <c r="AB15" s="74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74"/>
    </row>
    <row r="16" spans="1:39" ht="15.75" thickBot="1" x14ac:dyDescent="0.3">
      <c r="A16" s="30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30"/>
      <c r="O16" s="30"/>
      <c r="P16" s="32"/>
      <c r="Q16" s="32"/>
      <c r="R16" s="32"/>
      <c r="S16" s="32"/>
      <c r="T16" s="32"/>
      <c r="U16" s="32"/>
      <c r="V16" s="32"/>
      <c r="W16" s="32"/>
      <c r="X16" s="32"/>
      <c r="Y16" s="32"/>
      <c r="Z16" s="30"/>
      <c r="AB16" s="74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74"/>
    </row>
    <row r="17" spans="1:39" ht="15.75" thickBot="1" x14ac:dyDescent="0.3">
      <c r="A17" s="30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30"/>
      <c r="O17" s="30"/>
      <c r="P17" s="32"/>
      <c r="Q17" s="32"/>
      <c r="R17" s="102" t="s">
        <v>58</v>
      </c>
      <c r="S17" s="103"/>
      <c r="T17" s="104"/>
      <c r="U17" s="105">
        <v>300000</v>
      </c>
      <c r="V17" s="106"/>
      <c r="W17" s="107"/>
      <c r="X17" s="32"/>
      <c r="Y17" s="32"/>
      <c r="Z17" s="30"/>
      <c r="AB17" s="74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74"/>
    </row>
    <row r="18" spans="1:39" x14ac:dyDescent="0.25">
      <c r="A18" s="30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30"/>
      <c r="O18" s="30"/>
      <c r="P18" s="32"/>
      <c r="Q18" s="32"/>
      <c r="R18" s="32"/>
      <c r="S18" s="32"/>
      <c r="T18" s="32"/>
      <c r="U18" s="32"/>
      <c r="V18" s="32"/>
      <c r="W18" s="32"/>
      <c r="X18" s="32"/>
      <c r="Y18" s="32"/>
      <c r="Z18" s="30"/>
      <c r="AB18" s="74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74"/>
    </row>
    <row r="19" spans="1:39" x14ac:dyDescent="0.25">
      <c r="A19" s="30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30"/>
      <c r="O19" s="30"/>
      <c r="P19" s="32"/>
      <c r="Q19" s="32"/>
      <c r="R19" s="32"/>
      <c r="S19" s="32"/>
      <c r="T19" s="32"/>
      <c r="U19" s="32"/>
      <c r="V19" s="32"/>
      <c r="W19" s="32"/>
      <c r="X19" s="32"/>
      <c r="Y19" s="32"/>
      <c r="Z19" s="30"/>
      <c r="AB19" s="74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74"/>
    </row>
    <row r="20" spans="1:39" x14ac:dyDescent="0.25">
      <c r="A20" s="30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30"/>
      <c r="O20" s="30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0"/>
      <c r="AB20" s="74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74"/>
    </row>
    <row r="21" spans="1:39" x14ac:dyDescent="0.25">
      <c r="A21" s="30"/>
      <c r="B21" s="30"/>
      <c r="C21" s="30"/>
      <c r="D21" s="30"/>
      <c r="E21" s="30"/>
      <c r="F21" s="30"/>
      <c r="G21" s="30"/>
      <c r="H21" s="30"/>
      <c r="I21" s="30"/>
      <c r="J21" s="30"/>
      <c r="K21" s="30"/>
      <c r="L21" s="30"/>
      <c r="M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</row>
  </sheetData>
  <mergeCells count="16">
    <mergeCell ref="R15:T15"/>
    <mergeCell ref="U15:W15"/>
    <mergeCell ref="R17:T17"/>
    <mergeCell ref="U17:W17"/>
    <mergeCell ref="Q4:T5"/>
    <mergeCell ref="U4:X5"/>
    <mergeCell ref="Q7:T8"/>
    <mergeCell ref="Q10:T11"/>
    <mergeCell ref="U7:X8"/>
    <mergeCell ref="U10:X11"/>
    <mergeCell ref="AE2:AJ3"/>
    <mergeCell ref="AD4:AG5"/>
    <mergeCell ref="AH4:AK5"/>
    <mergeCell ref="R2:W3"/>
    <mergeCell ref="R13:T13"/>
    <mergeCell ref="U13:W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5</xdr:col>
                <xdr:colOff>533400</xdr:colOff>
                <xdr:row>13</xdr:row>
                <xdr:rowOff>85725</xdr:rowOff>
              </from>
              <to>
                <xdr:col>9</xdr:col>
                <xdr:colOff>381000</xdr:colOff>
                <xdr:row>15</xdr:row>
                <xdr:rowOff>85725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5</xdr:col>
                <xdr:colOff>542925</xdr:colOff>
                <xdr:row>16</xdr:row>
                <xdr:rowOff>66675</xdr:rowOff>
              </from>
              <to>
                <xdr:col>9</xdr:col>
                <xdr:colOff>390525</xdr:colOff>
                <xdr:row>18</xdr:row>
                <xdr:rowOff>76200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129"/>
  <sheetViews>
    <sheetView zoomScale="85" zoomScaleNormal="85" workbookViewId="0"/>
  </sheetViews>
  <sheetFormatPr defaultRowHeight="15" x14ac:dyDescent="0.25"/>
  <cols>
    <col min="1" max="1" width="23" style="35" customWidth="1"/>
    <col min="2" max="2" width="14.7109375" customWidth="1"/>
    <col min="3" max="3" width="11.85546875" bestFit="1" customWidth="1"/>
    <col min="4" max="4" width="10.28515625" bestFit="1" customWidth="1"/>
    <col min="5" max="5" width="10.140625" bestFit="1" customWidth="1"/>
    <col min="6" max="7" width="11.7109375" bestFit="1" customWidth="1"/>
    <col min="8" max="8" width="10.140625" bestFit="1" customWidth="1"/>
    <col min="9" max="9" width="11.7109375" bestFit="1" customWidth="1"/>
    <col min="10" max="10" width="9.28515625" bestFit="1" customWidth="1"/>
    <col min="11" max="11" width="11.7109375" bestFit="1" customWidth="1"/>
    <col min="12" max="14" width="10.140625" bestFit="1" customWidth="1"/>
    <col min="15" max="15" width="10.28515625" bestFit="1" customWidth="1"/>
    <col min="16" max="16" width="10.140625" bestFit="1" customWidth="1"/>
    <col min="17" max="17" width="11.7109375" bestFit="1" customWidth="1"/>
    <col min="18" max="18" width="10.140625" bestFit="1" customWidth="1"/>
    <col min="19" max="20" width="11.7109375" bestFit="1" customWidth="1"/>
    <col min="21" max="25" width="10.140625" bestFit="1" customWidth="1"/>
    <col min="26" max="26" width="11.42578125" customWidth="1"/>
    <col min="27" max="27" width="12.28515625" customWidth="1"/>
    <col min="32" max="32" width="13.140625" customWidth="1"/>
  </cols>
  <sheetData>
    <row r="1" spans="1:27" ht="15.75" thickBot="1" x14ac:dyDescent="0.3">
      <c r="A1" s="38" t="s">
        <v>50</v>
      </c>
    </row>
    <row r="2" spans="1:27" ht="15.75" thickBot="1" x14ac:dyDescent="0.3">
      <c r="A2" s="46" t="s">
        <v>4</v>
      </c>
      <c r="B2" s="65" t="s">
        <v>47</v>
      </c>
      <c r="C2" s="60" t="s">
        <v>21</v>
      </c>
      <c r="D2" s="57" t="s">
        <v>22</v>
      </c>
      <c r="E2" s="58" t="s">
        <v>23</v>
      </c>
      <c r="F2" s="58" t="s">
        <v>24</v>
      </c>
      <c r="G2" s="58" t="s">
        <v>25</v>
      </c>
      <c r="H2" s="58" t="s">
        <v>26</v>
      </c>
      <c r="I2" s="58" t="s">
        <v>27</v>
      </c>
      <c r="J2" s="58" t="s">
        <v>28</v>
      </c>
      <c r="K2" s="58" t="s">
        <v>29</v>
      </c>
      <c r="L2" s="58" t="s">
        <v>20</v>
      </c>
      <c r="M2" s="58" t="s">
        <v>30</v>
      </c>
      <c r="N2" s="58" t="s">
        <v>31</v>
      </c>
      <c r="O2" s="58" t="s">
        <v>32</v>
      </c>
      <c r="P2" s="58" t="s">
        <v>33</v>
      </c>
      <c r="Q2" s="58" t="s">
        <v>34</v>
      </c>
      <c r="R2" s="58" t="s">
        <v>35</v>
      </c>
      <c r="S2" s="58" t="s">
        <v>36</v>
      </c>
      <c r="T2" s="58" t="s">
        <v>37</v>
      </c>
      <c r="U2" s="58" t="s">
        <v>6</v>
      </c>
      <c r="V2" s="58" t="s">
        <v>0</v>
      </c>
      <c r="W2" s="58" t="s">
        <v>38</v>
      </c>
      <c r="X2" s="58" t="s">
        <v>39</v>
      </c>
      <c r="Y2" s="58" t="s">
        <v>40</v>
      </c>
      <c r="Z2" s="58" t="s">
        <v>44</v>
      </c>
      <c r="AA2" s="59" t="s">
        <v>46</v>
      </c>
    </row>
    <row r="3" spans="1:27" x14ac:dyDescent="0.25">
      <c r="A3" s="47">
        <v>41820</v>
      </c>
      <c r="B3" s="66">
        <v>35435</v>
      </c>
      <c r="C3" s="61">
        <v>300000</v>
      </c>
      <c r="D3" s="55">
        <v>19310</v>
      </c>
      <c r="E3" s="55">
        <v>53240</v>
      </c>
      <c r="F3" s="55">
        <v>68745</v>
      </c>
      <c r="G3" s="55">
        <v>95733</v>
      </c>
      <c r="H3" s="55">
        <v>65667</v>
      </c>
      <c r="I3" s="55">
        <v>157226</v>
      </c>
      <c r="J3" s="55">
        <v>3834</v>
      </c>
      <c r="K3" s="55">
        <v>134305</v>
      </c>
      <c r="L3" s="55">
        <v>45065</v>
      </c>
      <c r="M3" s="55">
        <v>44500</v>
      </c>
      <c r="N3" s="55">
        <v>25672</v>
      </c>
      <c r="O3" s="55">
        <v>5000</v>
      </c>
      <c r="P3" s="55">
        <v>14070</v>
      </c>
      <c r="Q3" s="55">
        <v>175629</v>
      </c>
      <c r="R3" s="55">
        <v>5000</v>
      </c>
      <c r="S3" s="55">
        <v>157027</v>
      </c>
      <c r="T3" s="55">
        <v>66164</v>
      </c>
      <c r="U3" s="55">
        <v>5000</v>
      </c>
      <c r="V3" s="55">
        <v>3000</v>
      </c>
      <c r="W3" s="55">
        <v>5000</v>
      </c>
      <c r="X3" s="55">
        <v>5000</v>
      </c>
      <c r="Y3" s="55">
        <v>5000</v>
      </c>
      <c r="Z3" s="55">
        <v>0</v>
      </c>
      <c r="AA3" s="56"/>
    </row>
    <row r="4" spans="1:27" x14ac:dyDescent="0.25">
      <c r="A4" s="47">
        <v>41835</v>
      </c>
      <c r="B4" s="67">
        <v>148000</v>
      </c>
      <c r="C4" s="62">
        <v>0</v>
      </c>
      <c r="D4" s="40">
        <v>0</v>
      </c>
      <c r="E4" s="40">
        <v>3000</v>
      </c>
      <c r="F4" s="40">
        <v>3000</v>
      </c>
      <c r="G4" s="40">
        <v>2000</v>
      </c>
      <c r="H4" s="40">
        <v>0</v>
      </c>
      <c r="I4" s="40">
        <v>3000</v>
      </c>
      <c r="J4" s="40">
        <v>0</v>
      </c>
      <c r="K4" s="40">
        <v>3000</v>
      </c>
      <c r="L4" s="40">
        <v>500</v>
      </c>
      <c r="M4" s="40">
        <v>500</v>
      </c>
      <c r="N4" s="40">
        <v>500</v>
      </c>
      <c r="O4" s="40">
        <v>1000</v>
      </c>
      <c r="P4" s="40">
        <v>0</v>
      </c>
      <c r="Q4" s="40">
        <v>3000</v>
      </c>
      <c r="R4" s="40">
        <v>0</v>
      </c>
      <c r="S4" s="40">
        <v>0</v>
      </c>
      <c r="T4" s="40">
        <v>2000</v>
      </c>
      <c r="U4" s="40">
        <v>2000</v>
      </c>
      <c r="V4" s="40">
        <v>2000</v>
      </c>
      <c r="W4" s="40">
        <v>2000</v>
      </c>
      <c r="X4" s="40">
        <v>3000</v>
      </c>
      <c r="Y4" s="40">
        <v>3000</v>
      </c>
      <c r="Z4" s="40">
        <v>0</v>
      </c>
      <c r="AA4" s="51"/>
    </row>
    <row r="5" spans="1:27" x14ac:dyDescent="0.25">
      <c r="A5" s="47">
        <v>41850</v>
      </c>
      <c r="B5" s="67">
        <v>54300</v>
      </c>
      <c r="C5" s="62">
        <v>0</v>
      </c>
      <c r="D5" s="40">
        <v>0</v>
      </c>
      <c r="E5" s="40">
        <v>3000</v>
      </c>
      <c r="F5" s="40">
        <v>3000</v>
      </c>
      <c r="G5" s="40">
        <v>2000</v>
      </c>
      <c r="H5" s="40">
        <v>0</v>
      </c>
      <c r="I5" s="40">
        <v>3000</v>
      </c>
      <c r="J5" s="40">
        <v>0</v>
      </c>
      <c r="K5" s="40">
        <v>3000</v>
      </c>
      <c r="L5" s="40">
        <v>500</v>
      </c>
      <c r="M5" s="40">
        <v>500</v>
      </c>
      <c r="N5" s="40">
        <v>500</v>
      </c>
      <c r="O5" s="40">
        <v>0</v>
      </c>
      <c r="P5" s="40">
        <v>0</v>
      </c>
      <c r="Q5" s="40">
        <v>3000</v>
      </c>
      <c r="R5" s="40">
        <v>0</v>
      </c>
      <c r="S5" s="40">
        <v>1000</v>
      </c>
      <c r="T5" s="40">
        <v>2000</v>
      </c>
      <c r="U5" s="40">
        <v>2000</v>
      </c>
      <c r="V5" s="40">
        <v>1500</v>
      </c>
      <c r="W5" s="40">
        <v>2000</v>
      </c>
      <c r="X5" s="40">
        <v>3000</v>
      </c>
      <c r="Y5" s="40">
        <v>3000</v>
      </c>
      <c r="Z5" s="40"/>
      <c r="AA5" s="51"/>
    </row>
    <row r="6" spans="1:27" x14ac:dyDescent="0.25">
      <c r="A6" s="47">
        <v>41866</v>
      </c>
      <c r="B6" s="67">
        <v>76000</v>
      </c>
      <c r="C6" s="62">
        <v>0</v>
      </c>
      <c r="D6" s="40">
        <v>0</v>
      </c>
      <c r="E6" s="40">
        <v>-17000</v>
      </c>
      <c r="F6" s="40">
        <v>3000</v>
      </c>
      <c r="G6" s="40">
        <v>2000</v>
      </c>
      <c r="H6" s="40">
        <v>0</v>
      </c>
      <c r="I6" s="40">
        <v>3000</v>
      </c>
      <c r="J6" s="40">
        <v>0</v>
      </c>
      <c r="K6" s="40">
        <v>3000</v>
      </c>
      <c r="L6" s="40">
        <v>500</v>
      </c>
      <c r="M6" s="40">
        <v>500</v>
      </c>
      <c r="N6" s="40">
        <v>0</v>
      </c>
      <c r="O6" s="40">
        <v>0</v>
      </c>
      <c r="P6" s="40">
        <v>0</v>
      </c>
      <c r="Q6" s="40">
        <v>3000</v>
      </c>
      <c r="R6" s="40">
        <v>3000</v>
      </c>
      <c r="S6" s="40">
        <v>3000</v>
      </c>
      <c r="T6" s="40">
        <v>2000</v>
      </c>
      <c r="U6" s="40">
        <v>2000</v>
      </c>
      <c r="V6" s="40">
        <v>1500</v>
      </c>
      <c r="W6" s="40">
        <v>3000</v>
      </c>
      <c r="X6" s="40">
        <v>3000</v>
      </c>
      <c r="Y6" s="40">
        <v>3000</v>
      </c>
      <c r="Z6" s="40"/>
      <c r="AA6" s="51"/>
    </row>
    <row r="7" spans="1:27" x14ac:dyDescent="0.25">
      <c r="A7" s="47">
        <v>41881</v>
      </c>
      <c r="B7" s="67">
        <v>56500</v>
      </c>
      <c r="C7" s="62">
        <v>0</v>
      </c>
      <c r="D7" s="40">
        <v>0</v>
      </c>
      <c r="E7" s="40">
        <v>0</v>
      </c>
      <c r="F7" s="40">
        <v>3000</v>
      </c>
      <c r="G7" s="40">
        <v>2000</v>
      </c>
      <c r="H7" s="40">
        <v>0</v>
      </c>
      <c r="I7" s="40">
        <v>3000</v>
      </c>
      <c r="J7" s="40">
        <v>500</v>
      </c>
      <c r="K7" s="40">
        <v>3000</v>
      </c>
      <c r="L7" s="40">
        <v>500</v>
      </c>
      <c r="M7" s="40">
        <v>500</v>
      </c>
      <c r="N7" s="40">
        <v>0</v>
      </c>
      <c r="O7" s="40">
        <v>0</v>
      </c>
      <c r="P7" s="40">
        <v>0</v>
      </c>
      <c r="Q7" s="40">
        <v>3000</v>
      </c>
      <c r="R7" s="40">
        <v>0</v>
      </c>
      <c r="S7" s="40">
        <v>2000</v>
      </c>
      <c r="T7" s="40">
        <v>2000</v>
      </c>
      <c r="U7" s="40">
        <v>2000</v>
      </c>
      <c r="V7" s="40">
        <v>1000</v>
      </c>
      <c r="W7" s="40">
        <v>3000</v>
      </c>
      <c r="X7" s="40">
        <v>3000</v>
      </c>
      <c r="Y7" s="40">
        <v>3000</v>
      </c>
      <c r="Z7" s="40">
        <v>3000</v>
      </c>
      <c r="AA7" s="51"/>
    </row>
    <row r="8" spans="1:27" x14ac:dyDescent="0.25">
      <c r="A8" s="47">
        <v>41897</v>
      </c>
      <c r="B8" s="67">
        <v>60000</v>
      </c>
      <c r="C8" s="62">
        <v>0</v>
      </c>
      <c r="D8" s="40">
        <v>0</v>
      </c>
      <c r="E8" s="40">
        <v>3000</v>
      </c>
      <c r="F8" s="40">
        <v>3000</v>
      </c>
      <c r="G8" s="40">
        <v>1000</v>
      </c>
      <c r="H8" s="40">
        <v>0</v>
      </c>
      <c r="I8" s="40">
        <v>3000</v>
      </c>
      <c r="J8" s="40">
        <v>0</v>
      </c>
      <c r="K8" s="40">
        <v>3000</v>
      </c>
      <c r="L8" s="40">
        <v>500</v>
      </c>
      <c r="M8" s="40">
        <v>500</v>
      </c>
      <c r="N8" s="40">
        <v>0</v>
      </c>
      <c r="O8" s="40">
        <v>0</v>
      </c>
      <c r="P8" s="40">
        <v>0</v>
      </c>
      <c r="Q8" s="40">
        <v>3000</v>
      </c>
      <c r="R8" s="40">
        <v>0</v>
      </c>
      <c r="S8" s="40">
        <v>1000</v>
      </c>
      <c r="T8" s="40">
        <v>2000</v>
      </c>
      <c r="U8" s="40">
        <v>2000</v>
      </c>
      <c r="V8" s="40">
        <v>2000</v>
      </c>
      <c r="W8" s="40">
        <v>3000</v>
      </c>
      <c r="X8" s="40">
        <v>3000</v>
      </c>
      <c r="Y8" s="40">
        <v>3000</v>
      </c>
      <c r="Z8" s="40">
        <v>3000</v>
      </c>
      <c r="AA8" s="51"/>
    </row>
    <row r="9" spans="1:27" x14ac:dyDescent="0.25">
      <c r="A9" s="47">
        <v>41912</v>
      </c>
      <c r="B9" s="67">
        <v>125000</v>
      </c>
      <c r="C9" s="62">
        <v>0</v>
      </c>
      <c r="D9" s="40">
        <v>0</v>
      </c>
      <c r="E9" s="40">
        <v>3000</v>
      </c>
      <c r="F9" s="40">
        <v>3000</v>
      </c>
      <c r="G9" s="40">
        <v>2000</v>
      </c>
      <c r="H9" s="40">
        <v>0</v>
      </c>
      <c r="I9" s="40">
        <v>3000</v>
      </c>
      <c r="J9" s="40">
        <v>500</v>
      </c>
      <c r="K9" s="40">
        <v>3000</v>
      </c>
      <c r="L9" s="40">
        <v>500</v>
      </c>
      <c r="M9" s="40">
        <v>500</v>
      </c>
      <c r="N9" s="40">
        <v>0</v>
      </c>
      <c r="O9" s="40">
        <v>0</v>
      </c>
      <c r="P9" s="40">
        <v>0</v>
      </c>
      <c r="Q9" s="40">
        <v>3000</v>
      </c>
      <c r="R9" s="40">
        <v>0</v>
      </c>
      <c r="S9" s="40">
        <v>2000</v>
      </c>
      <c r="T9" s="40">
        <v>2000</v>
      </c>
      <c r="U9" s="40">
        <v>2000</v>
      </c>
      <c r="V9" s="40">
        <v>2000</v>
      </c>
      <c r="W9" s="40">
        <v>3000</v>
      </c>
      <c r="X9" s="40">
        <v>3000</v>
      </c>
      <c r="Y9" s="40">
        <v>3000</v>
      </c>
      <c r="Z9" s="40">
        <v>3000</v>
      </c>
      <c r="AA9" s="51"/>
    </row>
    <row r="10" spans="1:27" x14ac:dyDescent="0.25">
      <c r="A10" s="47">
        <v>41927</v>
      </c>
      <c r="B10" s="67">
        <v>99000</v>
      </c>
      <c r="C10" s="62">
        <v>0</v>
      </c>
      <c r="D10" s="40">
        <v>0</v>
      </c>
      <c r="E10" s="40">
        <v>3000</v>
      </c>
      <c r="F10" s="40">
        <v>3000</v>
      </c>
      <c r="G10" s="40">
        <v>1000</v>
      </c>
      <c r="H10" s="40">
        <v>0</v>
      </c>
      <c r="I10" s="40">
        <v>3000</v>
      </c>
      <c r="J10" s="40">
        <v>0</v>
      </c>
      <c r="K10" s="40">
        <v>3000</v>
      </c>
      <c r="L10" s="40">
        <v>500</v>
      </c>
      <c r="M10" s="40">
        <v>500</v>
      </c>
      <c r="N10" s="40">
        <v>500</v>
      </c>
      <c r="O10" s="40">
        <v>0</v>
      </c>
      <c r="P10" s="40">
        <v>0</v>
      </c>
      <c r="Q10" s="40">
        <v>3000</v>
      </c>
      <c r="R10" s="40">
        <v>500</v>
      </c>
      <c r="S10" s="40">
        <v>3000</v>
      </c>
      <c r="T10" s="40">
        <v>2000</v>
      </c>
      <c r="U10" s="40">
        <v>2000</v>
      </c>
      <c r="V10" s="40">
        <v>2000</v>
      </c>
      <c r="W10" s="40">
        <v>3000</v>
      </c>
      <c r="X10" s="40">
        <v>3000</v>
      </c>
      <c r="Y10" s="40">
        <v>3000</v>
      </c>
      <c r="Z10" s="40">
        <v>3000</v>
      </c>
      <c r="AA10" s="51"/>
    </row>
    <row r="11" spans="1:27" x14ac:dyDescent="0.25">
      <c r="A11" s="47">
        <v>41942</v>
      </c>
      <c r="B11" s="67">
        <v>32000</v>
      </c>
      <c r="C11" s="62">
        <v>0</v>
      </c>
      <c r="D11" s="40">
        <v>0</v>
      </c>
      <c r="E11" s="40">
        <v>1000</v>
      </c>
      <c r="F11" s="40">
        <v>3000</v>
      </c>
      <c r="G11" s="40">
        <v>1000</v>
      </c>
      <c r="H11" s="40">
        <v>500</v>
      </c>
      <c r="I11" s="40">
        <v>3000</v>
      </c>
      <c r="J11" s="40">
        <v>0</v>
      </c>
      <c r="K11" s="40">
        <v>3000</v>
      </c>
      <c r="L11" s="40">
        <v>500</v>
      </c>
      <c r="M11" s="40">
        <v>500</v>
      </c>
      <c r="N11" s="40">
        <v>0</v>
      </c>
      <c r="O11" s="40">
        <v>0</v>
      </c>
      <c r="P11" s="40">
        <v>0</v>
      </c>
      <c r="Q11" s="40">
        <v>3000</v>
      </c>
      <c r="R11" s="40">
        <v>0</v>
      </c>
      <c r="S11" s="40">
        <v>3000</v>
      </c>
      <c r="T11" s="40">
        <v>2000</v>
      </c>
      <c r="U11" s="40">
        <v>2000</v>
      </c>
      <c r="V11" s="40">
        <v>2000</v>
      </c>
      <c r="W11" s="40">
        <v>0</v>
      </c>
      <c r="X11" s="40">
        <v>3000</v>
      </c>
      <c r="Y11" s="40">
        <v>3000</v>
      </c>
      <c r="Z11" s="40">
        <v>3000</v>
      </c>
      <c r="AA11" s="51"/>
    </row>
    <row r="12" spans="1:27" x14ac:dyDescent="0.25">
      <c r="A12" s="47">
        <v>41958</v>
      </c>
      <c r="B12" s="67">
        <v>76000</v>
      </c>
      <c r="C12" s="62">
        <v>0</v>
      </c>
      <c r="D12" s="40">
        <v>500</v>
      </c>
      <c r="E12" s="40">
        <v>1000</v>
      </c>
      <c r="F12" s="40">
        <v>2000</v>
      </c>
      <c r="G12" s="40">
        <v>1000</v>
      </c>
      <c r="H12" s="40">
        <v>500</v>
      </c>
      <c r="I12" s="40">
        <v>3000</v>
      </c>
      <c r="J12" s="40">
        <v>0</v>
      </c>
      <c r="K12" s="40">
        <v>3000</v>
      </c>
      <c r="L12" s="40">
        <v>500</v>
      </c>
      <c r="M12" s="40">
        <v>500</v>
      </c>
      <c r="N12" s="40">
        <v>0</v>
      </c>
      <c r="O12" s="40">
        <v>0</v>
      </c>
      <c r="P12" s="40">
        <v>0</v>
      </c>
      <c r="Q12" s="40">
        <v>3000</v>
      </c>
      <c r="R12" s="40">
        <v>1000</v>
      </c>
      <c r="S12" s="40">
        <v>3000</v>
      </c>
      <c r="T12" s="40">
        <v>2000</v>
      </c>
      <c r="U12" s="40">
        <v>2000</v>
      </c>
      <c r="V12" s="40">
        <v>2000</v>
      </c>
      <c r="W12" s="40">
        <v>0</v>
      </c>
      <c r="X12" s="40">
        <v>3000</v>
      </c>
      <c r="Y12" s="40">
        <v>3000</v>
      </c>
      <c r="Z12" s="40"/>
      <c r="AA12" s="51"/>
    </row>
    <row r="13" spans="1:27" x14ac:dyDescent="0.25">
      <c r="A13" s="47">
        <v>41973</v>
      </c>
      <c r="B13" s="67">
        <v>33400</v>
      </c>
      <c r="C13" s="62">
        <v>0</v>
      </c>
      <c r="D13" s="40">
        <v>500</v>
      </c>
      <c r="E13" s="40">
        <v>2000</v>
      </c>
      <c r="F13" s="40">
        <v>3000</v>
      </c>
      <c r="G13" s="40">
        <v>1000</v>
      </c>
      <c r="H13" s="40">
        <v>500</v>
      </c>
      <c r="I13" s="40">
        <v>3000</v>
      </c>
      <c r="J13" s="40">
        <v>0</v>
      </c>
      <c r="K13" s="40">
        <v>3000</v>
      </c>
      <c r="L13" s="40">
        <v>0</v>
      </c>
      <c r="M13" s="40">
        <v>500</v>
      </c>
      <c r="N13" s="40">
        <v>0</v>
      </c>
      <c r="O13" s="40">
        <v>0</v>
      </c>
      <c r="P13" s="40">
        <v>0</v>
      </c>
      <c r="Q13" s="40">
        <v>3000</v>
      </c>
      <c r="R13" s="40">
        <v>500</v>
      </c>
      <c r="S13" s="40">
        <v>3000</v>
      </c>
      <c r="T13" s="40">
        <v>2000</v>
      </c>
      <c r="U13" s="40">
        <v>2000</v>
      </c>
      <c r="V13" s="40">
        <v>2000</v>
      </c>
      <c r="W13" s="40">
        <v>3000</v>
      </c>
      <c r="X13" s="40">
        <v>3000</v>
      </c>
      <c r="Y13" s="40">
        <v>3000</v>
      </c>
      <c r="Z13" s="40"/>
      <c r="AA13" s="51"/>
    </row>
    <row r="14" spans="1:27" x14ac:dyDescent="0.25">
      <c r="A14" s="47">
        <v>41623</v>
      </c>
      <c r="B14" s="68">
        <v>45000</v>
      </c>
      <c r="C14" s="62">
        <v>0</v>
      </c>
      <c r="D14" s="40">
        <v>0</v>
      </c>
      <c r="E14" s="40">
        <v>2000</v>
      </c>
      <c r="F14" s="40">
        <v>3000</v>
      </c>
      <c r="G14" s="40">
        <v>1000</v>
      </c>
      <c r="H14" s="40">
        <v>500</v>
      </c>
      <c r="I14" s="40">
        <v>3000</v>
      </c>
      <c r="J14" s="40">
        <v>0</v>
      </c>
      <c r="K14" s="40">
        <v>3000</v>
      </c>
      <c r="L14" s="40">
        <v>0</v>
      </c>
      <c r="M14" s="40">
        <v>500</v>
      </c>
      <c r="N14" s="40">
        <v>0</v>
      </c>
      <c r="O14" s="40">
        <v>0</v>
      </c>
      <c r="P14" s="40">
        <v>0</v>
      </c>
      <c r="Q14" s="40">
        <v>3000</v>
      </c>
      <c r="R14" s="40">
        <v>500</v>
      </c>
      <c r="S14" s="40">
        <v>3000</v>
      </c>
      <c r="T14" s="40">
        <v>2000</v>
      </c>
      <c r="U14" s="40">
        <v>2000</v>
      </c>
      <c r="V14" s="40">
        <v>2000</v>
      </c>
      <c r="W14" s="40">
        <v>3000</v>
      </c>
      <c r="X14" s="40">
        <v>3000</v>
      </c>
      <c r="Y14" s="40">
        <v>3000</v>
      </c>
      <c r="Z14" s="40"/>
      <c r="AA14" s="51"/>
    </row>
    <row r="15" spans="1:27" x14ac:dyDescent="0.25">
      <c r="A15" s="48" t="s">
        <v>5</v>
      </c>
      <c r="B15" s="67">
        <f>SUM(B3:B14)</f>
        <v>840635</v>
      </c>
      <c r="C15" s="81">
        <f t="shared" ref="C15:Z15" si="0">SUM(C3:C14)</f>
        <v>300000</v>
      </c>
      <c r="D15" s="82">
        <f t="shared" si="0"/>
        <v>20310</v>
      </c>
      <c r="E15" s="82">
        <f t="shared" si="0"/>
        <v>57240</v>
      </c>
      <c r="F15" s="82">
        <f t="shared" si="0"/>
        <v>100745</v>
      </c>
      <c r="G15" s="82">
        <f t="shared" si="0"/>
        <v>111733</v>
      </c>
      <c r="H15" s="82">
        <f t="shared" si="0"/>
        <v>67667</v>
      </c>
      <c r="I15" s="82">
        <f t="shared" si="0"/>
        <v>190226</v>
      </c>
      <c r="J15" s="82">
        <f t="shared" si="0"/>
        <v>4834</v>
      </c>
      <c r="K15" s="82">
        <f t="shared" si="0"/>
        <v>167305</v>
      </c>
      <c r="L15" s="82">
        <f t="shared" si="0"/>
        <v>49565</v>
      </c>
      <c r="M15" s="82">
        <f t="shared" si="0"/>
        <v>50000</v>
      </c>
      <c r="N15" s="82">
        <f t="shared" si="0"/>
        <v>27172</v>
      </c>
      <c r="O15" s="82">
        <f t="shared" si="0"/>
        <v>6000</v>
      </c>
      <c r="P15" s="82">
        <f t="shared" si="0"/>
        <v>14070</v>
      </c>
      <c r="Q15" s="82">
        <f t="shared" si="0"/>
        <v>208629</v>
      </c>
      <c r="R15" s="82">
        <f t="shared" si="0"/>
        <v>10500</v>
      </c>
      <c r="S15" s="82">
        <f t="shared" si="0"/>
        <v>181027</v>
      </c>
      <c r="T15" s="82">
        <f t="shared" si="0"/>
        <v>88164</v>
      </c>
      <c r="U15" s="82">
        <f t="shared" si="0"/>
        <v>27000</v>
      </c>
      <c r="V15" s="82">
        <f t="shared" si="0"/>
        <v>23000</v>
      </c>
      <c r="W15" s="82">
        <f t="shared" si="0"/>
        <v>30000</v>
      </c>
      <c r="X15" s="82">
        <f t="shared" si="0"/>
        <v>38000</v>
      </c>
      <c r="Y15" s="82">
        <f t="shared" si="0"/>
        <v>38000</v>
      </c>
      <c r="Z15" s="82">
        <f t="shared" si="0"/>
        <v>15000</v>
      </c>
      <c r="AA15" s="83">
        <f>SUM(AB3:AB14)</f>
        <v>0</v>
      </c>
    </row>
    <row r="16" spans="1:27" x14ac:dyDescent="0.25">
      <c r="A16" s="49" t="s">
        <v>62</v>
      </c>
      <c r="B16" s="69">
        <f>SUM(C15:AA15)</f>
        <v>1826187</v>
      </c>
      <c r="C16" s="63">
        <f>C15/B16</f>
        <v>0.16427671426858256</v>
      </c>
      <c r="D16" s="39">
        <f>D15/B16</f>
        <v>1.112153355598304E-2</v>
      </c>
      <c r="E16" s="39">
        <f>E15/B16</f>
        <v>3.1343997082445556E-2</v>
      </c>
      <c r="F16" s="39">
        <f>F15/B16</f>
        <v>5.5166858596627837E-2</v>
      </c>
      <c r="G16" s="39">
        <f>G15/B16</f>
        <v>6.1183767051238458E-2</v>
      </c>
      <c r="H16" s="39">
        <f>H15/B16</f>
        <v>3.7053708081373926E-2</v>
      </c>
      <c r="I16" s="39">
        <f>I15/B16</f>
        <v>0.10416567416151797</v>
      </c>
      <c r="J16" s="39">
        <f>J15/B16</f>
        <v>2.6470454559144271E-3</v>
      </c>
      <c r="K16" s="39">
        <f>K15/B16</f>
        <v>9.161438560235069E-2</v>
      </c>
      <c r="L16" s="39">
        <f>L15/B16</f>
        <v>2.714125114240765E-2</v>
      </c>
      <c r="M16" s="39">
        <f>M15/B16</f>
        <v>2.7379452378097094E-2</v>
      </c>
      <c r="N16" s="39">
        <f>N15/B16</f>
        <v>1.4879089600353085E-2</v>
      </c>
      <c r="O16" s="39">
        <f>O15/B16</f>
        <v>3.2855342853716513E-3</v>
      </c>
      <c r="P16" s="39">
        <f>P15/B16</f>
        <v>7.7045778991965226E-3</v>
      </c>
      <c r="Q16" s="39">
        <f>Q15/B16</f>
        <v>0.11424295540380038</v>
      </c>
      <c r="R16" s="39">
        <f>R15/B16</f>
        <v>5.7496849994003903E-3</v>
      </c>
      <c r="S16" s="39">
        <f>S15/B16</f>
        <v>9.912840251299565E-2</v>
      </c>
      <c r="T16" s="39">
        <f>T15/B16</f>
        <v>4.8277640789251043E-2</v>
      </c>
      <c r="U16" s="39">
        <f>U15/B16</f>
        <v>1.4784904284172432E-2</v>
      </c>
      <c r="V16" s="39">
        <f>V15/B16</f>
        <v>1.2594548093924664E-2</v>
      </c>
      <c r="W16" s="39">
        <f>W15/B16</f>
        <v>1.6427671426858258E-2</v>
      </c>
      <c r="X16" s="39">
        <f>X15/B16</f>
        <v>2.0808383807353791E-2</v>
      </c>
      <c r="Y16" s="39">
        <f>Y15/B16</f>
        <v>2.0808383807353791E-2</v>
      </c>
      <c r="Z16" s="39">
        <f>Z15/B16</f>
        <v>8.2138357134291292E-3</v>
      </c>
      <c r="AA16" s="52">
        <f>AA15/B16</f>
        <v>0</v>
      </c>
    </row>
    <row r="17" spans="1:32" ht="15.75" thickBot="1" x14ac:dyDescent="0.3">
      <c r="A17" s="50" t="s">
        <v>63</v>
      </c>
      <c r="B17" s="70">
        <f>SUM(C17:AA17)</f>
        <v>840635</v>
      </c>
      <c r="C17" s="64">
        <f>B15*C16</f>
        <v>138096.75569916991</v>
      </c>
      <c r="D17" s="53">
        <f>B15*D16</f>
        <v>9349.1503608338026</v>
      </c>
      <c r="E17" s="53">
        <f>B15*E16</f>
        <v>26348.860987401618</v>
      </c>
      <c r="F17" s="53">
        <f>B15*F16</f>
        <v>46375.192176376244</v>
      </c>
      <c r="G17" s="53">
        <f>B15*G16</f>
        <v>51433.21601511784</v>
      </c>
      <c r="H17" s="53">
        <f>B15*H16</f>
        <v>31148.643892985769</v>
      </c>
      <c r="I17" s="53">
        <f>B15*I16</f>
        <v>87565.311498767653</v>
      </c>
      <c r="J17" s="53">
        <f>B15*J16</f>
        <v>2225.1990568326246</v>
      </c>
      <c r="K17" s="53">
        <f>B15*K16</f>
        <v>77014.259040832068</v>
      </c>
      <c r="L17" s="53">
        <f>B15*L16</f>
        <v>22815.885654097856</v>
      </c>
      <c r="M17" s="53">
        <f>B15*M16</f>
        <v>23016.125949861649</v>
      </c>
      <c r="N17" s="53">
        <f>B15*N16</f>
        <v>12507.883486192815</v>
      </c>
      <c r="O17" s="53">
        <f>B15*O16</f>
        <v>2761.935113983398</v>
      </c>
      <c r="P17" s="53">
        <f>B15*P16</f>
        <v>6476.7378422910688</v>
      </c>
      <c r="Q17" s="53">
        <f>B15*Q16</f>
        <v>96036.626815873722</v>
      </c>
      <c r="R17" s="53">
        <f>B15*R16</f>
        <v>4833.3864494709469</v>
      </c>
      <c r="S17" s="53">
        <f>B15*S16</f>
        <v>83330.804646512101</v>
      </c>
      <c r="T17" s="53">
        <f>B15*T16</f>
        <v>40583.874564872051</v>
      </c>
      <c r="U17" s="53">
        <f>B15*U16</f>
        <v>12428.708012925292</v>
      </c>
      <c r="V17" s="53">
        <f>B15*V16</f>
        <v>10587.417936936359</v>
      </c>
      <c r="W17" s="53">
        <f>B15*W16</f>
        <v>13809.675569916992</v>
      </c>
      <c r="X17" s="53">
        <f>B15*X16</f>
        <v>17492.255721894853</v>
      </c>
      <c r="Y17" s="53">
        <f>B15*Y16</f>
        <v>17492.255721894853</v>
      </c>
      <c r="Z17" s="53">
        <f>B15*Z16</f>
        <v>6904.8377849584958</v>
      </c>
      <c r="AA17" s="54">
        <f>B15*AA16</f>
        <v>0</v>
      </c>
    </row>
    <row r="18" spans="1:32" ht="15.75" thickBot="1" x14ac:dyDescent="0.3">
      <c r="B18" s="80">
        <f>SUM(C16:AA16)</f>
        <v>1.0000000000000002</v>
      </c>
    </row>
    <row r="19" spans="1:32" ht="15.75" thickBot="1" x14ac:dyDescent="0.3">
      <c r="A19" s="37" t="s">
        <v>48</v>
      </c>
    </row>
    <row r="20" spans="1:32" ht="15.75" thickBot="1" x14ac:dyDescent="0.3">
      <c r="A20" s="20" t="s">
        <v>4</v>
      </c>
      <c r="B20" s="45" t="s">
        <v>47</v>
      </c>
      <c r="C20" s="42" t="s">
        <v>21</v>
      </c>
      <c r="D20" s="42" t="s">
        <v>22</v>
      </c>
      <c r="E20" s="43" t="s">
        <v>23</v>
      </c>
      <c r="F20" s="43" t="s">
        <v>24</v>
      </c>
      <c r="G20" s="43" t="s">
        <v>25</v>
      </c>
      <c r="H20" s="43" t="s">
        <v>26</v>
      </c>
      <c r="I20" s="43" t="s">
        <v>27</v>
      </c>
      <c r="J20" s="43" t="s">
        <v>28</v>
      </c>
      <c r="K20" s="43" t="s">
        <v>29</v>
      </c>
      <c r="L20" s="43" t="s">
        <v>20</v>
      </c>
      <c r="M20" s="43" t="s">
        <v>30</v>
      </c>
      <c r="N20" s="43" t="s">
        <v>31</v>
      </c>
      <c r="O20" s="43" t="s">
        <v>32</v>
      </c>
      <c r="P20" s="43" t="s">
        <v>33</v>
      </c>
      <c r="Q20" s="43" t="s">
        <v>34</v>
      </c>
      <c r="R20" s="43" t="s">
        <v>35</v>
      </c>
      <c r="S20" s="43" t="s">
        <v>36</v>
      </c>
      <c r="T20" s="43" t="s">
        <v>37</v>
      </c>
      <c r="U20" s="43" t="s">
        <v>6</v>
      </c>
      <c r="V20" s="43" t="s">
        <v>0</v>
      </c>
      <c r="W20" s="43" t="s">
        <v>38</v>
      </c>
      <c r="X20" s="43" t="s">
        <v>39</v>
      </c>
      <c r="Y20" s="43" t="s">
        <v>40</v>
      </c>
      <c r="Z20" s="43" t="s">
        <v>44</v>
      </c>
      <c r="AA20" s="43" t="s">
        <v>45</v>
      </c>
    </row>
    <row r="21" spans="1:32" x14ac:dyDescent="0.25">
      <c r="A21" s="26">
        <v>42003</v>
      </c>
      <c r="B21" s="79">
        <v>35435</v>
      </c>
      <c r="C21" s="40">
        <v>0</v>
      </c>
      <c r="D21" s="40">
        <v>0</v>
      </c>
      <c r="E21" s="40">
        <v>1000</v>
      </c>
      <c r="F21" s="40">
        <v>3000</v>
      </c>
      <c r="G21" s="40">
        <v>3000</v>
      </c>
      <c r="H21" s="40">
        <v>500</v>
      </c>
      <c r="I21" s="40">
        <v>3000</v>
      </c>
      <c r="J21" s="40">
        <v>0</v>
      </c>
      <c r="K21" s="40">
        <v>3000</v>
      </c>
      <c r="L21" s="40">
        <v>500</v>
      </c>
      <c r="M21" s="40">
        <v>500</v>
      </c>
      <c r="N21" s="40">
        <v>0</v>
      </c>
      <c r="O21" s="40">
        <v>0</v>
      </c>
      <c r="P21" s="40">
        <v>0</v>
      </c>
      <c r="Q21" s="40">
        <v>3000</v>
      </c>
      <c r="R21" s="40">
        <v>0</v>
      </c>
      <c r="S21" s="40">
        <v>3000</v>
      </c>
      <c r="T21" s="40">
        <v>3000</v>
      </c>
      <c r="U21" s="40">
        <v>2000</v>
      </c>
      <c r="V21" s="40">
        <v>0</v>
      </c>
      <c r="W21" s="40">
        <v>0</v>
      </c>
      <c r="X21" s="40">
        <v>3000</v>
      </c>
      <c r="Y21" s="40">
        <v>3000</v>
      </c>
      <c r="Z21" s="40"/>
      <c r="AA21" s="40"/>
    </row>
    <row r="22" spans="1:32" x14ac:dyDescent="0.25">
      <c r="A22" s="27">
        <v>41654</v>
      </c>
      <c r="B22" s="79">
        <v>234234</v>
      </c>
      <c r="C22" s="40">
        <v>0</v>
      </c>
      <c r="D22" s="40">
        <v>300</v>
      </c>
      <c r="E22" s="40">
        <v>1000</v>
      </c>
      <c r="F22" s="40">
        <v>3000</v>
      </c>
      <c r="G22" s="40">
        <v>3000</v>
      </c>
      <c r="H22" s="40">
        <v>500</v>
      </c>
      <c r="I22" s="40">
        <v>3000</v>
      </c>
      <c r="J22" s="40">
        <v>0</v>
      </c>
      <c r="K22" s="40">
        <v>3000</v>
      </c>
      <c r="L22" s="40">
        <v>0</v>
      </c>
      <c r="M22" s="40">
        <v>500</v>
      </c>
      <c r="N22" s="40">
        <v>0</v>
      </c>
      <c r="O22" s="40">
        <v>1000</v>
      </c>
      <c r="P22" s="40">
        <v>0</v>
      </c>
      <c r="Q22" s="40">
        <v>3000</v>
      </c>
      <c r="R22" s="40">
        <v>0</v>
      </c>
      <c r="S22" s="40">
        <v>3000</v>
      </c>
      <c r="T22" s="40">
        <v>3000</v>
      </c>
      <c r="U22" s="40">
        <v>2000</v>
      </c>
      <c r="V22" s="40">
        <v>2000</v>
      </c>
      <c r="W22" s="40">
        <v>0</v>
      </c>
      <c r="X22" s="40">
        <v>3000</v>
      </c>
      <c r="Y22" s="40">
        <v>3000</v>
      </c>
      <c r="Z22" s="40"/>
      <c r="AA22" s="40"/>
    </row>
    <row r="23" spans="1:32" x14ac:dyDescent="0.25">
      <c r="A23" s="27">
        <v>41669</v>
      </c>
      <c r="B23" s="79">
        <v>23423</v>
      </c>
      <c r="C23" s="40">
        <v>0</v>
      </c>
      <c r="D23" s="40">
        <v>300</v>
      </c>
      <c r="E23" s="40">
        <v>0</v>
      </c>
      <c r="F23" s="40">
        <v>1000</v>
      </c>
      <c r="G23" s="40">
        <v>3000</v>
      </c>
      <c r="H23" s="40">
        <v>500</v>
      </c>
      <c r="I23" s="40">
        <v>3000</v>
      </c>
      <c r="J23" s="40">
        <v>0</v>
      </c>
      <c r="K23" s="40">
        <v>3000</v>
      </c>
      <c r="L23" s="40">
        <v>0</v>
      </c>
      <c r="M23" s="40">
        <v>500</v>
      </c>
      <c r="N23" s="40">
        <v>0</v>
      </c>
      <c r="O23" s="40">
        <v>1000</v>
      </c>
      <c r="P23" s="40">
        <v>0</v>
      </c>
      <c r="Q23" s="40">
        <v>3000</v>
      </c>
      <c r="R23" s="40">
        <v>0</v>
      </c>
      <c r="S23" s="40">
        <v>3000</v>
      </c>
      <c r="T23" s="40">
        <v>3000</v>
      </c>
      <c r="U23" s="40">
        <v>2000</v>
      </c>
      <c r="V23" s="40">
        <v>2000</v>
      </c>
      <c r="W23" s="40">
        <v>0</v>
      </c>
      <c r="X23" s="40">
        <v>3000</v>
      </c>
      <c r="Y23" s="40">
        <v>3000</v>
      </c>
      <c r="Z23" s="40"/>
      <c r="AA23" s="40"/>
      <c r="AF23">
        <v>1</v>
      </c>
    </row>
    <row r="24" spans="1:32" x14ac:dyDescent="0.25">
      <c r="A24" s="27">
        <v>41685</v>
      </c>
      <c r="B24" s="79">
        <v>23423</v>
      </c>
      <c r="C24" s="40">
        <v>0</v>
      </c>
      <c r="D24" s="40">
        <v>300</v>
      </c>
      <c r="E24" s="40">
        <v>1500</v>
      </c>
      <c r="F24" s="40">
        <v>1000</v>
      </c>
      <c r="G24" s="40">
        <v>3000</v>
      </c>
      <c r="H24" s="40">
        <v>500</v>
      </c>
      <c r="I24" s="40">
        <v>3000</v>
      </c>
      <c r="J24" s="40">
        <v>0</v>
      </c>
      <c r="K24" s="40">
        <v>3000</v>
      </c>
      <c r="L24" s="40">
        <v>500</v>
      </c>
      <c r="M24" s="40">
        <v>500</v>
      </c>
      <c r="N24" s="40">
        <v>0</v>
      </c>
      <c r="O24" s="40">
        <v>500</v>
      </c>
      <c r="P24" s="40">
        <v>0</v>
      </c>
      <c r="Q24" s="40">
        <v>3000</v>
      </c>
      <c r="R24" s="40">
        <v>410</v>
      </c>
      <c r="S24" s="40">
        <v>3000</v>
      </c>
      <c r="T24" s="40">
        <v>3000</v>
      </c>
      <c r="U24" s="40">
        <v>2000</v>
      </c>
      <c r="V24" s="40">
        <v>0</v>
      </c>
      <c r="W24" s="40">
        <v>0</v>
      </c>
      <c r="X24" s="40">
        <v>3000</v>
      </c>
      <c r="Y24" s="40">
        <v>3000</v>
      </c>
      <c r="Z24" s="40"/>
      <c r="AA24" s="40"/>
    </row>
    <row r="25" spans="1:32" x14ac:dyDescent="0.25">
      <c r="A25" s="27">
        <v>41698</v>
      </c>
      <c r="B25" s="79">
        <v>32423</v>
      </c>
      <c r="C25" s="40">
        <v>0</v>
      </c>
      <c r="D25" s="40">
        <v>0</v>
      </c>
      <c r="E25" s="40">
        <v>0</v>
      </c>
      <c r="F25" s="40">
        <v>1000</v>
      </c>
      <c r="G25" s="40">
        <v>3000</v>
      </c>
      <c r="H25" s="40">
        <v>0</v>
      </c>
      <c r="I25" s="40">
        <v>3000</v>
      </c>
      <c r="J25" s="40">
        <v>0</v>
      </c>
      <c r="K25" s="40">
        <v>3000</v>
      </c>
      <c r="L25" s="40">
        <v>500</v>
      </c>
      <c r="M25" s="40">
        <v>500</v>
      </c>
      <c r="N25" s="40">
        <v>0</v>
      </c>
      <c r="O25" s="40">
        <v>1000</v>
      </c>
      <c r="P25" s="40">
        <v>0</v>
      </c>
      <c r="Q25" s="40">
        <v>3000</v>
      </c>
      <c r="R25" s="40">
        <v>1000</v>
      </c>
      <c r="S25" s="40">
        <v>3000</v>
      </c>
      <c r="T25" s="40">
        <v>3000</v>
      </c>
      <c r="U25" s="40">
        <v>2000</v>
      </c>
      <c r="V25" s="40">
        <v>0</v>
      </c>
      <c r="W25" s="40">
        <v>2000</v>
      </c>
      <c r="X25" s="40">
        <v>3000</v>
      </c>
      <c r="Y25" s="40">
        <v>3000</v>
      </c>
      <c r="Z25" s="40"/>
      <c r="AA25" s="40"/>
    </row>
    <row r="26" spans="1:32" x14ac:dyDescent="0.25">
      <c r="A26" s="27">
        <v>41713</v>
      </c>
      <c r="B26" s="79">
        <v>23423</v>
      </c>
      <c r="C26" s="40">
        <v>0</v>
      </c>
      <c r="D26" s="40">
        <v>0</v>
      </c>
      <c r="E26" s="40">
        <v>0</v>
      </c>
      <c r="F26" s="40">
        <v>2000</v>
      </c>
      <c r="G26" s="40">
        <v>3000</v>
      </c>
      <c r="H26" s="40">
        <v>0</v>
      </c>
      <c r="I26" s="40">
        <v>3000</v>
      </c>
      <c r="J26" s="40">
        <v>0</v>
      </c>
      <c r="K26" s="40">
        <v>3000</v>
      </c>
      <c r="L26" s="40">
        <v>500</v>
      </c>
      <c r="M26" s="40">
        <v>500</v>
      </c>
      <c r="N26" s="40">
        <v>0</v>
      </c>
      <c r="O26" s="40">
        <v>0</v>
      </c>
      <c r="P26" s="40">
        <v>0</v>
      </c>
      <c r="Q26" s="40">
        <v>3000</v>
      </c>
      <c r="R26" s="40">
        <v>0</v>
      </c>
      <c r="S26" s="40">
        <v>0</v>
      </c>
      <c r="T26" s="40">
        <v>3000</v>
      </c>
      <c r="U26" s="40">
        <v>2000</v>
      </c>
      <c r="V26" s="40">
        <v>0</v>
      </c>
      <c r="W26" s="40">
        <v>0</v>
      </c>
      <c r="X26" s="40">
        <v>3000</v>
      </c>
      <c r="Y26" s="40">
        <v>3000</v>
      </c>
      <c r="Z26" s="40"/>
      <c r="AA26" s="40"/>
    </row>
    <row r="27" spans="1:32" x14ac:dyDescent="0.25">
      <c r="A27" s="27">
        <v>41728</v>
      </c>
      <c r="B27" s="79">
        <v>2342</v>
      </c>
      <c r="C27" s="40">
        <v>0</v>
      </c>
      <c r="D27" s="40">
        <v>0</v>
      </c>
      <c r="E27" s="40">
        <v>0</v>
      </c>
      <c r="F27" s="40">
        <v>1000</v>
      </c>
      <c r="G27" s="40">
        <v>3000</v>
      </c>
      <c r="H27" s="40">
        <v>0</v>
      </c>
      <c r="I27" s="40">
        <v>3000</v>
      </c>
      <c r="J27" s="40">
        <v>0</v>
      </c>
      <c r="K27" s="40">
        <v>3000</v>
      </c>
      <c r="L27" s="40">
        <v>500</v>
      </c>
      <c r="M27" s="40">
        <v>1000</v>
      </c>
      <c r="N27" s="40">
        <v>0</v>
      </c>
      <c r="O27" s="40">
        <v>1000</v>
      </c>
      <c r="P27" s="40">
        <v>0</v>
      </c>
      <c r="Q27" s="40">
        <v>3000</v>
      </c>
      <c r="R27" s="40">
        <v>0</v>
      </c>
      <c r="S27" s="40">
        <v>3000</v>
      </c>
      <c r="T27" s="40">
        <v>3000</v>
      </c>
      <c r="U27" s="40">
        <v>2000</v>
      </c>
      <c r="V27" s="40">
        <v>0</v>
      </c>
      <c r="W27" s="40">
        <v>3000</v>
      </c>
      <c r="X27" s="40">
        <v>3000</v>
      </c>
      <c r="Y27" s="40">
        <v>3000</v>
      </c>
      <c r="Z27" s="40"/>
      <c r="AA27" s="40"/>
    </row>
    <row r="28" spans="1:32" x14ac:dyDescent="0.25">
      <c r="A28" s="27">
        <v>41744</v>
      </c>
      <c r="B28" s="79">
        <v>234324</v>
      </c>
      <c r="C28" s="40">
        <v>0</v>
      </c>
      <c r="D28" s="40">
        <v>0</v>
      </c>
      <c r="E28" s="40">
        <v>0</v>
      </c>
      <c r="F28" s="40">
        <v>1000</v>
      </c>
      <c r="G28" s="40">
        <v>3000</v>
      </c>
      <c r="H28" s="40">
        <v>0</v>
      </c>
      <c r="I28" s="40">
        <v>3000</v>
      </c>
      <c r="J28" s="40">
        <v>0</v>
      </c>
      <c r="K28" s="40">
        <v>3000</v>
      </c>
      <c r="L28" s="40">
        <v>500</v>
      </c>
      <c r="M28" s="40">
        <v>1000</v>
      </c>
      <c r="N28" s="40">
        <v>0</v>
      </c>
      <c r="O28" s="40">
        <v>1000</v>
      </c>
      <c r="P28" s="40">
        <v>0</v>
      </c>
      <c r="Q28" s="40">
        <v>3000</v>
      </c>
      <c r="R28" s="40">
        <v>0</v>
      </c>
      <c r="S28" s="40">
        <v>3000</v>
      </c>
      <c r="T28" s="40">
        <v>3000</v>
      </c>
      <c r="U28" s="40">
        <v>2000</v>
      </c>
      <c r="V28" s="40">
        <v>0</v>
      </c>
      <c r="W28" s="40">
        <v>0</v>
      </c>
      <c r="X28" s="40">
        <v>3000</v>
      </c>
      <c r="Y28" s="40">
        <v>3000</v>
      </c>
      <c r="Z28" s="40"/>
      <c r="AA28" s="40"/>
    </row>
    <row r="29" spans="1:32" x14ac:dyDescent="0.25">
      <c r="A29" s="27">
        <v>41759</v>
      </c>
      <c r="B29" s="79">
        <v>23432</v>
      </c>
      <c r="C29" s="40">
        <v>0</v>
      </c>
      <c r="D29" s="40">
        <v>0</v>
      </c>
      <c r="E29" s="40">
        <v>0</v>
      </c>
      <c r="F29" s="40">
        <v>1000</v>
      </c>
      <c r="G29" s="40">
        <v>3000</v>
      </c>
      <c r="H29" s="40">
        <v>0</v>
      </c>
      <c r="I29" s="40">
        <v>3000</v>
      </c>
      <c r="J29" s="40">
        <v>0</v>
      </c>
      <c r="K29" s="40">
        <v>3000</v>
      </c>
      <c r="L29" s="40">
        <v>0</v>
      </c>
      <c r="M29" s="40">
        <v>1000</v>
      </c>
      <c r="N29" s="40">
        <v>0</v>
      </c>
      <c r="O29" s="40">
        <v>1000</v>
      </c>
      <c r="P29" s="40">
        <v>0</v>
      </c>
      <c r="Q29" s="40">
        <v>0</v>
      </c>
      <c r="R29" s="40">
        <v>0</v>
      </c>
      <c r="S29" s="40">
        <v>2000</v>
      </c>
      <c r="T29" s="40">
        <v>3000</v>
      </c>
      <c r="U29" s="40">
        <v>2000</v>
      </c>
      <c r="V29" s="40">
        <v>0</v>
      </c>
      <c r="W29" s="40">
        <v>1000</v>
      </c>
      <c r="X29" s="40">
        <v>3000</v>
      </c>
      <c r="Y29" s="40">
        <v>3000</v>
      </c>
      <c r="Z29" s="40"/>
      <c r="AA29" s="40"/>
    </row>
    <row r="30" spans="1:32" x14ac:dyDescent="0.25">
      <c r="A30" s="27">
        <v>41774</v>
      </c>
      <c r="B30" s="79">
        <v>234234</v>
      </c>
      <c r="C30" s="40">
        <v>0</v>
      </c>
      <c r="D30" s="40">
        <v>0</v>
      </c>
      <c r="E30" s="40">
        <v>1000</v>
      </c>
      <c r="F30" s="40">
        <v>1000</v>
      </c>
      <c r="G30" s="40">
        <v>3000</v>
      </c>
      <c r="H30" s="40">
        <v>0</v>
      </c>
      <c r="I30" s="40">
        <v>0</v>
      </c>
      <c r="J30" s="40">
        <v>0</v>
      </c>
      <c r="K30" s="40">
        <v>3000</v>
      </c>
      <c r="L30" s="40">
        <v>500</v>
      </c>
      <c r="M30" s="40">
        <v>1000</v>
      </c>
      <c r="N30" s="40">
        <v>0</v>
      </c>
      <c r="O30" s="40">
        <v>1000</v>
      </c>
      <c r="P30" s="40">
        <v>0</v>
      </c>
      <c r="Q30" s="40">
        <v>0</v>
      </c>
      <c r="R30" s="40">
        <v>0</v>
      </c>
      <c r="S30" s="40">
        <v>0</v>
      </c>
      <c r="T30" s="40">
        <v>3000</v>
      </c>
      <c r="U30" s="40">
        <v>0</v>
      </c>
      <c r="V30" s="40">
        <v>2000</v>
      </c>
      <c r="W30" s="40">
        <v>0</v>
      </c>
      <c r="X30" s="40">
        <v>3000</v>
      </c>
      <c r="Y30" s="40">
        <v>3000</v>
      </c>
      <c r="Z30" s="40"/>
      <c r="AA30" s="40"/>
    </row>
    <row r="31" spans="1:32" x14ac:dyDescent="0.25">
      <c r="A31" s="27">
        <v>41789</v>
      </c>
      <c r="B31" s="79">
        <v>23423423</v>
      </c>
      <c r="C31" s="40">
        <v>0</v>
      </c>
      <c r="D31" s="40">
        <v>0</v>
      </c>
      <c r="E31" s="40">
        <v>1000</v>
      </c>
      <c r="F31" s="40">
        <v>21000</v>
      </c>
      <c r="G31" s="40">
        <v>3000</v>
      </c>
      <c r="H31" s="40">
        <v>0</v>
      </c>
      <c r="I31" s="40">
        <v>26861</v>
      </c>
      <c r="J31" s="40">
        <v>2000</v>
      </c>
      <c r="K31" s="40">
        <v>52662</v>
      </c>
      <c r="L31" s="40">
        <v>500</v>
      </c>
      <c r="M31" s="40">
        <v>11000</v>
      </c>
      <c r="N31" s="40">
        <v>0</v>
      </c>
      <c r="O31" s="40">
        <v>2919</v>
      </c>
      <c r="P31" s="40">
        <v>0</v>
      </c>
      <c r="Q31" s="40">
        <v>4908</v>
      </c>
      <c r="R31" s="40">
        <v>2611</v>
      </c>
      <c r="S31" s="40">
        <v>41124</v>
      </c>
      <c r="T31" s="40">
        <v>18000</v>
      </c>
      <c r="U31" s="40">
        <v>13235</v>
      </c>
      <c r="V31" s="40">
        <v>7543</v>
      </c>
      <c r="W31" s="40">
        <v>8662</v>
      </c>
      <c r="X31" s="40">
        <v>18367</v>
      </c>
      <c r="Y31" s="40">
        <v>18618</v>
      </c>
      <c r="Z31" s="40"/>
      <c r="AA31" s="40"/>
    </row>
    <row r="32" spans="1:32" ht="15.75" thickBot="1" x14ac:dyDescent="0.3">
      <c r="A32" s="28">
        <v>41805</v>
      </c>
      <c r="B32" s="79">
        <v>234234</v>
      </c>
      <c r="C32" s="40">
        <v>0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</row>
    <row r="33" spans="1:27" ht="15.75" thickBot="1" x14ac:dyDescent="0.3">
      <c r="A33" s="23" t="s">
        <v>5</v>
      </c>
      <c r="B33" s="78">
        <f>SUM(B21:B32)</f>
        <v>24524350</v>
      </c>
      <c r="C33" s="84">
        <f t="shared" ref="C33:M33" si="1">SUM(C21:C32) + C15</f>
        <v>300000</v>
      </c>
      <c r="D33" s="84">
        <f t="shared" si="1"/>
        <v>21210</v>
      </c>
      <c r="E33" s="84">
        <f t="shared" si="1"/>
        <v>62740</v>
      </c>
      <c r="F33" s="84">
        <f t="shared" si="1"/>
        <v>136745</v>
      </c>
      <c r="G33" s="84">
        <f t="shared" si="1"/>
        <v>144733</v>
      </c>
      <c r="H33" s="84">
        <f t="shared" si="1"/>
        <v>69667</v>
      </c>
      <c r="I33" s="84">
        <f t="shared" si="1"/>
        <v>244087</v>
      </c>
      <c r="J33" s="84">
        <f t="shared" si="1"/>
        <v>6834</v>
      </c>
      <c r="K33" s="84">
        <f t="shared" si="1"/>
        <v>249967</v>
      </c>
      <c r="L33" s="84">
        <f t="shared" si="1"/>
        <v>53565</v>
      </c>
      <c r="M33" s="84">
        <f t="shared" si="1"/>
        <v>68000</v>
      </c>
      <c r="N33" s="84">
        <f>SUM(N21:N32) + N14</f>
        <v>0</v>
      </c>
      <c r="O33" s="84">
        <f>SUM(O21:O32) + O14</f>
        <v>10419</v>
      </c>
      <c r="P33" s="84">
        <f t="shared" ref="P33:AA33" si="2">SUM(P21:P32) + P15</f>
        <v>14070</v>
      </c>
      <c r="Q33" s="84">
        <f t="shared" si="2"/>
        <v>237537</v>
      </c>
      <c r="R33" s="84">
        <f t="shared" si="2"/>
        <v>14521</v>
      </c>
      <c r="S33" s="84">
        <f t="shared" si="2"/>
        <v>245151</v>
      </c>
      <c r="T33" s="84">
        <f t="shared" si="2"/>
        <v>136164</v>
      </c>
      <c r="U33" s="84">
        <f t="shared" si="2"/>
        <v>58235</v>
      </c>
      <c r="V33" s="84">
        <f t="shared" si="2"/>
        <v>36543</v>
      </c>
      <c r="W33" s="84">
        <f t="shared" si="2"/>
        <v>44662</v>
      </c>
      <c r="X33" s="84">
        <f t="shared" si="2"/>
        <v>86367</v>
      </c>
      <c r="Y33" s="84">
        <f t="shared" si="2"/>
        <v>86618</v>
      </c>
      <c r="Z33" s="84">
        <f t="shared" si="2"/>
        <v>15000</v>
      </c>
      <c r="AA33" s="84">
        <f t="shared" si="2"/>
        <v>0</v>
      </c>
    </row>
    <row r="34" spans="1:27" x14ac:dyDescent="0.25">
      <c r="A34" s="35" t="s">
        <v>62</v>
      </c>
      <c r="B34" s="69">
        <f>SUM(C33:AA33)</f>
        <v>2342835</v>
      </c>
      <c r="C34" s="63">
        <f>C33/B34</f>
        <v>0.12804999071637568</v>
      </c>
      <c r="D34" s="39">
        <f>D33/B34</f>
        <v>9.0531343436477604E-3</v>
      </c>
      <c r="E34" s="39">
        <f>E33/B34</f>
        <v>2.6779521391818033E-2</v>
      </c>
      <c r="F34" s="39">
        <f>F33/B34</f>
        <v>5.8367319935035973E-2</v>
      </c>
      <c r="G34" s="39">
        <f>G33/B34</f>
        <v>6.1776864354510665E-2</v>
      </c>
      <c r="H34" s="39">
        <f>H33/B34</f>
        <v>2.9736195677459148E-2</v>
      </c>
      <c r="I34" s="39">
        <f>I33/B34</f>
        <v>0.10418446027995996</v>
      </c>
      <c r="J34" s="39">
        <f>J33/B34</f>
        <v>2.916978788519038E-3</v>
      </c>
      <c r="K34" s="39">
        <f>K33/B34</f>
        <v>0.10669424009800092</v>
      </c>
      <c r="L34" s="39">
        <f>L33/B34</f>
        <v>2.2863325842408876E-2</v>
      </c>
      <c r="M34" s="39">
        <f>M33/B34</f>
        <v>2.9024664562378486E-2</v>
      </c>
      <c r="N34" s="39">
        <f>N33/B34</f>
        <v>0</v>
      </c>
      <c r="O34" s="39">
        <f>O33/B34</f>
        <v>4.4471761775797267E-3</v>
      </c>
      <c r="P34" s="39">
        <f>P33/B34</f>
        <v>6.0055445645980192E-3</v>
      </c>
      <c r="Q34" s="39">
        <f>Q33/B34</f>
        <v>0.1013887021493191</v>
      </c>
      <c r="R34" s="39">
        <f>R33/B34</f>
        <v>6.1980463839749703E-3</v>
      </c>
      <c r="S34" s="39">
        <f>S33/B34</f>
        <v>0.10463861091370071</v>
      </c>
      <c r="T34" s="39">
        <f>T33/B34</f>
        <v>5.8119329786348588E-2</v>
      </c>
      <c r="U34" s="39">
        <f>U33/B34</f>
        <v>2.4856637364560459E-2</v>
      </c>
      <c r="V34" s="39">
        <f>V33/B34</f>
        <v>1.5597769369161721E-2</v>
      </c>
      <c r="W34" s="39">
        <f>W33/B34</f>
        <v>1.9063228951249234E-2</v>
      </c>
      <c r="X34" s="39">
        <f>X33/B34</f>
        <v>3.686431182733739E-2</v>
      </c>
      <c r="Y34" s="39">
        <f>Y33/B34</f>
        <v>3.6971446986236757E-2</v>
      </c>
      <c r="Z34" s="39">
        <f>Z33/B34</f>
        <v>6.4024995358187833E-3</v>
      </c>
      <c r="AA34" s="52">
        <f>AA33/B34</f>
        <v>0</v>
      </c>
    </row>
    <row r="35" spans="1:27" ht="15.75" thickBot="1" x14ac:dyDescent="0.3">
      <c r="A35" s="35" t="s">
        <v>64</v>
      </c>
      <c r="B35" s="70">
        <f>SUM(C35:AA35)</f>
        <v>24524349.999999996</v>
      </c>
      <c r="C35" s="64">
        <f>B33*C34</f>
        <v>3140342.7898251479</v>
      </c>
      <c r="D35" s="53">
        <f>B33*D34</f>
        <v>222022.23524063797</v>
      </c>
      <c r="E35" s="53">
        <f>B33*E34</f>
        <v>656750.35544543259</v>
      </c>
      <c r="F35" s="53">
        <f>B33*F34</f>
        <v>1431420.5826487995</v>
      </c>
      <c r="G35" s="53">
        <f>B33*G34</f>
        <v>1515037.4433325436</v>
      </c>
      <c r="H35" s="53">
        <f>B33*H34</f>
        <v>729260.87046249525</v>
      </c>
      <c r="I35" s="53">
        <f>B33*I34</f>
        <v>2555056.1684668362</v>
      </c>
      <c r="J35" s="53">
        <f>B33*J34</f>
        <v>71537.008752216876</v>
      </c>
      <c r="K35" s="53">
        <f>B33*K34</f>
        <v>2616606.8871474089</v>
      </c>
      <c r="L35" s="53">
        <f>B33*L34</f>
        <v>560708.20512328006</v>
      </c>
      <c r="M35" s="53">
        <f>B33*M34</f>
        <v>711811.03236036678</v>
      </c>
      <c r="N35" s="53">
        <f>B33*N34</f>
        <v>0</v>
      </c>
      <c r="O35" s="53">
        <f>B33*O34</f>
        <v>109064.10509062737</v>
      </c>
      <c r="P35" s="53">
        <f>B33*P34</f>
        <v>147282.07684279943</v>
      </c>
      <c r="Q35" s="53">
        <f>B33*Q34</f>
        <v>2486492.0175556536</v>
      </c>
      <c r="R35" s="53">
        <f>B33*R34</f>
        <v>152003.05883683657</v>
      </c>
      <c r="S35" s="53">
        <f>B33*S34</f>
        <v>2566193.917561416</v>
      </c>
      <c r="T35" s="53">
        <f>B33*T34</f>
        <v>1425338.785445838</v>
      </c>
      <c r="U35" s="53">
        <f>B33*U34</f>
        <v>609592.87455155829</v>
      </c>
      <c r="V35" s="53">
        <f>B33*V34</f>
        <v>382525.15522860124</v>
      </c>
      <c r="W35" s="53">
        <f>B33*W34</f>
        <v>467513.29893056914</v>
      </c>
      <c r="X35" s="53">
        <f>B33*X34</f>
        <v>904073.28576276172</v>
      </c>
      <c r="Y35" s="53">
        <f>B33*Y34</f>
        <v>906700.7058969154</v>
      </c>
      <c r="Z35" s="53">
        <f>B33*Z34</f>
        <v>157017.13949125737</v>
      </c>
      <c r="AA35" s="54">
        <f>B33*AA34</f>
        <v>0</v>
      </c>
    </row>
    <row r="36" spans="1:27" ht="15.75" thickBot="1" x14ac:dyDescent="0.3">
      <c r="B36" s="80">
        <f>SUM(C34:AA34)</f>
        <v>1</v>
      </c>
    </row>
    <row r="37" spans="1:27" ht="15.75" thickBot="1" x14ac:dyDescent="0.3">
      <c r="A37" s="37" t="s">
        <v>49</v>
      </c>
    </row>
    <row r="38" spans="1:27" ht="15.75" thickBot="1" x14ac:dyDescent="0.3">
      <c r="A38" s="20" t="s">
        <v>4</v>
      </c>
      <c r="B38" s="4" t="s">
        <v>47</v>
      </c>
      <c r="C38" s="21" t="s">
        <v>21</v>
      </c>
      <c r="D38" s="21" t="s">
        <v>22</v>
      </c>
      <c r="E38" s="22" t="s">
        <v>23</v>
      </c>
      <c r="F38" s="22" t="s">
        <v>24</v>
      </c>
      <c r="G38" s="22" t="s">
        <v>25</v>
      </c>
      <c r="H38" s="22" t="s">
        <v>26</v>
      </c>
      <c r="I38" s="22" t="s">
        <v>27</v>
      </c>
      <c r="J38" s="22" t="s">
        <v>28</v>
      </c>
      <c r="K38" s="22" t="s">
        <v>29</v>
      </c>
      <c r="L38" s="22" t="s">
        <v>20</v>
      </c>
      <c r="M38" s="22" t="s">
        <v>30</v>
      </c>
      <c r="N38" s="22" t="s">
        <v>31</v>
      </c>
      <c r="O38" s="22" t="s">
        <v>32</v>
      </c>
      <c r="P38" s="22" t="s">
        <v>33</v>
      </c>
      <c r="Q38" s="22" t="s">
        <v>34</v>
      </c>
      <c r="R38" s="22" t="s">
        <v>35</v>
      </c>
      <c r="S38" s="22" t="s">
        <v>36</v>
      </c>
      <c r="T38" s="22" t="s">
        <v>37</v>
      </c>
      <c r="U38" s="22" t="s">
        <v>6</v>
      </c>
      <c r="V38" s="22" t="s">
        <v>0</v>
      </c>
      <c r="W38" s="22" t="s">
        <v>38</v>
      </c>
      <c r="X38" s="22" t="s">
        <v>39</v>
      </c>
      <c r="Y38" s="22" t="s">
        <v>40</v>
      </c>
      <c r="Z38" s="22" t="s">
        <v>44</v>
      </c>
      <c r="AA38" s="22" t="s">
        <v>45</v>
      </c>
    </row>
    <row r="39" spans="1:27" x14ac:dyDescent="0.25">
      <c r="A39" s="33">
        <v>41820</v>
      </c>
      <c r="B39" s="24">
        <v>35435</v>
      </c>
      <c r="C39" s="4">
        <v>0</v>
      </c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:27" x14ac:dyDescent="0.25">
      <c r="A40" s="34">
        <v>41835</v>
      </c>
      <c r="B40" s="24">
        <v>234234</v>
      </c>
      <c r="C40" s="4">
        <v>0</v>
      </c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1:27" x14ac:dyDescent="0.25">
      <c r="A41" s="34">
        <v>41850</v>
      </c>
      <c r="B41" s="24">
        <v>23423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</row>
    <row r="42" spans="1:27" x14ac:dyDescent="0.25">
      <c r="A42" s="34">
        <v>41866</v>
      </c>
      <c r="B42" s="24">
        <v>23423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</row>
    <row r="43" spans="1:27" x14ac:dyDescent="0.25">
      <c r="A43" s="34">
        <v>41881</v>
      </c>
      <c r="B43" s="24">
        <v>32423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</row>
    <row r="44" spans="1:27" x14ac:dyDescent="0.25">
      <c r="A44" s="34">
        <v>41897</v>
      </c>
      <c r="B44" s="24">
        <v>23423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</row>
    <row r="45" spans="1:27" x14ac:dyDescent="0.25">
      <c r="A45" s="34">
        <v>41912</v>
      </c>
      <c r="B45" s="24">
        <v>2342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</row>
    <row r="46" spans="1:27" x14ac:dyDescent="0.25">
      <c r="A46" s="34">
        <v>41927</v>
      </c>
      <c r="B46" s="24">
        <v>234324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</row>
    <row r="47" spans="1:27" x14ac:dyDescent="0.25">
      <c r="A47" s="34">
        <v>41942</v>
      </c>
      <c r="B47" s="24">
        <v>23432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</row>
    <row r="48" spans="1:27" x14ac:dyDescent="0.25">
      <c r="A48" s="34">
        <v>41958</v>
      </c>
      <c r="B48" s="24">
        <v>234234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</row>
    <row r="49" spans="1:27" x14ac:dyDescent="0.25">
      <c r="A49" s="47">
        <v>41973</v>
      </c>
      <c r="B49" s="24" t="s">
        <v>47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</row>
    <row r="50" spans="1:27" ht="15.75" thickBot="1" x14ac:dyDescent="0.3">
      <c r="A50" s="25"/>
      <c r="B50" s="25">
        <v>234234</v>
      </c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</row>
    <row r="51" spans="1:27" ht="15.75" thickBot="1" x14ac:dyDescent="0.3">
      <c r="A51" s="23" t="s">
        <v>5</v>
      </c>
      <c r="B51">
        <f>SUM(B39:B50)</f>
        <v>1100927</v>
      </c>
      <c r="C51" s="84">
        <f t="shared" ref="C51:M51" si="3">SUM(C39:C50) + C33</f>
        <v>300000</v>
      </c>
      <c r="D51" s="84">
        <f t="shared" si="3"/>
        <v>21210</v>
      </c>
      <c r="E51" s="84">
        <f t="shared" si="3"/>
        <v>62740</v>
      </c>
      <c r="F51" s="84">
        <f t="shared" si="3"/>
        <v>136745</v>
      </c>
      <c r="G51" s="84">
        <f t="shared" si="3"/>
        <v>144733</v>
      </c>
      <c r="H51" s="84">
        <f t="shared" si="3"/>
        <v>69667</v>
      </c>
      <c r="I51" s="84">
        <f t="shared" si="3"/>
        <v>244087</v>
      </c>
      <c r="J51" s="84">
        <f t="shared" si="3"/>
        <v>6834</v>
      </c>
      <c r="K51" s="84">
        <f t="shared" si="3"/>
        <v>249967</v>
      </c>
      <c r="L51" s="84">
        <f t="shared" si="3"/>
        <v>53565</v>
      </c>
      <c r="M51" s="84">
        <f t="shared" si="3"/>
        <v>68000</v>
      </c>
      <c r="N51" s="84">
        <f>SUM(N39:N50) + N32</f>
        <v>0</v>
      </c>
      <c r="O51" s="84">
        <f>SUM(O39:O50) + O32</f>
        <v>0</v>
      </c>
      <c r="P51" s="84">
        <f t="shared" ref="P51:AA51" si="4">SUM(P39:P50) + P33</f>
        <v>14070</v>
      </c>
      <c r="Q51" s="84">
        <f t="shared" si="4"/>
        <v>237537</v>
      </c>
      <c r="R51" s="84">
        <f t="shared" si="4"/>
        <v>14521</v>
      </c>
      <c r="S51" s="84">
        <f t="shared" si="4"/>
        <v>245151</v>
      </c>
      <c r="T51" s="84">
        <f t="shared" si="4"/>
        <v>136164</v>
      </c>
      <c r="U51" s="84">
        <f t="shared" si="4"/>
        <v>58235</v>
      </c>
      <c r="V51" s="84">
        <f t="shared" si="4"/>
        <v>36543</v>
      </c>
      <c r="W51" s="84">
        <f t="shared" si="4"/>
        <v>44662</v>
      </c>
      <c r="X51" s="84">
        <f t="shared" si="4"/>
        <v>86367</v>
      </c>
      <c r="Y51" s="84">
        <f t="shared" si="4"/>
        <v>86618</v>
      </c>
      <c r="Z51" s="84">
        <f t="shared" si="4"/>
        <v>15000</v>
      </c>
      <c r="AA51" s="84">
        <f t="shared" si="4"/>
        <v>0</v>
      </c>
    </row>
    <row r="52" spans="1:27" x14ac:dyDescent="0.25">
      <c r="A52" s="35" t="s">
        <v>62</v>
      </c>
      <c r="B52" s="69">
        <f>SUM(C51:AA51)</f>
        <v>2332416</v>
      </c>
      <c r="C52" s="63">
        <f>C51/B52</f>
        <v>0.12862199539018768</v>
      </c>
      <c r="D52" s="39">
        <f>D51/B52</f>
        <v>9.0935750740862697E-3</v>
      </c>
      <c r="E52" s="39">
        <f>E51/B52</f>
        <v>2.6899146635934585E-2</v>
      </c>
      <c r="F52" s="39">
        <f>F51/B52</f>
        <v>5.8628049198770717E-2</v>
      </c>
      <c r="G52" s="39">
        <f>G51/B52</f>
        <v>6.2052824196026778E-2</v>
      </c>
      <c r="H52" s="39">
        <f>H51/B52</f>
        <v>2.9869028509494019E-2</v>
      </c>
      <c r="I52" s="39">
        <f>I51/B52</f>
        <v>0.10464985662934914</v>
      </c>
      <c r="J52" s="39">
        <f>J51/B52</f>
        <v>2.9300090549884755E-3</v>
      </c>
      <c r="K52" s="39">
        <f>K51/B52</f>
        <v>0.10717084773899682</v>
      </c>
      <c r="L52" s="39">
        <f>L51/B52</f>
        <v>2.2965457276918011E-2</v>
      </c>
      <c r="M52" s="39">
        <f>M51/B52</f>
        <v>2.9154318955109209E-2</v>
      </c>
      <c r="N52" s="39">
        <f>N51/B52</f>
        <v>0</v>
      </c>
      <c r="O52" s="39">
        <f>O51/B52</f>
        <v>0</v>
      </c>
      <c r="P52" s="39">
        <f>P51/B52</f>
        <v>6.0323715837998027E-3</v>
      </c>
      <c r="Q52" s="39">
        <f>Q51/B52</f>
        <v>0.1018416097299967</v>
      </c>
      <c r="R52" s="39">
        <f>R51/B52</f>
        <v>6.2257333168697178E-3</v>
      </c>
      <c r="S52" s="39">
        <f>S51/B52</f>
        <v>0.10510603597299967</v>
      </c>
      <c r="T52" s="39">
        <f>T51/B52</f>
        <v>5.837895126769839E-2</v>
      </c>
      <c r="U52" s="39">
        <f>U51/B52</f>
        <v>2.4967673005158598E-2</v>
      </c>
      <c r="V52" s="39">
        <f>V51/B52</f>
        <v>1.5667445258478761E-2</v>
      </c>
      <c r="W52" s="39">
        <f>W51/B52</f>
        <v>1.9148385193721876E-2</v>
      </c>
      <c r="X52" s="39">
        <f>X51/B52</f>
        <v>3.7028986252881133E-2</v>
      </c>
      <c r="Y52" s="39">
        <f>Y51/B52</f>
        <v>3.7136599989024258E-2</v>
      </c>
      <c r="Z52" s="39">
        <f>Z51/B52</f>
        <v>6.4310997695093842E-3</v>
      </c>
      <c r="AA52" s="52">
        <f>AA51/B52</f>
        <v>0</v>
      </c>
    </row>
    <row r="53" spans="1:27" ht="15.75" thickBot="1" x14ac:dyDescent="0.3">
      <c r="A53" s="35" t="s">
        <v>64</v>
      </c>
      <c r="B53" s="70">
        <f>SUM(C53:AA53)</f>
        <v>1100926.9999999998</v>
      </c>
      <c r="C53" s="64">
        <f>B51*C52</f>
        <v>141603.42751893314</v>
      </c>
      <c r="D53" s="53">
        <f>B51*D52</f>
        <v>10011.362325588574</v>
      </c>
      <c r="E53" s="53">
        <f>B51*E52</f>
        <v>29613.996808459557</v>
      </c>
      <c r="F53" s="53">
        <f>B51*F52</f>
        <v>64545.202320255048</v>
      </c>
      <c r="G53" s="53">
        <f>B51*G52</f>
        <v>68315.629583659174</v>
      </c>
      <c r="H53" s="53">
        <f>B51*H52</f>
        <v>32883.619949871725</v>
      </c>
      <c r="I53" s="53">
        <f>B51*I52</f>
        <v>115211.85270937947</v>
      </c>
      <c r="J53" s="53">
        <f>B51*J52</f>
        <v>3225.7260788812973</v>
      </c>
      <c r="K53" s="53">
        <f>B51*K52</f>
        <v>117987.27988875055</v>
      </c>
      <c r="L53" s="53">
        <f>B51*L52</f>
        <v>25283.291983505515</v>
      </c>
      <c r="M53" s="53">
        <f>B51*M52</f>
        <v>32096.776904291517</v>
      </c>
      <c r="N53" s="53">
        <f>B51*N52</f>
        <v>0</v>
      </c>
      <c r="O53" s="53">
        <f>B51*O52</f>
        <v>0</v>
      </c>
      <c r="P53" s="53">
        <f>B51*P52</f>
        <v>6641.200750637965</v>
      </c>
      <c r="Q53" s="53">
        <f>B51*Q52</f>
        <v>112120.17787521608</v>
      </c>
      <c r="R53" s="53">
        <f>B51*R52</f>
        <v>6854.0779033414274</v>
      </c>
      <c r="S53" s="53">
        <f>B51*S52</f>
        <v>115714.07286564661</v>
      </c>
      <c r="T53" s="53">
        <f>B51*T52</f>
        <v>64270.963682293383</v>
      </c>
      <c r="U53" s="53">
        <f>B51*U52</f>
        <v>27487.585338550241</v>
      </c>
      <c r="V53" s="53">
        <f>B51*V52</f>
        <v>17248.713506081247</v>
      </c>
      <c r="W53" s="53">
        <f>B51*W52</f>
        <v>21080.974266168643</v>
      </c>
      <c r="X53" s="53">
        <f>B51*X52</f>
        <v>40766.210748425663</v>
      </c>
      <c r="Y53" s="53">
        <f>B51*Y52</f>
        <v>40884.685616116512</v>
      </c>
      <c r="Z53" s="53">
        <f>B51*Z52</f>
        <v>7080.1713759466575</v>
      </c>
      <c r="AA53" s="54">
        <f>B51*AA52</f>
        <v>0</v>
      </c>
    </row>
    <row r="54" spans="1:27" x14ac:dyDescent="0.25">
      <c r="A54"/>
      <c r="B54" s="80">
        <f>SUM(C52:AA52)</f>
        <v>1</v>
      </c>
    </row>
    <row r="55" spans="1:27" x14ac:dyDescent="0.25">
      <c r="A55" s="140">
        <v>2015</v>
      </c>
      <c r="B55" t="s">
        <v>47</v>
      </c>
    </row>
    <row r="56" spans="1:27" x14ac:dyDescent="0.25">
      <c r="A56" s="15" t="s">
        <v>80</v>
      </c>
    </row>
    <row r="57" spans="1:27" x14ac:dyDescent="0.25">
      <c r="A57" s="139" t="s">
        <v>80</v>
      </c>
    </row>
    <row r="58" spans="1:27" x14ac:dyDescent="0.25">
      <c r="A58" s="139" t="s">
        <v>80</v>
      </c>
    </row>
    <row r="59" spans="1:27" x14ac:dyDescent="0.25">
      <c r="A59" s="139" t="s">
        <v>80</v>
      </c>
    </row>
    <row r="60" spans="1:27" x14ac:dyDescent="0.25">
      <c r="A60" s="139" t="s">
        <v>80</v>
      </c>
    </row>
    <row r="61" spans="1:27" x14ac:dyDescent="0.25">
      <c r="A61" s="139" t="s">
        <v>80</v>
      </c>
    </row>
    <row r="62" spans="1:27" x14ac:dyDescent="0.25">
      <c r="A62" s="139" t="s">
        <v>80</v>
      </c>
    </row>
    <row r="63" spans="1:27" x14ac:dyDescent="0.25">
      <c r="A63" s="139" t="s">
        <v>80</v>
      </c>
    </row>
    <row r="64" spans="1:27" x14ac:dyDescent="0.25">
      <c r="A64" s="139" t="s">
        <v>80</v>
      </c>
    </row>
    <row r="65" spans="1:32" x14ac:dyDescent="0.25">
      <c r="A65" s="139" t="s">
        <v>80</v>
      </c>
    </row>
    <row r="66" spans="1:32" x14ac:dyDescent="0.25">
      <c r="A66" s="139" t="s">
        <v>80</v>
      </c>
    </row>
    <row r="67" spans="1:32" x14ac:dyDescent="0.25">
      <c r="A67" s="138" t="s">
        <v>80</v>
      </c>
      <c r="AF67" s="1"/>
    </row>
    <row r="68" spans="1:32" x14ac:dyDescent="0.25">
      <c r="A68" s="138" t="s">
        <v>80</v>
      </c>
      <c r="AF68" s="1"/>
    </row>
    <row r="69" spans="1:32" x14ac:dyDescent="0.25">
      <c r="A69" s="141" t="s">
        <v>5</v>
      </c>
      <c r="AF69" s="1"/>
    </row>
    <row r="70" spans="1:32" x14ac:dyDescent="0.25">
      <c r="A70" s="142"/>
      <c r="AF70" s="1"/>
    </row>
    <row r="71" spans="1:32" x14ac:dyDescent="0.25">
      <c r="AF71" s="1"/>
    </row>
    <row r="73" spans="1:32" x14ac:dyDescent="0.25">
      <c r="AF73" s="1"/>
    </row>
    <row r="74" spans="1:32" x14ac:dyDescent="0.25">
      <c r="AF74" s="1"/>
    </row>
    <row r="75" spans="1:32" x14ac:dyDescent="0.25">
      <c r="AF75" s="1"/>
    </row>
    <row r="76" spans="1:32" x14ac:dyDescent="0.25">
      <c r="AF76" s="1"/>
    </row>
    <row r="77" spans="1:32" x14ac:dyDescent="0.25">
      <c r="AF77" s="1"/>
    </row>
    <row r="78" spans="1:32" x14ac:dyDescent="0.25">
      <c r="AF78" s="1"/>
    </row>
    <row r="79" spans="1:32" x14ac:dyDescent="0.25"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AF79" s="1"/>
    </row>
    <row r="80" spans="1:32" x14ac:dyDescent="0.25"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AF80" s="1"/>
    </row>
    <row r="81" spans="1:32" x14ac:dyDescent="0.25"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AF81" s="1"/>
    </row>
    <row r="82" spans="1:32" x14ac:dyDescent="0.25"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AF82" s="1"/>
    </row>
    <row r="83" spans="1:32" x14ac:dyDescent="0.25"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AF83" s="1"/>
    </row>
    <row r="84" spans="1:32" x14ac:dyDescent="0.25"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AF84" s="1"/>
    </row>
    <row r="85" spans="1:32" x14ac:dyDescent="0.25">
      <c r="D85" s="3"/>
      <c r="E85" s="3"/>
      <c r="F85" s="3"/>
      <c r="G85" s="3"/>
      <c r="H85" s="3"/>
      <c r="I85" s="3"/>
      <c r="J85" s="3"/>
      <c r="AF85" s="1"/>
    </row>
    <row r="86" spans="1:32" x14ac:dyDescent="0.25">
      <c r="A86" s="36"/>
      <c r="B86" s="3"/>
      <c r="C86" s="3"/>
      <c r="D86" s="3"/>
      <c r="E86" s="3"/>
      <c r="F86" s="3"/>
      <c r="G86" s="3"/>
      <c r="H86" s="3"/>
      <c r="I86" s="3"/>
      <c r="J86" s="3"/>
      <c r="AF86" s="1"/>
    </row>
    <row r="87" spans="1:32" x14ac:dyDescent="0.25">
      <c r="A87" s="36"/>
      <c r="B87" s="3"/>
      <c r="C87" s="3"/>
      <c r="D87" s="3"/>
      <c r="E87" s="3"/>
      <c r="F87" s="3"/>
      <c r="G87" s="3"/>
      <c r="H87" s="3"/>
      <c r="I87" s="3"/>
      <c r="J87" s="3"/>
      <c r="AF87" s="1"/>
    </row>
    <row r="88" spans="1:32" x14ac:dyDescent="0.25">
      <c r="A88" s="36"/>
      <c r="B88" s="3"/>
      <c r="C88" s="3"/>
      <c r="D88" s="3"/>
      <c r="E88" s="3"/>
      <c r="F88" s="3"/>
      <c r="G88" s="3"/>
      <c r="H88" s="3"/>
      <c r="I88" s="3"/>
      <c r="J88" s="3"/>
      <c r="AF88" s="1"/>
    </row>
    <row r="89" spans="1:32" x14ac:dyDescent="0.25">
      <c r="A89" s="36"/>
      <c r="B89" s="3"/>
      <c r="C89" s="3"/>
      <c r="D89" s="3"/>
      <c r="E89" s="3"/>
      <c r="F89" s="3"/>
      <c r="G89" s="3"/>
      <c r="H89" s="3"/>
      <c r="I89" s="3"/>
      <c r="J89" s="3"/>
      <c r="AF89" s="1"/>
    </row>
    <row r="90" spans="1:32" x14ac:dyDescent="0.25">
      <c r="A90" s="36"/>
      <c r="B90" s="3"/>
      <c r="C90" s="3"/>
      <c r="D90" s="3"/>
      <c r="E90" s="3"/>
      <c r="F90" s="3"/>
      <c r="G90" s="3"/>
      <c r="H90" s="3"/>
      <c r="I90" s="3"/>
      <c r="J90" s="3"/>
      <c r="AF90" s="1"/>
    </row>
    <row r="91" spans="1:32" x14ac:dyDescent="0.25">
      <c r="A91" s="36"/>
      <c r="B91" s="3"/>
      <c r="C91" s="3"/>
      <c r="D91" s="3"/>
      <c r="E91" s="3"/>
      <c r="F91" s="3"/>
      <c r="G91" s="3"/>
      <c r="H91" s="3"/>
      <c r="I91" s="3"/>
      <c r="J91" s="3"/>
      <c r="AF91" s="1"/>
    </row>
    <row r="92" spans="1:32" x14ac:dyDescent="0.25">
      <c r="A92" s="36"/>
      <c r="B92" s="3"/>
      <c r="C92" s="3"/>
      <c r="D92" s="3"/>
      <c r="E92" s="3"/>
      <c r="F92" s="3"/>
      <c r="G92" s="3"/>
      <c r="H92" s="3"/>
      <c r="I92" s="3"/>
      <c r="J92" s="3"/>
      <c r="AF92" s="1"/>
    </row>
    <row r="93" spans="1:32" x14ac:dyDescent="0.25">
      <c r="A93" s="36"/>
      <c r="B93" s="3"/>
      <c r="C93" s="3"/>
      <c r="D93" s="3"/>
      <c r="E93" s="3"/>
      <c r="F93" s="3"/>
      <c r="G93" s="3"/>
      <c r="H93" s="3"/>
      <c r="I93" s="3"/>
      <c r="J93" s="3"/>
      <c r="AF93" s="1"/>
    </row>
    <row r="94" spans="1:32" x14ac:dyDescent="0.25">
      <c r="A94" s="36"/>
      <c r="B94" s="3"/>
      <c r="C94" s="3"/>
      <c r="D94" s="3"/>
      <c r="E94" s="3"/>
      <c r="F94" s="3"/>
      <c r="G94" s="3"/>
      <c r="H94" s="3"/>
      <c r="I94" s="3"/>
      <c r="J94" s="3"/>
      <c r="AF94" s="1"/>
    </row>
    <row r="95" spans="1:32" x14ac:dyDescent="0.25">
      <c r="A95" s="36"/>
      <c r="B95" s="3"/>
      <c r="C95" s="3"/>
      <c r="D95" s="3"/>
      <c r="E95" s="3"/>
      <c r="F95" s="3"/>
      <c r="G95" s="3"/>
      <c r="H95" s="3"/>
      <c r="I95" s="3"/>
      <c r="J95" s="3"/>
      <c r="AF95" s="1"/>
    </row>
    <row r="96" spans="1:32" x14ac:dyDescent="0.25">
      <c r="A96" s="36"/>
      <c r="B96" s="3"/>
      <c r="C96" s="3"/>
      <c r="D96" s="3"/>
      <c r="E96" s="3"/>
      <c r="F96" s="3"/>
      <c r="G96" s="3"/>
      <c r="H96" s="3"/>
      <c r="I96" s="3"/>
      <c r="J96" s="3"/>
      <c r="AF96" s="1"/>
    </row>
    <row r="97" spans="1:32" x14ac:dyDescent="0.25">
      <c r="A97" s="36"/>
      <c r="B97" s="3"/>
      <c r="C97" s="3"/>
      <c r="D97" s="3"/>
      <c r="E97" s="3"/>
      <c r="F97" s="3"/>
      <c r="G97" s="3"/>
      <c r="H97" s="3"/>
      <c r="I97" s="3"/>
      <c r="J97" s="3"/>
      <c r="AF97" s="1"/>
    </row>
    <row r="98" spans="1:32" x14ac:dyDescent="0.25">
      <c r="A98"/>
      <c r="AF98" s="1"/>
    </row>
    <row r="99" spans="1:32" x14ac:dyDescent="0.25">
      <c r="A99"/>
      <c r="AF99" s="1"/>
    </row>
    <row r="100" spans="1:32" x14ac:dyDescent="0.25">
      <c r="A100"/>
      <c r="AF100" s="1"/>
    </row>
    <row r="101" spans="1:32" x14ac:dyDescent="0.25">
      <c r="A101"/>
      <c r="AF101" s="1"/>
    </row>
    <row r="102" spans="1:32" x14ac:dyDescent="0.25">
      <c r="A102"/>
      <c r="AF102" s="1"/>
    </row>
    <row r="103" spans="1:32" x14ac:dyDescent="0.25">
      <c r="A103"/>
      <c r="AF103" s="1"/>
    </row>
    <row r="104" spans="1:32" x14ac:dyDescent="0.25">
      <c r="A104"/>
      <c r="AF104" s="1"/>
    </row>
    <row r="105" spans="1:32" x14ac:dyDescent="0.25">
      <c r="A105"/>
      <c r="AF105" s="1"/>
    </row>
    <row r="106" spans="1:32" x14ac:dyDescent="0.25">
      <c r="A106"/>
      <c r="AF106" s="1"/>
    </row>
    <row r="107" spans="1:32" x14ac:dyDescent="0.25">
      <c r="A107"/>
      <c r="AF107" s="1"/>
    </row>
    <row r="108" spans="1:32" x14ac:dyDescent="0.25">
      <c r="A108"/>
      <c r="AF108" s="1"/>
    </row>
    <row r="109" spans="1:32" x14ac:dyDescent="0.25">
      <c r="A109"/>
      <c r="AF109" s="1"/>
    </row>
    <row r="110" spans="1:32" x14ac:dyDescent="0.25">
      <c r="A110"/>
      <c r="AF110" s="1"/>
    </row>
    <row r="111" spans="1:32" x14ac:dyDescent="0.25">
      <c r="A111"/>
      <c r="AF111" s="1"/>
    </row>
    <row r="112" spans="1:32" x14ac:dyDescent="0.25">
      <c r="A112"/>
      <c r="AF112" s="1"/>
    </row>
    <row r="113" spans="1:32" x14ac:dyDescent="0.25">
      <c r="A113"/>
      <c r="AF113" s="1"/>
    </row>
    <row r="114" spans="1:32" x14ac:dyDescent="0.25">
      <c r="A114"/>
      <c r="AF114" s="1"/>
    </row>
    <row r="115" spans="1:32" x14ac:dyDescent="0.25">
      <c r="A115"/>
      <c r="AF115" s="1"/>
    </row>
    <row r="116" spans="1:32" x14ac:dyDescent="0.25">
      <c r="A116"/>
      <c r="AF116" s="1"/>
    </row>
    <row r="117" spans="1:32" x14ac:dyDescent="0.25">
      <c r="A117"/>
      <c r="AF117" s="1"/>
    </row>
    <row r="118" spans="1:32" x14ac:dyDescent="0.25">
      <c r="A118"/>
      <c r="AF118" s="1"/>
    </row>
    <row r="119" spans="1:32" x14ac:dyDescent="0.25">
      <c r="A119"/>
      <c r="AF119" s="1"/>
    </row>
    <row r="120" spans="1:32" x14ac:dyDescent="0.25">
      <c r="A120"/>
      <c r="AF120" s="1"/>
    </row>
    <row r="121" spans="1:32" x14ac:dyDescent="0.25">
      <c r="A121"/>
      <c r="AF121" s="2"/>
    </row>
    <row r="122" spans="1:32" x14ac:dyDescent="0.25">
      <c r="A122"/>
      <c r="AF122" s="2"/>
    </row>
    <row r="123" spans="1:32" x14ac:dyDescent="0.25">
      <c r="A123"/>
      <c r="AF123" s="2"/>
    </row>
    <row r="124" spans="1:32" x14ac:dyDescent="0.25">
      <c r="A124"/>
      <c r="AF124" s="2"/>
    </row>
    <row r="125" spans="1:32" x14ac:dyDescent="0.25">
      <c r="A125"/>
      <c r="AF125" s="2"/>
    </row>
    <row r="126" spans="1:32" x14ac:dyDescent="0.25">
      <c r="A126"/>
      <c r="AF126" s="2"/>
    </row>
    <row r="127" spans="1:32" x14ac:dyDescent="0.25">
      <c r="AF127" s="2"/>
    </row>
    <row r="128" spans="1:32" x14ac:dyDescent="0.25">
      <c r="AF128" s="2"/>
    </row>
    <row r="129" spans="32:32" x14ac:dyDescent="0.25">
      <c r="AF129" s="2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65E8-46F0-4D4D-A6FA-DDB59E7A798B}">
  <sheetPr codeName="Sheet7"/>
  <dimension ref="A1:I29"/>
  <sheetViews>
    <sheetView workbookViewId="0">
      <selection activeCell="D17" sqref="D17"/>
    </sheetView>
  </sheetViews>
  <sheetFormatPr defaultRowHeight="15" x14ac:dyDescent="0.25"/>
  <cols>
    <col min="1" max="1" width="23.28515625" customWidth="1"/>
    <col min="2" max="2" width="14.7109375" customWidth="1"/>
    <col min="3" max="3" width="18.28515625" customWidth="1"/>
    <col min="4" max="4" width="15.42578125" customWidth="1"/>
    <col min="5" max="5" width="16.5703125" customWidth="1"/>
    <col min="6" max="6" width="15.85546875" customWidth="1"/>
  </cols>
  <sheetData>
    <row r="1" spans="1:9" x14ac:dyDescent="0.25">
      <c r="A1" s="143" t="s">
        <v>65</v>
      </c>
      <c r="B1" s="144"/>
      <c r="C1" s="144"/>
      <c r="D1" s="144"/>
      <c r="E1" s="144"/>
      <c r="F1" s="144"/>
      <c r="G1" s="144"/>
      <c r="H1" s="144"/>
      <c r="I1" s="145"/>
    </row>
    <row r="2" spans="1:9" ht="15.75" thickBot="1" x14ac:dyDescent="0.3">
      <c r="A2" s="146"/>
      <c r="B2" s="147"/>
      <c r="C2" s="147"/>
      <c r="D2" s="147"/>
      <c r="E2" s="147"/>
      <c r="F2" s="148"/>
      <c r="G2" s="148"/>
      <c r="H2" s="148"/>
      <c r="I2" s="149"/>
    </row>
    <row r="3" spans="1:9" x14ac:dyDescent="0.25">
      <c r="A3" s="73" t="s">
        <v>66</v>
      </c>
      <c r="B3" s="73" t="s">
        <v>62</v>
      </c>
      <c r="C3" s="73" t="s">
        <v>67</v>
      </c>
      <c r="D3" s="73" t="s">
        <v>68</v>
      </c>
      <c r="E3" s="75" t="s">
        <v>69</v>
      </c>
      <c r="F3" s="122" t="s">
        <v>73</v>
      </c>
      <c r="G3" s="123"/>
      <c r="H3" s="123"/>
      <c r="I3" s="124"/>
    </row>
    <row r="4" spans="1:9" ht="15.75" thickBot="1" x14ac:dyDescent="0.3">
      <c r="A4" s="44" t="str">
        <f>Savings!C2</f>
        <v>ken</v>
      </c>
      <c r="B4" s="71">
        <f>Savings!C16</f>
        <v>0.16427671426858256</v>
      </c>
      <c r="C4" s="72">
        <f>Savings!C17</f>
        <v>138096.75569916991</v>
      </c>
      <c r="D4" s="44">
        <v>200</v>
      </c>
      <c r="E4" s="76">
        <f>C4-D4</f>
        <v>137896.75569916991</v>
      </c>
      <c r="F4" s="125"/>
      <c r="G4" s="126"/>
      <c r="H4" s="126"/>
      <c r="I4" s="127"/>
    </row>
    <row r="5" spans="1:9" x14ac:dyDescent="0.25">
      <c r="A5" s="44" t="str">
        <f>Savings!D2</f>
        <v>gian</v>
      </c>
      <c r="B5" s="71">
        <f>Savings!D16</f>
        <v>1.112153355598304E-2</v>
      </c>
      <c r="C5" s="72">
        <f>Savings!D17</f>
        <v>9349.1503608338026</v>
      </c>
      <c r="D5" s="44">
        <v>200</v>
      </c>
      <c r="E5" s="76">
        <f t="shared" ref="E5:E28" si="0">C5-D5</f>
        <v>9149.1503608338026</v>
      </c>
      <c r="F5" s="128" t="s">
        <v>74</v>
      </c>
      <c r="G5" s="129"/>
      <c r="H5" s="129"/>
      <c r="I5" s="130"/>
    </row>
    <row r="6" spans="1:9" ht="15.75" thickBot="1" x14ac:dyDescent="0.3">
      <c r="A6" s="44" t="str">
        <f>Savings!E2</f>
        <v>donque</v>
      </c>
      <c r="B6" s="71">
        <f>Savings!E16</f>
        <v>3.1343997082445556E-2</v>
      </c>
      <c r="C6" s="72">
        <f>Savings!E17</f>
        <v>26348.860987401618</v>
      </c>
      <c r="D6" s="44">
        <v>200</v>
      </c>
      <c r="E6" s="76">
        <f t="shared" si="0"/>
        <v>26148.860987401618</v>
      </c>
      <c r="F6" s="131"/>
      <c r="G6" s="132"/>
      <c r="H6" s="132"/>
      <c r="I6" s="133"/>
    </row>
    <row r="7" spans="1:9" x14ac:dyDescent="0.25">
      <c r="A7" s="44" t="str">
        <f>Savings!F2</f>
        <v>bernard</v>
      </c>
      <c r="B7" s="71">
        <f>Savings!F16</f>
        <v>5.5166858596627837E-2</v>
      </c>
      <c r="C7" s="72">
        <f>Savings!F17</f>
        <v>46375.192176376244</v>
      </c>
      <c r="D7" s="44">
        <v>100</v>
      </c>
      <c r="E7" s="72">
        <f t="shared" si="0"/>
        <v>46275.192176376244</v>
      </c>
      <c r="F7" s="77"/>
      <c r="G7" s="77"/>
      <c r="H7" s="77"/>
      <c r="I7" s="77"/>
    </row>
    <row r="8" spans="1:9" x14ac:dyDescent="0.25">
      <c r="A8" s="44" t="str">
        <f>Savings!G2</f>
        <v>gina</v>
      </c>
      <c r="B8" s="71">
        <f>Savings!G16</f>
        <v>6.1183767051238458E-2</v>
      </c>
      <c r="C8" s="72">
        <f>Savings!G17</f>
        <v>51433.21601511784</v>
      </c>
      <c r="D8" s="44">
        <v>200</v>
      </c>
      <c r="E8" s="72">
        <f t="shared" si="0"/>
        <v>51233.21601511784</v>
      </c>
      <c r="F8" s="77"/>
      <c r="G8" s="77"/>
      <c r="H8" s="77"/>
      <c r="I8" s="77"/>
    </row>
    <row r="9" spans="1:9" x14ac:dyDescent="0.25">
      <c r="A9" s="44" t="str">
        <f>Savings!H2</f>
        <v>rowel</v>
      </c>
      <c r="B9" s="71">
        <f>Savings!H16</f>
        <v>3.7053708081373926E-2</v>
      </c>
      <c r="C9" s="72">
        <f>Savings!H17</f>
        <v>31148.643892985769</v>
      </c>
      <c r="D9" s="44">
        <v>200</v>
      </c>
      <c r="E9" s="72">
        <f t="shared" si="0"/>
        <v>30948.643892985769</v>
      </c>
      <c r="F9" s="77"/>
      <c r="G9" s="77"/>
      <c r="H9" s="77"/>
      <c r="I9" s="77"/>
    </row>
    <row r="10" spans="1:9" x14ac:dyDescent="0.25">
      <c r="A10" s="44" t="str">
        <f>Savings!I2</f>
        <v>leo j.</v>
      </c>
      <c r="B10" s="71">
        <f>Savings!I16</f>
        <v>0.10416567416151797</v>
      </c>
      <c r="C10" s="72">
        <f>Savings!I17</f>
        <v>87565.311498767653</v>
      </c>
      <c r="D10" s="44">
        <v>100</v>
      </c>
      <c r="E10" s="72">
        <f t="shared" si="0"/>
        <v>87465.311498767653</v>
      </c>
      <c r="F10" s="77"/>
      <c r="G10" s="77"/>
      <c r="H10" s="77"/>
      <c r="I10" s="77"/>
    </row>
    <row r="11" spans="1:9" x14ac:dyDescent="0.25">
      <c r="A11" s="44" t="str">
        <f>Savings!J2</f>
        <v>emman r.</v>
      </c>
      <c r="B11" s="71">
        <f>Savings!J16</f>
        <v>2.6470454559144271E-3</v>
      </c>
      <c r="C11" s="72">
        <f>Savings!J17</f>
        <v>2225.1990568326246</v>
      </c>
      <c r="D11" s="44">
        <v>200</v>
      </c>
      <c r="E11" s="72">
        <f t="shared" si="0"/>
        <v>2025.1990568326246</v>
      </c>
      <c r="F11" s="77"/>
      <c r="G11" s="77"/>
      <c r="H11" s="77"/>
      <c r="I11" s="77"/>
    </row>
    <row r="12" spans="1:9" x14ac:dyDescent="0.25">
      <c r="A12" s="44" t="str">
        <f>Savings!K2</f>
        <v>jeff</v>
      </c>
      <c r="B12" s="71">
        <f>Savings!K16</f>
        <v>9.161438560235069E-2</v>
      </c>
      <c r="C12" s="72">
        <f>Savings!K17</f>
        <v>77014.259040832068</v>
      </c>
      <c r="D12" s="44">
        <v>100</v>
      </c>
      <c r="E12" s="72">
        <f t="shared" si="0"/>
        <v>76914.259040832068</v>
      </c>
      <c r="F12" s="77"/>
      <c r="G12" s="77"/>
      <c r="H12" s="77"/>
      <c r="I12" s="77"/>
    </row>
    <row r="13" spans="1:9" ht="15.75" thickBot="1" x14ac:dyDescent="0.3">
      <c r="A13" s="44" t="str">
        <f>Savings!L2</f>
        <v>rubin</v>
      </c>
      <c r="B13" s="71">
        <f>Savings!L16</f>
        <v>2.714125114240765E-2</v>
      </c>
      <c r="C13" s="72">
        <f>Savings!L17</f>
        <v>22815.885654097856</v>
      </c>
      <c r="D13" s="44">
        <v>200</v>
      </c>
      <c r="E13" s="72">
        <f t="shared" si="0"/>
        <v>22615.885654097856</v>
      </c>
      <c r="F13" s="77"/>
      <c r="G13" s="77"/>
      <c r="H13" s="77"/>
      <c r="I13" s="77"/>
    </row>
    <row r="14" spans="1:9" x14ac:dyDescent="0.25">
      <c r="A14" s="44" t="str">
        <f>Savings!M2</f>
        <v>rommel c.</v>
      </c>
      <c r="B14" s="71">
        <f>Savings!M16</f>
        <v>2.7379452378097094E-2</v>
      </c>
      <c r="C14" s="72">
        <f>Savings!M17</f>
        <v>23016.125949861649</v>
      </c>
      <c r="D14" s="44">
        <v>200</v>
      </c>
      <c r="E14" s="76">
        <f t="shared" si="0"/>
        <v>22816.125949861649</v>
      </c>
      <c r="F14" s="114" t="s">
        <v>75</v>
      </c>
      <c r="G14" s="115"/>
      <c r="H14" s="134">
        <f>SUM(B4:B28)</f>
        <v>1.0000000000000002</v>
      </c>
      <c r="I14" s="135"/>
    </row>
    <row r="15" spans="1:9" ht="15.75" thickBot="1" x14ac:dyDescent="0.3">
      <c r="A15" s="44" t="str">
        <f>Savings!N2</f>
        <v>guilly</v>
      </c>
      <c r="B15" s="71">
        <f>Savings!N16</f>
        <v>1.4879089600353085E-2</v>
      </c>
      <c r="C15" s="72">
        <f>Savings!N17</f>
        <v>12507.883486192815</v>
      </c>
      <c r="D15" s="44">
        <v>200</v>
      </c>
      <c r="E15" s="76">
        <f t="shared" si="0"/>
        <v>12307.883486192815</v>
      </c>
      <c r="F15" s="116"/>
      <c r="G15" s="117"/>
      <c r="H15" s="136"/>
      <c r="I15" s="137"/>
    </row>
    <row r="16" spans="1:9" x14ac:dyDescent="0.25">
      <c r="A16" s="44" t="str">
        <f>Savings!O2</f>
        <v>edward</v>
      </c>
      <c r="B16" s="71">
        <f>Savings!O16</f>
        <v>3.2855342853716513E-3</v>
      </c>
      <c r="C16" s="72">
        <f>Savings!O17</f>
        <v>2761.935113983398</v>
      </c>
      <c r="D16" s="44">
        <v>200</v>
      </c>
      <c r="E16" s="76">
        <f t="shared" si="0"/>
        <v>2561.935113983398</v>
      </c>
      <c r="F16" s="114" t="s">
        <v>76</v>
      </c>
      <c r="G16" s="115"/>
      <c r="H16" s="118">
        <f>SUM(C4:C28)</f>
        <v>840635</v>
      </c>
      <c r="I16" s="119"/>
    </row>
    <row r="17" spans="1:9" ht="15.75" thickBot="1" x14ac:dyDescent="0.3">
      <c r="A17" s="44" t="str">
        <f>Savings!P2</f>
        <v>kc</v>
      </c>
      <c r="B17" s="71">
        <f>Savings!P16</f>
        <v>7.7045778991965226E-3</v>
      </c>
      <c r="C17" s="72">
        <f>Savings!P17</f>
        <v>6476.7378422910688</v>
      </c>
      <c r="D17" s="44">
        <v>200</v>
      </c>
      <c r="E17" s="76">
        <f t="shared" si="0"/>
        <v>6276.7378422910688</v>
      </c>
      <c r="F17" s="116"/>
      <c r="G17" s="117"/>
      <c r="H17" s="120"/>
      <c r="I17" s="121"/>
    </row>
    <row r="18" spans="1:9" x14ac:dyDescent="0.25">
      <c r="A18" s="44" t="str">
        <f>Savings!Q2</f>
        <v>paulo</v>
      </c>
      <c r="B18" s="71">
        <f>Savings!Q16</f>
        <v>0.11424295540380038</v>
      </c>
      <c r="C18" s="72">
        <f>Savings!Q17</f>
        <v>96036.626815873722</v>
      </c>
      <c r="D18" s="44">
        <v>200</v>
      </c>
      <c r="E18" s="72">
        <f t="shared" si="0"/>
        <v>95836.626815873722</v>
      </c>
      <c r="F18" s="41"/>
      <c r="G18" s="41"/>
      <c r="H18" s="41"/>
      <c r="I18" s="41"/>
    </row>
    <row r="19" spans="1:9" x14ac:dyDescent="0.25">
      <c r="A19" s="44" t="str">
        <f>Savings!R2</f>
        <v>karen</v>
      </c>
      <c r="B19" s="71">
        <f>Savings!R16</f>
        <v>5.7496849994003903E-3</v>
      </c>
      <c r="C19" s="72">
        <f>Savings!R17</f>
        <v>4833.3864494709469</v>
      </c>
      <c r="D19" s="44">
        <v>200</v>
      </c>
      <c r="E19" s="72">
        <f t="shared" si="0"/>
        <v>4633.3864494709469</v>
      </c>
      <c r="F19" s="41"/>
      <c r="G19" s="41"/>
      <c r="H19" s="41"/>
      <c r="I19" s="41"/>
    </row>
    <row r="20" spans="1:9" x14ac:dyDescent="0.25">
      <c r="A20" s="44" t="str">
        <f>Savings!S2</f>
        <v>roldan</v>
      </c>
      <c r="B20" s="71">
        <f>Savings!S16</f>
        <v>9.912840251299565E-2</v>
      </c>
      <c r="C20" s="72">
        <f>Savings!S17</f>
        <v>83330.804646512101</v>
      </c>
      <c r="D20" s="44">
        <v>200</v>
      </c>
      <c r="E20" s="72">
        <f t="shared" si="0"/>
        <v>83130.804646512101</v>
      </c>
      <c r="F20" s="41"/>
      <c r="G20" s="41"/>
      <c r="H20" s="41"/>
      <c r="I20" s="41"/>
    </row>
    <row r="21" spans="1:9" x14ac:dyDescent="0.25">
      <c r="A21" s="44" t="str">
        <f>Savings!T2</f>
        <v>mark c.</v>
      </c>
      <c r="B21" s="71">
        <f>Savings!T16</f>
        <v>4.8277640789251043E-2</v>
      </c>
      <c r="C21" s="72">
        <f>Savings!T17</f>
        <v>40583.874564872051</v>
      </c>
      <c r="D21" s="44">
        <v>200</v>
      </c>
      <c r="E21" s="72">
        <f t="shared" si="0"/>
        <v>40383.874564872051</v>
      </c>
      <c r="F21" s="41"/>
      <c r="G21" s="41"/>
      <c r="H21" s="41"/>
      <c r="I21" s="41"/>
    </row>
    <row r="22" spans="1:9" x14ac:dyDescent="0.25">
      <c r="A22" s="44" t="str">
        <f>Savings!U2</f>
        <v>vince</v>
      </c>
      <c r="B22" s="71">
        <f>Savings!U16</f>
        <v>1.4784904284172432E-2</v>
      </c>
      <c r="C22" s="72">
        <f>Savings!U17</f>
        <v>12428.708012925292</v>
      </c>
      <c r="D22" s="44">
        <v>200</v>
      </c>
      <c r="E22" s="72">
        <f t="shared" si="0"/>
        <v>12228.708012925292</v>
      </c>
      <c r="F22" s="41"/>
      <c r="G22" s="41"/>
      <c r="H22" s="41"/>
      <c r="I22" s="41"/>
    </row>
    <row r="23" spans="1:9" x14ac:dyDescent="0.25">
      <c r="A23" s="44" t="str">
        <f>Savings!V2</f>
        <v>ryan</v>
      </c>
      <c r="B23" s="71">
        <f>Savings!V16</f>
        <v>1.2594548093924664E-2</v>
      </c>
      <c r="C23" s="72">
        <f>Savings!V17</f>
        <v>10587.417936936359</v>
      </c>
      <c r="D23" s="44">
        <v>200</v>
      </c>
      <c r="E23" s="72">
        <f t="shared" si="0"/>
        <v>10387.417936936359</v>
      </c>
      <c r="F23" s="41"/>
      <c r="G23" s="41"/>
      <c r="H23" s="41"/>
      <c r="I23" s="41"/>
    </row>
    <row r="24" spans="1:9" x14ac:dyDescent="0.25">
      <c r="A24" s="44" t="str">
        <f>Savings!W2</f>
        <v>hazel</v>
      </c>
      <c r="B24" s="71">
        <f>Savings!W16</f>
        <v>1.6427671426858258E-2</v>
      </c>
      <c r="C24" s="72">
        <f>Savings!W17</f>
        <v>13809.675569916992</v>
      </c>
      <c r="D24" s="44">
        <v>200</v>
      </c>
      <c r="E24" s="72">
        <f t="shared" si="0"/>
        <v>13609.675569916992</v>
      </c>
      <c r="F24" s="41"/>
      <c r="G24" s="41"/>
      <c r="H24" s="41"/>
      <c r="I24" s="41"/>
    </row>
    <row r="25" spans="1:9" x14ac:dyDescent="0.25">
      <c r="A25" s="72" t="str">
        <f>Savings!X2</f>
        <v>kero</v>
      </c>
      <c r="B25" s="71">
        <f>Savings!X16</f>
        <v>2.0808383807353791E-2</v>
      </c>
      <c r="C25" s="72">
        <f>Savings!X17</f>
        <v>17492.255721894853</v>
      </c>
      <c r="D25" s="44">
        <v>200</v>
      </c>
      <c r="E25" s="72">
        <f t="shared" si="0"/>
        <v>17292.255721894853</v>
      </c>
    </row>
    <row r="26" spans="1:9" x14ac:dyDescent="0.25">
      <c r="A26" s="44" t="str">
        <f>Savings!Y2</f>
        <v>gef</v>
      </c>
      <c r="B26" s="71">
        <f>Savings!Y16</f>
        <v>2.0808383807353791E-2</v>
      </c>
      <c r="C26" s="72">
        <f>Savings!Y17</f>
        <v>17492.255721894853</v>
      </c>
      <c r="D26" s="44">
        <v>200</v>
      </c>
      <c r="E26" s="72">
        <f t="shared" si="0"/>
        <v>17292.255721894853</v>
      </c>
    </row>
    <row r="27" spans="1:9" x14ac:dyDescent="0.25">
      <c r="A27" s="44" t="str">
        <f>Savings!Z2</f>
        <v>alvin</v>
      </c>
      <c r="B27" s="71">
        <f>Savings!Z16</f>
        <v>8.2138357134291292E-3</v>
      </c>
      <c r="C27" s="72">
        <f>Savings!Z17</f>
        <v>6904.8377849584958</v>
      </c>
      <c r="D27" s="44">
        <v>200</v>
      </c>
      <c r="E27" s="72">
        <f t="shared" si="0"/>
        <v>6704.8377849584958</v>
      </c>
    </row>
    <row r="28" spans="1:9" x14ac:dyDescent="0.25">
      <c r="A28" s="44" t="str">
        <f>Savings!AA2</f>
        <v>gugu</v>
      </c>
      <c r="B28" s="71">
        <f>Savings!AA16</f>
        <v>0</v>
      </c>
      <c r="C28" s="72">
        <f>Savings!AA17</f>
        <v>0</v>
      </c>
      <c r="D28" s="44">
        <v>200</v>
      </c>
      <c r="E28" s="72">
        <f t="shared" si="0"/>
        <v>-200</v>
      </c>
    </row>
    <row r="29" spans="1:9" x14ac:dyDescent="0.25">
      <c r="A29" s="41"/>
    </row>
  </sheetData>
  <mergeCells count="7">
    <mergeCell ref="F16:G17"/>
    <mergeCell ref="H16:I17"/>
    <mergeCell ref="A1:I2"/>
    <mergeCell ref="F3:I4"/>
    <mergeCell ref="F5:I6"/>
    <mergeCell ref="F14:G15"/>
    <mergeCell ref="H14:I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200025</xdr:colOff>
                    <xdr:row>6</xdr:row>
                    <xdr:rowOff>114300</xdr:rowOff>
                  </from>
                  <to>
                    <xdr:col>8</xdr:col>
                    <xdr:colOff>466725</xdr:colOff>
                    <xdr:row>12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C148"/>
  <sheetViews>
    <sheetView workbookViewId="0">
      <pane ySplit="2" topLeftCell="A9" activePane="bottomLeft" state="frozen"/>
      <selection pane="bottomLeft" activeCell="A16" sqref="A16"/>
    </sheetView>
  </sheetViews>
  <sheetFormatPr defaultRowHeight="15" x14ac:dyDescent="0.25"/>
  <cols>
    <col min="1" max="1" width="13" customWidth="1"/>
    <col min="2" max="2" width="9.28515625" bestFit="1" customWidth="1"/>
    <col min="3" max="3" width="16.5703125" customWidth="1"/>
    <col min="4" max="4" width="14.28515625" customWidth="1"/>
    <col min="5" max="5" width="17.140625" customWidth="1"/>
    <col min="6" max="6" width="16.7109375" customWidth="1"/>
    <col min="7" max="7" width="15.5703125" customWidth="1"/>
    <col min="8" max="8" width="13.5703125" customWidth="1"/>
    <col min="9" max="9" width="14.28515625" bestFit="1" customWidth="1"/>
    <col min="11" max="11" width="9.28515625" bestFit="1" customWidth="1"/>
    <col min="13" max="13" width="14.28515625" bestFit="1" customWidth="1"/>
    <col min="15" max="15" width="9.28515625" bestFit="1" customWidth="1"/>
    <col min="33" max="34" width="8.7109375" customWidth="1"/>
  </cols>
  <sheetData>
    <row r="1" spans="1:169" x14ac:dyDescent="0.25">
      <c r="A1" s="13" t="s">
        <v>41</v>
      </c>
      <c r="B1" s="4"/>
      <c r="C1" s="4"/>
      <c r="D1" s="4"/>
      <c r="E1" s="13" t="s">
        <v>42</v>
      </c>
      <c r="F1" s="4"/>
      <c r="G1" s="4"/>
      <c r="H1" s="4"/>
      <c r="I1" s="13" t="s">
        <v>43</v>
      </c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</row>
    <row r="2" spans="1:169" x14ac:dyDescent="0.25">
      <c r="A2" s="4" t="s">
        <v>13</v>
      </c>
      <c r="B2" s="4" t="s">
        <v>14</v>
      </c>
      <c r="C2" s="4" t="s">
        <v>15</v>
      </c>
      <c r="D2" s="4" t="s">
        <v>7</v>
      </c>
      <c r="E2" s="4" t="s">
        <v>13</v>
      </c>
      <c r="F2" s="4" t="s">
        <v>14</v>
      </c>
      <c r="G2" s="4" t="s">
        <v>15</v>
      </c>
      <c r="H2" s="4" t="s">
        <v>7</v>
      </c>
      <c r="I2" s="4" t="s">
        <v>13</v>
      </c>
      <c r="J2" s="4" t="s">
        <v>14</v>
      </c>
      <c r="K2" s="4" t="s">
        <v>15</v>
      </c>
      <c r="L2" s="4" t="s">
        <v>7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</row>
    <row r="3" spans="1:169" x14ac:dyDescent="0.25">
      <c r="A3" s="16">
        <v>43586.259375000001</v>
      </c>
      <c r="B3" s="4">
        <v>10000</v>
      </c>
      <c r="C3" s="17"/>
      <c r="D3" s="4">
        <v>10000</v>
      </c>
      <c r="E3" s="19">
        <v>43587.180451388886</v>
      </c>
      <c r="F3" s="5">
        <v>50000</v>
      </c>
      <c r="G3" s="17"/>
      <c r="H3" s="5">
        <v>50000</v>
      </c>
      <c r="I3" s="16">
        <v>43587.187615740739</v>
      </c>
      <c r="J3" s="4">
        <v>20000</v>
      </c>
      <c r="K3" s="17"/>
      <c r="L3" s="4">
        <v>20000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</row>
    <row r="4" spans="1:169" x14ac:dyDescent="0.25">
      <c r="A4" s="16">
        <v>43586.259398148148</v>
      </c>
      <c r="B4" s="4">
        <v>0</v>
      </c>
      <c r="C4" s="18">
        <v>300</v>
      </c>
      <c r="D4" s="4">
        <v>10300</v>
      </c>
      <c r="E4" s="19">
        <v>43587.180474537039</v>
      </c>
      <c r="F4" s="5">
        <v>0</v>
      </c>
      <c r="G4" s="17">
        <v>1500</v>
      </c>
      <c r="H4" s="5">
        <v>53000</v>
      </c>
      <c r="I4" s="16">
        <v>43587.195613425924</v>
      </c>
      <c r="J4" s="4"/>
      <c r="K4" s="18">
        <v>600</v>
      </c>
      <c r="L4" s="4">
        <v>21200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</row>
    <row r="5" spans="1:169" ht="15.75" customHeight="1" x14ac:dyDescent="0.25">
      <c r="A5" s="16">
        <v>43586.259699074071</v>
      </c>
      <c r="B5" s="4">
        <v>0</v>
      </c>
      <c r="C5" s="4"/>
      <c r="D5" s="4">
        <v>10000</v>
      </c>
      <c r="E5" s="19">
        <v>43587.180474537039</v>
      </c>
      <c r="F5" s="5">
        <v>0</v>
      </c>
      <c r="G5" s="17">
        <v>1500</v>
      </c>
      <c r="H5" s="5">
        <v>56000</v>
      </c>
      <c r="I5" s="16">
        <v>43587.206620370373</v>
      </c>
      <c r="J5" s="4"/>
      <c r="K5" s="4"/>
      <c r="L5" s="4">
        <v>20000</v>
      </c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</row>
    <row r="6" spans="1:169" x14ac:dyDescent="0.25">
      <c r="A6" s="16">
        <v>43586.260092592594</v>
      </c>
      <c r="B6" s="4"/>
      <c r="C6" s="18">
        <v>300</v>
      </c>
      <c r="D6" s="4">
        <v>10300</v>
      </c>
      <c r="E6" s="19">
        <v>43587.180486111109</v>
      </c>
      <c r="F6" s="5">
        <v>0</v>
      </c>
      <c r="G6" s="17">
        <v>1500</v>
      </c>
      <c r="H6" s="5">
        <v>59000</v>
      </c>
      <c r="I6" s="16">
        <v>43587.206643518519</v>
      </c>
      <c r="J6" s="4"/>
      <c r="K6" s="17">
        <v>600</v>
      </c>
      <c r="L6" s="4">
        <v>21200</v>
      </c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</row>
    <row r="7" spans="1:169" x14ac:dyDescent="0.25">
      <c r="A7" s="16">
        <v>43586.26017361111</v>
      </c>
      <c r="B7" s="4"/>
      <c r="C7" s="4"/>
      <c r="D7" s="4">
        <v>10000</v>
      </c>
      <c r="E7" s="19">
        <v>43587.180509259262</v>
      </c>
      <c r="F7" s="5">
        <v>0</v>
      </c>
      <c r="G7" s="18">
        <v>1500</v>
      </c>
      <c r="H7" s="5">
        <v>62000</v>
      </c>
      <c r="I7" s="16">
        <v>43587.206666666665</v>
      </c>
      <c r="J7" s="4"/>
      <c r="K7" s="17">
        <v>600</v>
      </c>
      <c r="L7" s="4">
        <v>22400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</row>
    <row r="8" spans="1:169" x14ac:dyDescent="0.25">
      <c r="A8" s="16">
        <v>43586.260243055556</v>
      </c>
      <c r="B8" s="4">
        <v>-3000</v>
      </c>
      <c r="C8" s="17"/>
      <c r="D8" s="4">
        <v>7000</v>
      </c>
      <c r="E8" s="19">
        <v>43587.180567129632</v>
      </c>
      <c r="F8" s="5">
        <v>0</v>
      </c>
      <c r="G8" s="18"/>
      <c r="H8" s="5">
        <v>60500</v>
      </c>
      <c r="I8" s="16">
        <v>43587.206666666665</v>
      </c>
      <c r="J8" s="4"/>
      <c r="K8" s="18">
        <v>600</v>
      </c>
      <c r="L8" s="4">
        <v>23600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</row>
    <row r="9" spans="1:169" x14ac:dyDescent="0.25">
      <c r="A9" s="19">
        <v>43586.260254629633</v>
      </c>
      <c r="B9" s="5">
        <v>0</v>
      </c>
      <c r="C9" s="18">
        <v>210</v>
      </c>
      <c r="D9" s="5">
        <v>7210</v>
      </c>
      <c r="E9" s="19">
        <v>43587.181747685187</v>
      </c>
      <c r="F9" s="5"/>
      <c r="G9" s="5"/>
      <c r="H9" s="5">
        <v>56000</v>
      </c>
      <c r="I9" s="16">
        <v>43587.206712962965</v>
      </c>
      <c r="J9" s="4"/>
      <c r="K9" s="18"/>
      <c r="L9" s="4">
        <v>21600</v>
      </c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</row>
    <row r="10" spans="1:169" x14ac:dyDescent="0.25">
      <c r="A10" s="19">
        <v>43586.260347222225</v>
      </c>
      <c r="B10" s="5">
        <v>0</v>
      </c>
      <c r="C10" s="5"/>
      <c r="D10" s="5">
        <v>7000</v>
      </c>
      <c r="E10" s="19">
        <v>43587.181979166664</v>
      </c>
      <c r="F10" s="5"/>
      <c r="G10" s="18">
        <v>1500</v>
      </c>
      <c r="H10" s="5">
        <v>59000</v>
      </c>
      <c r="I10" s="19">
        <v>43587.206747685188</v>
      </c>
      <c r="J10" s="4"/>
      <c r="K10" s="4"/>
      <c r="L10" s="4">
        <v>20000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</row>
    <row r="11" spans="1:169" x14ac:dyDescent="0.25">
      <c r="A11" s="19">
        <v>43586.952615740738</v>
      </c>
      <c r="B11" s="5"/>
      <c r="C11" s="18">
        <v>210</v>
      </c>
      <c r="D11" s="5">
        <v>7210</v>
      </c>
      <c r="E11" s="19">
        <v>43587.182164351849</v>
      </c>
      <c r="F11" s="5"/>
      <c r="G11" s="5"/>
      <c r="H11" s="5">
        <v>57500</v>
      </c>
      <c r="I11" s="19">
        <v>43587.206805555557</v>
      </c>
      <c r="J11" s="5">
        <v>-5000</v>
      </c>
      <c r="K11" s="17"/>
      <c r="L11" s="5">
        <v>15000</v>
      </c>
      <c r="M11" s="5"/>
      <c r="N11" s="5"/>
      <c r="O11" s="5"/>
      <c r="P11" s="5"/>
      <c r="Q11" s="5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</row>
    <row r="12" spans="1:169" s="14" customFormat="1" x14ac:dyDescent="0.25">
      <c r="A12" s="19">
        <v>43586.952766203707</v>
      </c>
      <c r="B12" s="5"/>
      <c r="C12" s="5"/>
      <c r="D12" s="5">
        <v>7000</v>
      </c>
      <c r="E12" s="19">
        <v>43587.182233796295</v>
      </c>
      <c r="F12" s="5"/>
      <c r="G12" s="18">
        <v>1500</v>
      </c>
      <c r="H12" s="5">
        <v>60500</v>
      </c>
      <c r="I12" s="19">
        <v>43587.206817129627</v>
      </c>
      <c r="J12" s="5">
        <v>0</v>
      </c>
      <c r="K12" s="17">
        <v>450</v>
      </c>
      <c r="L12" s="5">
        <v>15900</v>
      </c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</row>
    <row r="13" spans="1:169" x14ac:dyDescent="0.25">
      <c r="A13" s="16">
        <v>43586.952800925923</v>
      </c>
      <c r="B13" s="4"/>
      <c r="C13" s="18">
        <v>210</v>
      </c>
      <c r="D13" s="4">
        <v>7210</v>
      </c>
      <c r="E13" s="19">
        <v>43587.182303240741</v>
      </c>
      <c r="F13" s="5"/>
      <c r="G13" s="5"/>
      <c r="H13" s="5">
        <v>59000</v>
      </c>
      <c r="I13" s="16">
        <v>43587.20684027778</v>
      </c>
      <c r="J13" s="4">
        <v>0</v>
      </c>
      <c r="K13" s="18">
        <v>450</v>
      </c>
      <c r="L13" s="4">
        <v>16800</v>
      </c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</row>
    <row r="14" spans="1:169" x14ac:dyDescent="0.25">
      <c r="A14" s="16">
        <v>43586.958854166667</v>
      </c>
      <c r="B14" s="4"/>
      <c r="C14" s="4"/>
      <c r="D14" s="4">
        <v>5770</v>
      </c>
      <c r="E14" s="19">
        <v>43587.186967592592</v>
      </c>
      <c r="F14" s="5"/>
      <c r="G14" s="17">
        <v>1500</v>
      </c>
      <c r="H14" s="5">
        <v>53000</v>
      </c>
      <c r="I14" s="16">
        <v>43587.206863425927</v>
      </c>
      <c r="J14" s="4">
        <v>0</v>
      </c>
      <c r="K14" s="18"/>
      <c r="L14" s="4">
        <v>16000</v>
      </c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</row>
    <row r="15" spans="1:169" x14ac:dyDescent="0.25">
      <c r="A15" s="16">
        <v>43586.958958333336</v>
      </c>
      <c r="B15" s="4"/>
      <c r="C15" s="18">
        <v>210</v>
      </c>
      <c r="D15" s="4">
        <v>5980</v>
      </c>
      <c r="E15" s="19">
        <v>43587.186990740738</v>
      </c>
      <c r="F15" s="5"/>
      <c r="G15" s="17">
        <v>1500</v>
      </c>
      <c r="H15" s="5">
        <v>56000</v>
      </c>
      <c r="I15" s="16">
        <v>43587.206886574073</v>
      </c>
      <c r="J15" s="4">
        <v>0</v>
      </c>
      <c r="K15" s="4"/>
      <c r="L15" s="4">
        <v>15000</v>
      </c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</row>
    <row r="16" spans="1:169" x14ac:dyDescent="0.25">
      <c r="A16" s="16">
        <v>43586.959027777775</v>
      </c>
      <c r="B16" s="4"/>
      <c r="C16" s="4"/>
      <c r="D16" s="4">
        <v>5560</v>
      </c>
      <c r="E16" s="19">
        <v>43587.186990740738</v>
      </c>
      <c r="F16" s="5"/>
      <c r="G16" s="17">
        <v>1500</v>
      </c>
      <c r="H16" s="5">
        <v>59000</v>
      </c>
      <c r="I16" s="16">
        <v>43587.206932870373</v>
      </c>
      <c r="J16" s="4">
        <v>2000</v>
      </c>
      <c r="K16" s="17"/>
      <c r="L16" s="4">
        <v>17000</v>
      </c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</row>
    <row r="17" spans="1:185" x14ac:dyDescent="0.25">
      <c r="A17" s="16">
        <v>43586.961481481485</v>
      </c>
      <c r="B17" s="4"/>
      <c r="C17" s="18">
        <v>210</v>
      </c>
      <c r="D17" s="4">
        <v>7420</v>
      </c>
      <c r="E17" s="19">
        <v>43587.187013888892</v>
      </c>
      <c r="F17" s="5"/>
      <c r="G17" s="18">
        <v>1500</v>
      </c>
      <c r="H17" s="5">
        <v>62000</v>
      </c>
      <c r="I17" s="16">
        <v>43587.206944444442</v>
      </c>
      <c r="J17" s="4">
        <v>0</v>
      </c>
      <c r="K17" s="18">
        <v>510</v>
      </c>
      <c r="L17" s="4">
        <v>18020</v>
      </c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</row>
    <row r="18" spans="1:185" x14ac:dyDescent="0.25">
      <c r="A18" s="16">
        <v>43586.961539351854</v>
      </c>
      <c r="B18" s="4"/>
      <c r="C18" s="4"/>
      <c r="D18" s="4">
        <v>7000</v>
      </c>
      <c r="E18" s="19">
        <v>43587.187060185184</v>
      </c>
      <c r="F18" s="5"/>
      <c r="G18" s="18"/>
      <c r="H18" s="5">
        <v>59000</v>
      </c>
      <c r="I18" s="16">
        <v>43587.206979166665</v>
      </c>
      <c r="J18" s="4">
        <v>0</v>
      </c>
      <c r="K18" s="4"/>
      <c r="L18" s="4">
        <v>17000</v>
      </c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</row>
    <row r="19" spans="1:185" x14ac:dyDescent="0.25">
      <c r="A19" s="12">
        <v>43586.961597222224</v>
      </c>
      <c r="B19" s="5"/>
      <c r="C19" s="18">
        <v>210</v>
      </c>
      <c r="D19" s="5">
        <v>7420</v>
      </c>
      <c r="E19" s="19">
        <v>43587.187118055554</v>
      </c>
      <c r="F19" s="5"/>
      <c r="G19" s="5"/>
      <c r="H19" s="5">
        <v>50000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</row>
    <row r="20" spans="1:185" x14ac:dyDescent="0.25">
      <c r="A20" s="7">
        <v>43586.961863425924</v>
      </c>
      <c r="B20" s="5"/>
      <c r="C20" s="5"/>
      <c r="D20" s="10">
        <v>7000</v>
      </c>
      <c r="E20" s="12">
        <v>43587.18712962963</v>
      </c>
      <c r="F20" s="5"/>
      <c r="G20" s="18">
        <v>1500</v>
      </c>
      <c r="H20" s="5">
        <v>53000</v>
      </c>
      <c r="I20" s="5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</row>
    <row r="21" spans="1:185" x14ac:dyDescent="0.25">
      <c r="A21" s="7">
        <v>43586.962094907409</v>
      </c>
      <c r="B21" s="5"/>
      <c r="C21" s="18">
        <v>210</v>
      </c>
      <c r="D21" s="10">
        <v>7420</v>
      </c>
      <c r="E21" s="12">
        <v>43587.187175925923</v>
      </c>
      <c r="F21" s="5"/>
      <c r="G21" s="5"/>
      <c r="H21" s="5">
        <v>50000</v>
      </c>
      <c r="I21" s="5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</row>
    <row r="22" spans="1:185" x14ac:dyDescent="0.25">
      <c r="A22" s="7">
        <v>43586.971516203703</v>
      </c>
      <c r="B22" s="5"/>
      <c r="C22" s="5"/>
      <c r="D22" s="10">
        <v>7000</v>
      </c>
      <c r="E22" s="12">
        <v>43587.187476851854</v>
      </c>
      <c r="F22" s="5">
        <v>-20000</v>
      </c>
      <c r="G22" s="17"/>
      <c r="H22" s="5">
        <v>30000</v>
      </c>
      <c r="I22" s="5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</row>
    <row r="23" spans="1:185" x14ac:dyDescent="0.25">
      <c r="A23" s="7">
        <v>43586.971550925926</v>
      </c>
      <c r="B23" s="5"/>
      <c r="C23" s="17">
        <v>210</v>
      </c>
      <c r="D23" s="10">
        <v>7420</v>
      </c>
      <c r="E23" s="11">
        <v>43587.1875</v>
      </c>
      <c r="F23" s="4">
        <v>0</v>
      </c>
      <c r="G23" s="18">
        <v>900</v>
      </c>
      <c r="H23" s="4">
        <v>31800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</row>
    <row r="24" spans="1:185" x14ac:dyDescent="0.25">
      <c r="A24" s="7">
        <v>43586.971550925926</v>
      </c>
      <c r="B24" s="5"/>
      <c r="C24" s="17">
        <v>210</v>
      </c>
      <c r="D24" s="10">
        <v>7840</v>
      </c>
      <c r="E24" s="11">
        <v>43587.1875462963</v>
      </c>
      <c r="F24" s="4">
        <v>0</v>
      </c>
      <c r="G24" s="4"/>
      <c r="H24" s="4">
        <v>30000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</row>
    <row r="25" spans="1:185" x14ac:dyDescent="0.25">
      <c r="A25" s="7">
        <v>43586.971562500003</v>
      </c>
      <c r="B25" s="5"/>
      <c r="C25" s="18">
        <v>210</v>
      </c>
      <c r="D25" s="10">
        <v>8260</v>
      </c>
      <c r="E25" s="11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</row>
    <row r="26" spans="1:185" x14ac:dyDescent="0.25">
      <c r="A26" s="7">
        <v>43586.971620370372</v>
      </c>
      <c r="B26" s="5"/>
      <c r="C26" s="5"/>
      <c r="D26" s="10">
        <v>7000</v>
      </c>
      <c r="E26" s="11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</row>
    <row r="27" spans="1:185" x14ac:dyDescent="0.25">
      <c r="A27" s="7">
        <v>43587.008402777778</v>
      </c>
      <c r="B27" s="5"/>
      <c r="C27" s="18">
        <v>210</v>
      </c>
      <c r="D27" s="10">
        <v>7420</v>
      </c>
      <c r="E27" s="11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</row>
    <row r="28" spans="1:185" x14ac:dyDescent="0.25">
      <c r="A28" s="7">
        <v>43587.178761574076</v>
      </c>
      <c r="B28" s="5"/>
      <c r="C28" s="5"/>
      <c r="D28" s="10">
        <v>7000</v>
      </c>
      <c r="E28" s="11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</row>
    <row r="29" spans="1:185" x14ac:dyDescent="0.25">
      <c r="A29" s="7">
        <v>43587.186921296299</v>
      </c>
      <c r="B29" s="5"/>
      <c r="C29" s="17">
        <v>210</v>
      </c>
      <c r="D29" s="10">
        <v>7420</v>
      </c>
      <c r="E29" s="11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</row>
    <row r="30" spans="1:185" x14ac:dyDescent="0.25">
      <c r="A30" s="7">
        <v>43587.187326388892</v>
      </c>
      <c r="B30" s="5">
        <v>-2000</v>
      </c>
      <c r="C30" s="18"/>
      <c r="D30" s="10">
        <v>5420</v>
      </c>
      <c r="E30" s="11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</row>
    <row r="31" spans="1:185" x14ac:dyDescent="0.25">
      <c r="A31" s="7">
        <v>43587.187372685185</v>
      </c>
      <c r="B31" s="5">
        <v>0</v>
      </c>
      <c r="C31" s="5"/>
      <c r="D31" s="10">
        <v>5000</v>
      </c>
      <c r="E31" s="11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</row>
    <row r="32" spans="1:185" x14ac:dyDescent="0.25">
      <c r="A32" s="7"/>
      <c r="B32" s="5"/>
      <c r="C32" s="5"/>
      <c r="D32" s="10"/>
      <c r="E32" s="11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</row>
    <row r="33" spans="1:185" x14ac:dyDescent="0.25">
      <c r="A33" s="7"/>
      <c r="B33" s="5"/>
      <c r="C33" s="5"/>
      <c r="D33" s="10"/>
      <c r="E33" s="11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</row>
    <row r="34" spans="1:185" x14ac:dyDescent="0.25">
      <c r="A34" s="7"/>
      <c r="B34" s="5"/>
      <c r="C34" s="5"/>
      <c r="D34" s="10"/>
      <c r="E34" s="11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</row>
    <row r="35" spans="1:185" x14ac:dyDescent="0.25">
      <c r="A35" s="7"/>
      <c r="B35" s="5"/>
      <c r="C35" s="5"/>
      <c r="D35" s="10"/>
      <c r="E35" s="11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</row>
    <row r="36" spans="1:185" x14ac:dyDescent="0.25">
      <c r="A36" s="7"/>
      <c r="B36" s="5"/>
      <c r="C36" s="5"/>
      <c r="D36" s="10"/>
      <c r="E36" s="11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</row>
    <row r="37" spans="1:185" x14ac:dyDescent="0.25">
      <c r="A37" s="7"/>
      <c r="B37" s="5"/>
      <c r="C37" s="5"/>
      <c r="D37" s="10"/>
      <c r="E37" s="11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</row>
    <row r="38" spans="1:185" x14ac:dyDescent="0.25">
      <c r="A38" s="7"/>
      <c r="B38" s="5"/>
      <c r="C38" s="5"/>
      <c r="D38" s="10"/>
      <c r="E38" s="11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</row>
    <row r="39" spans="1:185" x14ac:dyDescent="0.25">
      <c r="A39" s="7"/>
      <c r="B39" s="5"/>
      <c r="C39" s="5"/>
      <c r="D39" s="10"/>
      <c r="E39" s="11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</row>
    <row r="40" spans="1:185" x14ac:dyDescent="0.25">
      <c r="A40" s="7"/>
      <c r="B40" s="5"/>
      <c r="C40" s="5"/>
      <c r="D40" s="10"/>
      <c r="E40" s="11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</row>
    <row r="41" spans="1:185" x14ac:dyDescent="0.25">
      <c r="A41" s="7"/>
      <c r="B41" s="5"/>
      <c r="C41" s="5"/>
      <c r="D41" s="10"/>
      <c r="E41" s="11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</row>
    <row r="42" spans="1:185" x14ac:dyDescent="0.25">
      <c r="A42" s="7"/>
      <c r="B42" s="5"/>
      <c r="C42" s="5"/>
      <c r="D42" s="10"/>
      <c r="E42" s="11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</row>
    <row r="43" spans="1:185" x14ac:dyDescent="0.25">
      <c r="A43" s="7"/>
      <c r="B43" s="5"/>
      <c r="C43" s="5"/>
      <c r="D43" s="10"/>
      <c r="E43" s="11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</row>
    <row r="44" spans="1:185" x14ac:dyDescent="0.25">
      <c r="A44" s="7"/>
      <c r="B44" s="5"/>
      <c r="C44" s="5"/>
      <c r="D44" s="10"/>
      <c r="E44" s="11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</row>
    <row r="45" spans="1:185" x14ac:dyDescent="0.25">
      <c r="A45" s="7"/>
      <c r="B45" s="5"/>
      <c r="C45" s="5"/>
      <c r="D45" s="10"/>
      <c r="E45" s="11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</row>
    <row r="46" spans="1:185" x14ac:dyDescent="0.25">
      <c r="A46" s="7"/>
      <c r="B46" s="5"/>
      <c r="C46" s="5"/>
      <c r="D46" s="10"/>
      <c r="E46" s="11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</row>
    <row r="47" spans="1:185" x14ac:dyDescent="0.25">
      <c r="A47" s="7"/>
      <c r="B47" s="5"/>
      <c r="C47" s="5"/>
      <c r="D47" s="10"/>
      <c r="E47" s="11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</row>
    <row r="48" spans="1:185" x14ac:dyDescent="0.25">
      <c r="A48" s="7"/>
      <c r="B48" s="5"/>
      <c r="C48" s="5"/>
      <c r="D48" s="10"/>
      <c r="E48" s="11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</row>
    <row r="49" spans="1:185" x14ac:dyDescent="0.25">
      <c r="A49" s="7"/>
      <c r="B49" s="5"/>
      <c r="C49" s="5"/>
      <c r="D49" s="10"/>
      <c r="E49" s="11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</row>
    <row r="50" spans="1:185" x14ac:dyDescent="0.25">
      <c r="A50" s="7"/>
      <c r="B50" s="5"/>
      <c r="C50" s="5"/>
      <c r="D50" s="10"/>
      <c r="E50" s="11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</row>
    <row r="51" spans="1:185" x14ac:dyDescent="0.25">
      <c r="A51" s="7"/>
      <c r="B51" s="5"/>
      <c r="C51" s="5"/>
      <c r="D51" s="10"/>
      <c r="E51" s="11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</row>
    <row r="52" spans="1:185" x14ac:dyDescent="0.25">
      <c r="A52" s="7"/>
      <c r="B52" s="5"/>
      <c r="C52" s="5"/>
      <c r="D52" s="10"/>
      <c r="E52" s="11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</row>
    <row r="53" spans="1:185" x14ac:dyDescent="0.25">
      <c r="A53" s="7"/>
      <c r="B53" s="5"/>
      <c r="C53" s="5"/>
      <c r="D53" s="10"/>
      <c r="E53" s="11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</row>
    <row r="54" spans="1:185" x14ac:dyDescent="0.25">
      <c r="A54" s="7"/>
      <c r="B54" s="5"/>
      <c r="C54" s="5"/>
      <c r="D54" s="10"/>
      <c r="E54" s="11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</row>
    <row r="55" spans="1:185" x14ac:dyDescent="0.25">
      <c r="A55" s="7"/>
      <c r="B55" s="5"/>
      <c r="C55" s="5"/>
      <c r="D55" s="10"/>
      <c r="E55" s="11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</row>
    <row r="56" spans="1:185" x14ac:dyDescent="0.25">
      <c r="A56" s="7"/>
      <c r="B56" s="5"/>
      <c r="C56" s="5"/>
      <c r="D56" s="10"/>
      <c r="E56" s="11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</row>
    <row r="57" spans="1:185" x14ac:dyDescent="0.25">
      <c r="A57" s="7"/>
      <c r="B57" s="5"/>
      <c r="C57" s="5"/>
      <c r="D57" s="10"/>
      <c r="E57" s="11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</row>
    <row r="58" spans="1:185" x14ac:dyDescent="0.25">
      <c r="A58" s="7"/>
      <c r="B58" s="5"/>
      <c r="C58" s="5"/>
      <c r="D58" s="10"/>
      <c r="E58" s="11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</row>
    <row r="59" spans="1:185" x14ac:dyDescent="0.25">
      <c r="A59" s="7"/>
      <c r="B59" s="5"/>
      <c r="C59" s="5"/>
      <c r="D59" s="10"/>
      <c r="E59" s="11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</row>
    <row r="60" spans="1:185" x14ac:dyDescent="0.25">
      <c r="A60" s="7"/>
      <c r="B60" s="5"/>
      <c r="C60" s="5"/>
      <c r="D60" s="10"/>
      <c r="E60" s="11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</row>
    <row r="61" spans="1:185" x14ac:dyDescent="0.25">
      <c r="A61" s="7"/>
      <c r="B61" s="5"/>
      <c r="C61" s="5"/>
      <c r="D61" s="10"/>
      <c r="E61" s="11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</row>
    <row r="62" spans="1:185" x14ac:dyDescent="0.25">
      <c r="A62" s="7"/>
      <c r="B62" s="5"/>
      <c r="C62" s="5"/>
      <c r="D62" s="10"/>
      <c r="E62" s="11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</row>
    <row r="63" spans="1:185" x14ac:dyDescent="0.25">
      <c r="A63" s="7"/>
      <c r="B63" s="5"/>
      <c r="C63" s="5"/>
      <c r="D63" s="10"/>
      <c r="E63" s="11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</row>
    <row r="64" spans="1:185" x14ac:dyDescent="0.25">
      <c r="A64" s="6"/>
      <c r="B64" s="5"/>
      <c r="C64" s="5"/>
      <c r="D64" s="10"/>
      <c r="E64" s="11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</row>
    <row r="65" spans="2:185" x14ac:dyDescent="0.25">
      <c r="B65" s="5"/>
      <c r="C65" s="3"/>
      <c r="D65" s="10"/>
      <c r="E65" s="11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</row>
    <row r="66" spans="2:185" x14ac:dyDescent="0.25">
      <c r="B66" s="3"/>
      <c r="C66" s="3"/>
      <c r="D66" s="3"/>
      <c r="E66" s="11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</row>
    <row r="67" spans="2:185" x14ac:dyDescent="0.25">
      <c r="B67" s="3"/>
      <c r="C67" s="3"/>
      <c r="D67" s="3"/>
      <c r="E67" s="11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</row>
    <row r="68" spans="2:185" x14ac:dyDescent="0.25">
      <c r="B68" s="3"/>
      <c r="C68" s="3"/>
      <c r="D68" s="3"/>
      <c r="E68" s="11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</row>
    <row r="69" spans="2:185" x14ac:dyDescent="0.25">
      <c r="B69" s="3"/>
      <c r="C69" s="3"/>
      <c r="D69" s="3"/>
      <c r="E69" s="11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</row>
    <row r="70" spans="2:185" x14ac:dyDescent="0.25">
      <c r="B70" s="3"/>
      <c r="D70" s="3"/>
      <c r="E70" s="11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</row>
    <row r="71" spans="2:185" x14ac:dyDescent="0.25">
      <c r="E71" s="11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</row>
    <row r="72" spans="2:185" x14ac:dyDescent="0.25">
      <c r="E72" s="11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</row>
    <row r="73" spans="2:185" x14ac:dyDescent="0.25">
      <c r="E73" s="11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</row>
    <row r="74" spans="2:185" x14ac:dyDescent="0.25">
      <c r="E74" s="11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</row>
    <row r="75" spans="2:185" x14ac:dyDescent="0.25">
      <c r="E75" s="11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</row>
    <row r="76" spans="2:185" x14ac:dyDescent="0.25">
      <c r="E76" s="11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</row>
    <row r="77" spans="2:185" x14ac:dyDescent="0.25">
      <c r="E77" s="11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</row>
    <row r="78" spans="2:185" x14ac:dyDescent="0.25">
      <c r="E78" s="11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</row>
    <row r="79" spans="2:185" x14ac:dyDescent="0.25">
      <c r="E79" s="11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</row>
    <row r="80" spans="2:185" x14ac:dyDescent="0.25">
      <c r="E80" s="11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</row>
    <row r="81" spans="5:185" x14ac:dyDescent="0.25">
      <c r="E81" s="11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</row>
    <row r="82" spans="5:185" x14ac:dyDescent="0.25">
      <c r="E82" s="11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</row>
    <row r="83" spans="5:185" x14ac:dyDescent="0.25">
      <c r="E83" s="11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</row>
    <row r="84" spans="5:185" x14ac:dyDescent="0.25">
      <c r="E84" s="11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</row>
    <row r="85" spans="5:185" x14ac:dyDescent="0.25">
      <c r="E85" s="11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</row>
    <row r="86" spans="5:185" x14ac:dyDescent="0.25">
      <c r="E86" s="11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</row>
    <row r="87" spans="5:185" x14ac:dyDescent="0.25">
      <c r="E87" s="11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</row>
    <row r="88" spans="5:185" x14ac:dyDescent="0.25">
      <c r="E88" s="11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</row>
    <row r="89" spans="5:185" x14ac:dyDescent="0.25">
      <c r="E89" s="11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</row>
    <row r="90" spans="5:185" x14ac:dyDescent="0.25">
      <c r="E90" s="11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</row>
    <row r="91" spans="5:185" x14ac:dyDescent="0.25">
      <c r="E91" s="11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</row>
    <row r="92" spans="5:185" x14ac:dyDescent="0.25">
      <c r="E92" s="11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</row>
    <row r="93" spans="5:185" x14ac:dyDescent="0.25">
      <c r="E93" s="11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</row>
    <row r="94" spans="5:185" x14ac:dyDescent="0.25">
      <c r="E94" s="11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</row>
    <row r="95" spans="5:185" x14ac:dyDescent="0.25">
      <c r="E95" s="11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</row>
    <row r="96" spans="5:185" x14ac:dyDescent="0.25">
      <c r="E96" s="9"/>
    </row>
    <row r="97" spans="1:8" x14ac:dyDescent="0.25">
      <c r="E97" s="9"/>
    </row>
    <row r="99" spans="1:8" x14ac:dyDescent="0.25">
      <c r="A99" s="8" t="s">
        <v>10</v>
      </c>
      <c r="B99" s="8" t="s">
        <v>8</v>
      </c>
      <c r="C99" s="8" t="s">
        <v>9</v>
      </c>
      <c r="D99" s="8" t="s">
        <v>7</v>
      </c>
      <c r="E99" s="8" t="s">
        <v>11</v>
      </c>
      <c r="F99" s="8" t="s">
        <v>12</v>
      </c>
      <c r="G99" s="8" t="s">
        <v>18</v>
      </c>
      <c r="H99" s="8" t="s">
        <v>16</v>
      </c>
    </row>
    <row r="100" spans="1:8" x14ac:dyDescent="0.25">
      <c r="A100" t="s">
        <v>41</v>
      </c>
      <c r="B100">
        <f>COUNTA(A1:AM1)</f>
        <v>3</v>
      </c>
      <c r="C100">
        <f>COUNTA(A1:A95)</f>
        <v>31</v>
      </c>
      <c r="D100">
        <f>SUM(E100,H100)</f>
        <v>5000</v>
      </c>
      <c r="E100">
        <f>SUM(B3:B95)</f>
        <v>5000</v>
      </c>
      <c r="F100">
        <f>SUM(C3:C95)</f>
        <v>3120</v>
      </c>
      <c r="G100">
        <v>3120</v>
      </c>
      <c r="H100">
        <f>F100-G100</f>
        <v>0</v>
      </c>
    </row>
    <row r="101" spans="1:8" x14ac:dyDescent="0.25">
      <c r="A101" t="s">
        <v>42</v>
      </c>
      <c r="C101">
        <f>COUNTA(E1:E95)</f>
        <v>24</v>
      </c>
      <c r="D101">
        <f t="shared" ref="D101:D148" si="0">SUM(E101,H101)</f>
        <v>30000</v>
      </c>
      <c r="E101">
        <f>SUM(F3:F95)</f>
        <v>30000</v>
      </c>
      <c r="F101">
        <f>SUM(G3:G95)</f>
        <v>17400</v>
      </c>
      <c r="G101">
        <v>17400</v>
      </c>
      <c r="H101">
        <f t="shared" ref="H101:H148" si="1">F101-G101</f>
        <v>0</v>
      </c>
    </row>
    <row r="102" spans="1:8" x14ac:dyDescent="0.25">
      <c r="A102" t="s">
        <v>43</v>
      </c>
      <c r="C102">
        <f>COUNTA(I1:I95)</f>
        <v>18</v>
      </c>
      <c r="D102">
        <f t="shared" si="0"/>
        <v>17000</v>
      </c>
      <c r="E102">
        <f>SUM(J3:J95)</f>
        <v>17000</v>
      </c>
      <c r="F102">
        <f>SUM(K3:K95)</f>
        <v>3810</v>
      </c>
      <c r="G102">
        <v>3810</v>
      </c>
      <c r="H102">
        <f t="shared" si="1"/>
        <v>0</v>
      </c>
    </row>
    <row r="103" spans="1:8" x14ac:dyDescent="0.25">
      <c r="C103">
        <f>COUNTA(M1:M95)</f>
        <v>0</v>
      </c>
      <c r="D103">
        <f t="shared" si="0"/>
        <v>0</v>
      </c>
      <c r="E103">
        <f>SUM(N3:N95)</f>
        <v>0</v>
      </c>
      <c r="F103">
        <f>SUM(O3:O95)</f>
        <v>0</v>
      </c>
      <c r="H103">
        <f t="shared" si="1"/>
        <v>0</v>
      </c>
    </row>
    <row r="104" spans="1:8" x14ac:dyDescent="0.25">
      <c r="C104">
        <f>COUNTA(Q1:Q95)</f>
        <v>0</v>
      </c>
      <c r="D104">
        <f t="shared" si="0"/>
        <v>0</v>
      </c>
      <c r="E104">
        <f>SUM(R3:R95)</f>
        <v>0</v>
      </c>
      <c r="F104">
        <f>SUM(S3:S95)</f>
        <v>0</v>
      </c>
      <c r="H104">
        <f t="shared" si="1"/>
        <v>0</v>
      </c>
    </row>
    <row r="105" spans="1:8" x14ac:dyDescent="0.25">
      <c r="C105">
        <f>COUNTA(U1:U95)</f>
        <v>0</v>
      </c>
      <c r="D105">
        <f t="shared" si="0"/>
        <v>0</v>
      </c>
      <c r="E105">
        <f>SUM(V3:V95)</f>
        <v>0</v>
      </c>
      <c r="F105">
        <f>SUM(W3:W95)</f>
        <v>0</v>
      </c>
      <c r="H105">
        <f t="shared" si="1"/>
        <v>0</v>
      </c>
    </row>
    <row r="106" spans="1:8" x14ac:dyDescent="0.25">
      <c r="C106">
        <f>COUNTA(Y1:Y95)</f>
        <v>0</v>
      </c>
      <c r="D106">
        <f t="shared" si="0"/>
        <v>0</v>
      </c>
      <c r="E106">
        <f>SUM(Z3:Z95)</f>
        <v>0</v>
      </c>
      <c r="F106">
        <f>SUM(AA3:AA95)</f>
        <v>0</v>
      </c>
      <c r="H106">
        <f t="shared" si="1"/>
        <v>0</v>
      </c>
    </row>
    <row r="107" spans="1:8" x14ac:dyDescent="0.25">
      <c r="C107">
        <f>COUNTA(AC1:AC95)</f>
        <v>0</v>
      </c>
      <c r="D107">
        <f t="shared" si="0"/>
        <v>0</v>
      </c>
      <c r="E107">
        <f>SUM(AD3:AD95)</f>
        <v>0</v>
      </c>
      <c r="F107">
        <f>SUM(AE3:AE95)</f>
        <v>0</v>
      </c>
      <c r="H107">
        <f t="shared" si="1"/>
        <v>0</v>
      </c>
    </row>
    <row r="108" spans="1:8" x14ac:dyDescent="0.25">
      <c r="C108">
        <f>COUNTA(AG1:AG95)</f>
        <v>0</v>
      </c>
      <c r="D108">
        <f t="shared" si="0"/>
        <v>0</v>
      </c>
      <c r="E108">
        <f>SUM(AH3:AH95)</f>
        <v>0</v>
      </c>
      <c r="F108">
        <f>SUM(AI3:AI95)</f>
        <v>0</v>
      </c>
      <c r="H108">
        <f t="shared" si="1"/>
        <v>0</v>
      </c>
    </row>
    <row r="109" spans="1:8" x14ac:dyDescent="0.25">
      <c r="C109">
        <f>COUNTA(AK1:AK95)</f>
        <v>0</v>
      </c>
      <c r="D109">
        <f t="shared" si="0"/>
        <v>0</v>
      </c>
      <c r="E109">
        <f>SUM(AL3:AL95)</f>
        <v>0</v>
      </c>
      <c r="F109">
        <f>SUM(AM3:AM95)</f>
        <v>0</v>
      </c>
      <c r="H109">
        <f t="shared" si="1"/>
        <v>0</v>
      </c>
    </row>
    <row r="110" spans="1:8" x14ac:dyDescent="0.25">
      <c r="C110">
        <f>COUNTA(AO1:AO95)</f>
        <v>0</v>
      </c>
      <c r="D110">
        <f t="shared" si="0"/>
        <v>0</v>
      </c>
      <c r="E110">
        <f>SUM(AP3:AP95)</f>
        <v>0</v>
      </c>
      <c r="F110">
        <f>SUM(AQ3:AQ95)</f>
        <v>0</v>
      </c>
      <c r="H110">
        <f t="shared" si="1"/>
        <v>0</v>
      </c>
    </row>
    <row r="111" spans="1:8" x14ac:dyDescent="0.25">
      <c r="C111">
        <f>COUNTA(AS1:AS95)</f>
        <v>0</v>
      </c>
      <c r="D111">
        <f t="shared" si="0"/>
        <v>0</v>
      </c>
      <c r="E111">
        <f>SUM(AT3:AT95)</f>
        <v>0</v>
      </c>
      <c r="F111">
        <f>SUM(AU3:AU95)</f>
        <v>0</v>
      </c>
      <c r="H111">
        <f t="shared" si="1"/>
        <v>0</v>
      </c>
    </row>
    <row r="112" spans="1:8" x14ac:dyDescent="0.25">
      <c r="C112">
        <f>COUNTA(AW1:AW95)</f>
        <v>0</v>
      </c>
      <c r="D112">
        <f t="shared" si="0"/>
        <v>0</v>
      </c>
      <c r="E112">
        <f>SUM(AX3:AX95)</f>
        <v>0</v>
      </c>
      <c r="F112">
        <f>SUM(AY3:AY95)</f>
        <v>0</v>
      </c>
      <c r="H112">
        <f t="shared" si="1"/>
        <v>0</v>
      </c>
    </row>
    <row r="113" spans="3:8" x14ac:dyDescent="0.25">
      <c r="C113">
        <f>COUNTA(BA1:BA95)</f>
        <v>0</v>
      </c>
      <c r="D113">
        <f t="shared" si="0"/>
        <v>0</v>
      </c>
      <c r="E113">
        <f>SUM(BB3:BB95)</f>
        <v>0</v>
      </c>
      <c r="F113">
        <f>SUM(BC3:BC95)</f>
        <v>0</v>
      </c>
      <c r="H113">
        <f t="shared" si="1"/>
        <v>0</v>
      </c>
    </row>
    <row r="114" spans="3:8" x14ac:dyDescent="0.25">
      <c r="C114">
        <f>COUNTA(BE1:BE95)</f>
        <v>0</v>
      </c>
      <c r="D114">
        <f t="shared" si="0"/>
        <v>0</v>
      </c>
      <c r="E114">
        <f>SUM(BF3:BF95)</f>
        <v>0</v>
      </c>
      <c r="F114">
        <f>SUM(BG3:BG95)</f>
        <v>0</v>
      </c>
      <c r="H114">
        <f t="shared" si="1"/>
        <v>0</v>
      </c>
    </row>
    <row r="115" spans="3:8" x14ac:dyDescent="0.25">
      <c r="C115">
        <f>COUNTA(BI1:BI95)</f>
        <v>0</v>
      </c>
      <c r="D115">
        <f t="shared" si="0"/>
        <v>0</v>
      </c>
      <c r="E115">
        <f>SUM(BJ3:BJ95)</f>
        <v>0</v>
      </c>
      <c r="F115">
        <f>SUM(BK3:BK95)</f>
        <v>0</v>
      </c>
      <c r="H115">
        <f t="shared" si="1"/>
        <v>0</v>
      </c>
    </row>
    <row r="116" spans="3:8" x14ac:dyDescent="0.25">
      <c r="C116">
        <f>COUNTA(BM1:BM95)</f>
        <v>0</v>
      </c>
      <c r="D116">
        <f t="shared" si="0"/>
        <v>0</v>
      </c>
      <c r="E116">
        <f>SUM(BN3:BN95)</f>
        <v>0</v>
      </c>
      <c r="F116">
        <f>SUM(BO3:BO95)</f>
        <v>0</v>
      </c>
      <c r="H116">
        <f t="shared" si="1"/>
        <v>0</v>
      </c>
    </row>
    <row r="117" spans="3:8" x14ac:dyDescent="0.25">
      <c r="C117">
        <f>COUNTA(BQ1:BQ95)</f>
        <v>0</v>
      </c>
      <c r="D117">
        <f t="shared" si="0"/>
        <v>0</v>
      </c>
      <c r="E117">
        <f>SUM(BR3:BR95)</f>
        <v>0</v>
      </c>
      <c r="F117">
        <f>SUM(BS3:BS95)</f>
        <v>0</v>
      </c>
      <c r="H117">
        <f t="shared" si="1"/>
        <v>0</v>
      </c>
    </row>
    <row r="118" spans="3:8" x14ac:dyDescent="0.25">
      <c r="C118">
        <f>COUNTA(BU1:BU95)</f>
        <v>0</v>
      </c>
      <c r="D118">
        <f t="shared" si="0"/>
        <v>0</v>
      </c>
      <c r="E118">
        <f>SUM(BV3:BV95)</f>
        <v>0</v>
      </c>
      <c r="F118">
        <f>SUM(BW3:BW95)</f>
        <v>0</v>
      </c>
      <c r="H118">
        <f t="shared" si="1"/>
        <v>0</v>
      </c>
    </row>
    <row r="119" spans="3:8" x14ac:dyDescent="0.25">
      <c r="C119">
        <f>COUNTA(BY1:BY95)</f>
        <v>0</v>
      </c>
      <c r="D119">
        <f t="shared" si="0"/>
        <v>0</v>
      </c>
      <c r="E119">
        <f>SUM(BZ3:BZ95)</f>
        <v>0</v>
      </c>
      <c r="F119">
        <f>SUM(CA3:CA95)</f>
        <v>0</v>
      </c>
      <c r="H119">
        <f t="shared" si="1"/>
        <v>0</v>
      </c>
    </row>
    <row r="120" spans="3:8" x14ac:dyDescent="0.25">
      <c r="C120">
        <f>COUNTA(CC1:CC95)</f>
        <v>0</v>
      </c>
      <c r="D120">
        <f t="shared" si="0"/>
        <v>0</v>
      </c>
      <c r="E120">
        <f>SUM(CD3:CD95)</f>
        <v>0</v>
      </c>
      <c r="F120">
        <f>SUM(CE3:CE95)</f>
        <v>0</v>
      </c>
      <c r="H120">
        <f t="shared" si="1"/>
        <v>0</v>
      </c>
    </row>
    <row r="121" spans="3:8" x14ac:dyDescent="0.25">
      <c r="C121">
        <f>COUNTA(CG1:CG95)</f>
        <v>0</v>
      </c>
      <c r="D121">
        <f t="shared" si="0"/>
        <v>0</v>
      </c>
      <c r="E121">
        <f>SUM(CH3:CH95)</f>
        <v>0</v>
      </c>
      <c r="F121">
        <f>SUM(CI3:CI95)</f>
        <v>0</v>
      </c>
      <c r="H121">
        <f t="shared" si="1"/>
        <v>0</v>
      </c>
    </row>
    <row r="122" spans="3:8" x14ac:dyDescent="0.25">
      <c r="C122">
        <f>COUNTA(CK1:CK95)</f>
        <v>0</v>
      </c>
      <c r="D122">
        <f t="shared" si="0"/>
        <v>0</v>
      </c>
      <c r="E122">
        <f>SUM(CL3:CL95)</f>
        <v>0</v>
      </c>
      <c r="F122">
        <f>SUM(CM3:CM95)</f>
        <v>0</v>
      </c>
      <c r="H122">
        <f t="shared" si="1"/>
        <v>0</v>
      </c>
    </row>
    <row r="123" spans="3:8" x14ac:dyDescent="0.25">
      <c r="C123">
        <f>COUNTA(CO1:CO95)</f>
        <v>0</v>
      </c>
      <c r="D123">
        <f t="shared" si="0"/>
        <v>0</v>
      </c>
      <c r="E123">
        <f>SUM(CP3:CP95)</f>
        <v>0</v>
      </c>
      <c r="F123">
        <f>SUM(CQ3:CQ95)</f>
        <v>0</v>
      </c>
      <c r="H123">
        <f t="shared" si="1"/>
        <v>0</v>
      </c>
    </row>
    <row r="124" spans="3:8" x14ac:dyDescent="0.25">
      <c r="C124">
        <f>COUNTA(CS1:CS95)</f>
        <v>0</v>
      </c>
      <c r="D124">
        <f t="shared" si="0"/>
        <v>0</v>
      </c>
      <c r="E124">
        <f>SUM(CT3:CT95)</f>
        <v>0</v>
      </c>
      <c r="F124">
        <f>SUM(CU3:CU95)</f>
        <v>0</v>
      </c>
      <c r="H124">
        <f t="shared" si="1"/>
        <v>0</v>
      </c>
    </row>
    <row r="125" spans="3:8" x14ac:dyDescent="0.25">
      <c r="C125">
        <f>COUNTA(CW1:CW95)</f>
        <v>0</v>
      </c>
      <c r="D125">
        <f t="shared" si="0"/>
        <v>0</v>
      </c>
      <c r="E125">
        <f>SUM(CX3:CX95)</f>
        <v>0</v>
      </c>
      <c r="F125">
        <f>SUM(CY3:CY95)</f>
        <v>0</v>
      </c>
      <c r="H125">
        <f t="shared" si="1"/>
        <v>0</v>
      </c>
    </row>
    <row r="126" spans="3:8" x14ac:dyDescent="0.25">
      <c r="C126">
        <f>COUNTA(DA1:DA95)</f>
        <v>0</v>
      </c>
      <c r="D126">
        <f t="shared" si="0"/>
        <v>0</v>
      </c>
      <c r="E126">
        <f>SUM(DB3:DB95)</f>
        <v>0</v>
      </c>
      <c r="F126">
        <f>SUM(DC3:DC95)</f>
        <v>0</v>
      </c>
      <c r="H126">
        <f t="shared" si="1"/>
        <v>0</v>
      </c>
    </row>
    <row r="127" spans="3:8" x14ac:dyDescent="0.25">
      <c r="C127">
        <f>COUNTA(DE1:DE95)</f>
        <v>0</v>
      </c>
      <c r="D127">
        <f t="shared" si="0"/>
        <v>0</v>
      </c>
      <c r="E127">
        <f>SUM(DF3:DF95)</f>
        <v>0</v>
      </c>
      <c r="F127">
        <f>SUM(DG3:DG95)</f>
        <v>0</v>
      </c>
      <c r="H127">
        <f t="shared" si="1"/>
        <v>0</v>
      </c>
    </row>
    <row r="128" spans="3:8" x14ac:dyDescent="0.25">
      <c r="C128">
        <f>COUNTA(DI1:DI95)</f>
        <v>0</v>
      </c>
      <c r="D128">
        <f t="shared" si="0"/>
        <v>0</v>
      </c>
      <c r="E128">
        <f>SUM(DJ3:DJ95)</f>
        <v>0</v>
      </c>
      <c r="F128">
        <f>SUM(DK3:DK95)</f>
        <v>0</v>
      </c>
      <c r="H128">
        <f t="shared" si="1"/>
        <v>0</v>
      </c>
    </row>
    <row r="129" spans="3:8" x14ac:dyDescent="0.25">
      <c r="C129">
        <f>COUNTA(DM1:DM95)</f>
        <v>0</v>
      </c>
      <c r="D129">
        <f t="shared" si="0"/>
        <v>0</v>
      </c>
      <c r="E129">
        <f>SUM(DN3:DN95)</f>
        <v>0</v>
      </c>
      <c r="F129">
        <f>SUM(DO3:DO95)</f>
        <v>0</v>
      </c>
      <c r="H129">
        <f t="shared" si="1"/>
        <v>0</v>
      </c>
    </row>
    <row r="130" spans="3:8" x14ac:dyDescent="0.25">
      <c r="C130">
        <f>COUNTA(DQ1:DQ95)</f>
        <v>0</v>
      </c>
      <c r="D130">
        <f t="shared" si="0"/>
        <v>0</v>
      </c>
      <c r="E130">
        <f>SUM(DR3:DR95)</f>
        <v>0</v>
      </c>
      <c r="F130">
        <f>SUM(DS3:DS95)</f>
        <v>0</v>
      </c>
      <c r="H130">
        <f t="shared" si="1"/>
        <v>0</v>
      </c>
    </row>
    <row r="131" spans="3:8" x14ac:dyDescent="0.25">
      <c r="C131">
        <f>COUNTA(DU1:DU95)</f>
        <v>0</v>
      </c>
      <c r="D131">
        <f t="shared" si="0"/>
        <v>0</v>
      </c>
      <c r="E131">
        <f>SUM(DV3:DV95)</f>
        <v>0</v>
      </c>
      <c r="F131">
        <f>SUM(DW3:DW95)</f>
        <v>0</v>
      </c>
      <c r="H131">
        <f t="shared" si="1"/>
        <v>0</v>
      </c>
    </row>
    <row r="132" spans="3:8" x14ac:dyDescent="0.25">
      <c r="C132">
        <f>COUNTA(DY1:DY95)</f>
        <v>0</v>
      </c>
      <c r="D132">
        <f t="shared" si="0"/>
        <v>0</v>
      </c>
      <c r="E132">
        <f>SUM(DX3:DX95)</f>
        <v>0</v>
      </c>
      <c r="F132">
        <f>SUM(DY3:DY95)</f>
        <v>0</v>
      </c>
      <c r="H132">
        <f t="shared" si="1"/>
        <v>0</v>
      </c>
    </row>
    <row r="133" spans="3:8" x14ac:dyDescent="0.25">
      <c r="C133">
        <f>COUNTA(EC1:EC95)</f>
        <v>0</v>
      </c>
      <c r="D133">
        <f t="shared" si="0"/>
        <v>0</v>
      </c>
      <c r="E133">
        <f>SUM(ED3:ED95)</f>
        <v>0</v>
      </c>
      <c r="F133">
        <f>SUM(EE3:EE95)</f>
        <v>0</v>
      </c>
      <c r="H133">
        <f t="shared" si="1"/>
        <v>0</v>
      </c>
    </row>
    <row r="134" spans="3:8" x14ac:dyDescent="0.25">
      <c r="C134">
        <f>COUNTA(EG1:EG96)</f>
        <v>0</v>
      </c>
      <c r="D134">
        <f t="shared" si="0"/>
        <v>0</v>
      </c>
      <c r="E134">
        <f>SUM(EH3:EH95)</f>
        <v>0</v>
      </c>
      <c r="F134">
        <f>SUM(EI3:EI95)</f>
        <v>0</v>
      </c>
      <c r="H134">
        <f t="shared" si="1"/>
        <v>0</v>
      </c>
    </row>
    <row r="135" spans="3:8" x14ac:dyDescent="0.25">
      <c r="C135">
        <f>COUNTA(EK1:EK95)</f>
        <v>0</v>
      </c>
      <c r="D135">
        <f t="shared" si="0"/>
        <v>0</v>
      </c>
      <c r="E135">
        <f>SUM(EL3:EL95)</f>
        <v>0</v>
      </c>
      <c r="F135">
        <f>SUM(EM3:EM95)</f>
        <v>0</v>
      </c>
      <c r="H135">
        <f t="shared" si="1"/>
        <v>0</v>
      </c>
    </row>
    <row r="136" spans="3:8" x14ac:dyDescent="0.25">
      <c r="C136">
        <f>COUNTA(EO1:EO95)</f>
        <v>0</v>
      </c>
      <c r="D136">
        <f t="shared" si="0"/>
        <v>0</v>
      </c>
      <c r="E136">
        <f>SUM(EP3:EP95)</f>
        <v>0</v>
      </c>
      <c r="F136">
        <f>SUM(EQ3:EQ95)</f>
        <v>0</v>
      </c>
      <c r="H136">
        <f t="shared" si="1"/>
        <v>0</v>
      </c>
    </row>
    <row r="137" spans="3:8" x14ac:dyDescent="0.25">
      <c r="C137">
        <f>COUNTA(ES1:ES95)</f>
        <v>0</v>
      </c>
      <c r="D137">
        <f t="shared" si="0"/>
        <v>0</v>
      </c>
      <c r="E137">
        <f>SUM(ET3:ET95)</f>
        <v>0</v>
      </c>
      <c r="F137">
        <f>SUM(EU3:EU95)</f>
        <v>0</v>
      </c>
      <c r="H137">
        <f t="shared" si="1"/>
        <v>0</v>
      </c>
    </row>
    <row r="138" spans="3:8" x14ac:dyDescent="0.25">
      <c r="C138">
        <f>COUNTA(EW1:EW95)</f>
        <v>0</v>
      </c>
      <c r="D138">
        <f t="shared" si="0"/>
        <v>0</v>
      </c>
      <c r="E138">
        <f>SUM(EX3:EX95)</f>
        <v>0</v>
      </c>
      <c r="F138">
        <f>SUM(EY3:EY95)</f>
        <v>0</v>
      </c>
      <c r="H138">
        <f t="shared" si="1"/>
        <v>0</v>
      </c>
    </row>
    <row r="139" spans="3:8" x14ac:dyDescent="0.25">
      <c r="C139">
        <f>COUNTA(FA1:FA95)</f>
        <v>0</v>
      </c>
      <c r="D139">
        <f t="shared" si="0"/>
        <v>0</v>
      </c>
      <c r="E139">
        <f>SUM(FB3:FB95)</f>
        <v>0</v>
      </c>
      <c r="F139">
        <f>SUM(FC3:FC95)</f>
        <v>0</v>
      </c>
      <c r="H139">
        <f t="shared" si="1"/>
        <v>0</v>
      </c>
    </row>
    <row r="140" spans="3:8" x14ac:dyDescent="0.25">
      <c r="C140">
        <f>COUNTA(FE1:FE95)</f>
        <v>0</v>
      </c>
      <c r="D140">
        <f t="shared" si="0"/>
        <v>0</v>
      </c>
      <c r="E140">
        <f>SUM(FF3:FF95)</f>
        <v>0</v>
      </c>
      <c r="F140">
        <f>SUM(FG3:FG95)</f>
        <v>0</v>
      </c>
      <c r="H140">
        <f t="shared" si="1"/>
        <v>0</v>
      </c>
    </row>
    <row r="141" spans="3:8" x14ac:dyDescent="0.25">
      <c r="C141">
        <f>COUNTA(FI1:FI95)</f>
        <v>0</v>
      </c>
      <c r="D141">
        <f t="shared" si="0"/>
        <v>0</v>
      </c>
      <c r="E141">
        <f>SUM(FJ3:FJ95)</f>
        <v>0</v>
      </c>
      <c r="F141">
        <f>SUM(FK3:FK95)</f>
        <v>0</v>
      </c>
      <c r="H141">
        <f t="shared" si="1"/>
        <v>0</v>
      </c>
    </row>
    <row r="142" spans="3:8" x14ac:dyDescent="0.25">
      <c r="C142">
        <f>COUNTA(FM1:FM95)</f>
        <v>0</v>
      </c>
      <c r="D142">
        <f t="shared" si="0"/>
        <v>0</v>
      </c>
      <c r="E142">
        <f>SUM(FN3:FN95)</f>
        <v>0</v>
      </c>
      <c r="F142">
        <f>SUM(FO3:FO95)</f>
        <v>0</v>
      </c>
      <c r="H142">
        <f t="shared" si="1"/>
        <v>0</v>
      </c>
    </row>
    <row r="143" spans="3:8" x14ac:dyDescent="0.25">
      <c r="C143">
        <f>COUNTA(FQ1:FQ95)</f>
        <v>0</v>
      </c>
      <c r="D143">
        <f t="shared" si="0"/>
        <v>0</v>
      </c>
      <c r="E143">
        <f>SUM(FR3:FR95)</f>
        <v>0</v>
      </c>
      <c r="F143">
        <f>SUM(FS3:FS95)</f>
        <v>0</v>
      </c>
      <c r="H143">
        <f t="shared" si="1"/>
        <v>0</v>
      </c>
    </row>
    <row r="144" spans="3:8" x14ac:dyDescent="0.25">
      <c r="C144">
        <f>COUNTA(FU1:FU95)</f>
        <v>0</v>
      </c>
      <c r="D144">
        <f t="shared" si="0"/>
        <v>0</v>
      </c>
      <c r="E144">
        <f>SUM(FV3:FV95)</f>
        <v>0</v>
      </c>
      <c r="F144">
        <f>SUM(FW3:FW95)</f>
        <v>0</v>
      </c>
      <c r="H144">
        <f t="shared" si="1"/>
        <v>0</v>
      </c>
    </row>
    <row r="145" spans="3:8" x14ac:dyDescent="0.25">
      <c r="C145">
        <f>COUNTA(FY1:FY95)</f>
        <v>0</v>
      </c>
      <c r="D145">
        <f t="shared" si="0"/>
        <v>0</v>
      </c>
      <c r="E145">
        <f>SUM(FZ3:FZ95)</f>
        <v>0</v>
      </c>
      <c r="F145">
        <f>SUM(GA3:GA95)</f>
        <v>0</v>
      </c>
      <c r="H145">
        <f t="shared" si="1"/>
        <v>0</v>
      </c>
    </row>
    <row r="146" spans="3:8" x14ac:dyDescent="0.25">
      <c r="C146">
        <f>COUNTA(GC1:GC95)</f>
        <v>0</v>
      </c>
      <c r="D146">
        <f t="shared" si="0"/>
        <v>0</v>
      </c>
      <c r="E146">
        <f>SUM(GD3:GD95)</f>
        <v>0</v>
      </c>
      <c r="F146">
        <f>SUM(GE3:GE95)</f>
        <v>0</v>
      </c>
      <c r="H146">
        <f t="shared" si="1"/>
        <v>0</v>
      </c>
    </row>
    <row r="147" spans="3:8" x14ac:dyDescent="0.25">
      <c r="C147">
        <f>COUNTA(GG1:GG95)</f>
        <v>0</v>
      </c>
      <c r="D147">
        <f t="shared" si="0"/>
        <v>0</v>
      </c>
      <c r="E147">
        <f>SUM(GH3:GH95)</f>
        <v>0</v>
      </c>
      <c r="F147">
        <f>SUM(GI3:GI95)</f>
        <v>0</v>
      </c>
      <c r="H147">
        <f t="shared" si="1"/>
        <v>0</v>
      </c>
    </row>
    <row r="148" spans="3:8" x14ac:dyDescent="0.25">
      <c r="C148">
        <f>COUNTA(GK1:GK95)</f>
        <v>0</v>
      </c>
      <c r="D148">
        <f t="shared" si="0"/>
        <v>0</v>
      </c>
      <c r="E148">
        <f>SUM(GL3:GL95)</f>
        <v>0</v>
      </c>
      <c r="F148">
        <f>SUM(GM3:GM95)</f>
        <v>0</v>
      </c>
      <c r="H148">
        <f t="shared" si="1"/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2:Z102"/>
  <sheetViews>
    <sheetView workbookViewId="0">
      <selection activeCell="H18" sqref="H18"/>
    </sheetView>
  </sheetViews>
  <sheetFormatPr defaultRowHeight="15" x14ac:dyDescent="0.25"/>
  <cols>
    <col min="1" max="1" width="10.7109375" bestFit="1" customWidth="1"/>
  </cols>
  <sheetData>
    <row r="2" spans="1:26" x14ac:dyDescent="0.25">
      <c r="A2" t="s">
        <v>61</v>
      </c>
      <c r="B2" t="s">
        <v>21</v>
      </c>
      <c r="C2" t="s">
        <v>22</v>
      </c>
      <c r="D2" t="s">
        <v>23</v>
      </c>
      <c r="E2" t="s">
        <v>24</v>
      </c>
      <c r="F2" t="s">
        <v>25</v>
      </c>
      <c r="G2" t="s">
        <v>26</v>
      </c>
      <c r="H2" t="s">
        <v>27</v>
      </c>
      <c r="I2" t="s">
        <v>28</v>
      </c>
      <c r="J2" t="s">
        <v>29</v>
      </c>
      <c r="K2" t="s">
        <v>20</v>
      </c>
      <c r="L2" t="s">
        <v>30</v>
      </c>
      <c r="M2" t="s">
        <v>31</v>
      </c>
      <c r="N2" t="s">
        <v>32</v>
      </c>
      <c r="O2" t="s">
        <v>33</v>
      </c>
      <c r="P2" t="s">
        <v>34</v>
      </c>
      <c r="Q2" t="s">
        <v>35</v>
      </c>
      <c r="R2" t="s">
        <v>36</v>
      </c>
      <c r="S2" t="s">
        <v>37</v>
      </c>
      <c r="T2" t="s">
        <v>6</v>
      </c>
      <c r="U2" t="s">
        <v>0</v>
      </c>
      <c r="V2" t="s">
        <v>38</v>
      </c>
      <c r="W2" t="s">
        <v>39</v>
      </c>
      <c r="X2" t="s">
        <v>40</v>
      </c>
      <c r="Y2" t="s">
        <v>44</v>
      </c>
      <c r="Z2" t="s">
        <v>45</v>
      </c>
    </row>
    <row r="3" spans="1:26" x14ac:dyDescent="0.25">
      <c r="B3">
        <v>6</v>
      </c>
      <c r="C3">
        <v>0</v>
      </c>
      <c r="D3">
        <v>1</v>
      </c>
      <c r="E3">
        <v>3</v>
      </c>
      <c r="F3">
        <v>2</v>
      </c>
      <c r="G3">
        <v>1</v>
      </c>
      <c r="H3">
        <v>4</v>
      </c>
      <c r="I3">
        <v>0</v>
      </c>
      <c r="J3">
        <v>5</v>
      </c>
      <c r="K3">
        <v>1</v>
      </c>
      <c r="L3">
        <v>1</v>
      </c>
      <c r="M3">
        <v>0</v>
      </c>
      <c r="N3">
        <v>0</v>
      </c>
      <c r="O3">
        <v>0</v>
      </c>
      <c r="P3">
        <v>6</v>
      </c>
      <c r="Q3">
        <v>0</v>
      </c>
      <c r="R3">
        <v>5</v>
      </c>
      <c r="S3">
        <v>2</v>
      </c>
      <c r="T3">
        <v>0</v>
      </c>
      <c r="U3">
        <v>0</v>
      </c>
      <c r="V3">
        <v>0</v>
      </c>
      <c r="W3">
        <v>1</v>
      </c>
      <c r="X3">
        <v>1</v>
      </c>
      <c r="Y3">
        <v>0</v>
      </c>
    </row>
    <row r="4" spans="1:26" x14ac:dyDescent="0.25">
      <c r="A4" s="9">
        <v>42003</v>
      </c>
      <c r="B4">
        <v>1664</v>
      </c>
      <c r="C4">
        <v>116</v>
      </c>
      <c r="D4">
        <v>334</v>
      </c>
      <c r="E4">
        <v>765</v>
      </c>
      <c r="F4">
        <v>681</v>
      </c>
      <c r="G4">
        <v>389</v>
      </c>
      <c r="H4">
        <v>1138</v>
      </c>
      <c r="I4">
        <v>32</v>
      </c>
      <c r="J4">
        <v>1256</v>
      </c>
      <c r="K4">
        <v>277</v>
      </c>
      <c r="L4">
        <v>291</v>
      </c>
      <c r="M4">
        <v>182</v>
      </c>
      <c r="N4">
        <v>49</v>
      </c>
      <c r="O4">
        <v>94</v>
      </c>
      <c r="P4">
        <v>1554</v>
      </c>
      <c r="Q4">
        <v>60</v>
      </c>
      <c r="R4">
        <v>1358</v>
      </c>
      <c r="S4">
        <v>699</v>
      </c>
      <c r="T4">
        <v>216</v>
      </c>
      <c r="U4">
        <v>177</v>
      </c>
      <c r="V4">
        <v>180</v>
      </c>
      <c r="W4">
        <v>319</v>
      </c>
      <c r="X4">
        <v>325</v>
      </c>
      <c r="Y4">
        <v>0</v>
      </c>
    </row>
    <row r="6" spans="1:26" x14ac:dyDescent="0.25">
      <c r="A6" s="9">
        <v>41654</v>
      </c>
    </row>
    <row r="7" spans="1:26" x14ac:dyDescent="0.25">
      <c r="A7" s="9">
        <v>41669</v>
      </c>
    </row>
    <row r="8" spans="1:26" x14ac:dyDescent="0.25">
      <c r="A8" s="9">
        <v>41685</v>
      </c>
    </row>
    <row r="9" spans="1:26" x14ac:dyDescent="0.25">
      <c r="A9" s="9">
        <v>41698</v>
      </c>
    </row>
    <row r="10" spans="1:26" x14ac:dyDescent="0.25">
      <c r="A10" s="9">
        <v>41713</v>
      </c>
    </row>
    <row r="11" spans="1:26" x14ac:dyDescent="0.25">
      <c r="A11" s="9">
        <v>41728</v>
      </c>
    </row>
    <row r="12" spans="1:26" x14ac:dyDescent="0.25">
      <c r="A12" s="9">
        <v>41744</v>
      </c>
    </row>
    <row r="13" spans="1:26" x14ac:dyDescent="0.25">
      <c r="A13" s="9">
        <v>41759</v>
      </c>
    </row>
    <row r="14" spans="1:26" x14ac:dyDescent="0.25">
      <c r="A14" s="9">
        <v>41774</v>
      </c>
    </row>
    <row r="15" spans="1:26" x14ac:dyDescent="0.25">
      <c r="A15" s="9">
        <v>41789</v>
      </c>
    </row>
    <row r="16" spans="1:26" x14ac:dyDescent="0.25">
      <c r="A16" s="9">
        <v>41805</v>
      </c>
    </row>
    <row r="99" spans="1:3" x14ac:dyDescent="0.25">
      <c r="B99">
        <v>24330</v>
      </c>
      <c r="C99">
        <f>COUNTA(B2:X2)</f>
        <v>23</v>
      </c>
    </row>
    <row r="100" spans="1:3" x14ac:dyDescent="0.25">
      <c r="A100" t="s">
        <v>0</v>
      </c>
    </row>
    <row r="101" spans="1:3" x14ac:dyDescent="0.25">
      <c r="A101" t="s">
        <v>6</v>
      </c>
    </row>
    <row r="102" spans="1:3" x14ac:dyDescent="0.25">
      <c r="A102" t="s">
        <v>19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topLeftCell="A16" workbookViewId="0">
      <selection activeCell="D10" sqref="D10"/>
    </sheetView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B7811-641F-4F12-BE30-818D2E5E40B6}">
  <sheetPr codeName="Sheet6"/>
  <dimension ref="A1:AA31"/>
  <sheetViews>
    <sheetView workbookViewId="0">
      <selection activeCell="I14" sqref="I14"/>
    </sheetView>
  </sheetViews>
  <sheetFormatPr defaultRowHeight="15" x14ac:dyDescent="0.25"/>
  <cols>
    <col min="2" max="2" width="18.5703125" customWidth="1"/>
    <col min="3" max="3" width="18.85546875" customWidth="1"/>
    <col min="4" max="4" width="15.42578125" customWidth="1"/>
  </cols>
  <sheetData>
    <row r="1" spans="1:27" x14ac:dyDescent="0.25">
      <c r="A1" s="41"/>
      <c r="B1" s="41"/>
      <c r="C1" s="41"/>
      <c r="D1" s="41"/>
      <c r="E1" s="86" t="s">
        <v>77</v>
      </c>
      <c r="F1" s="41"/>
    </row>
    <row r="2" spans="1:27" x14ac:dyDescent="0.25">
      <c r="A2" s="41"/>
      <c r="B2" s="86" t="s">
        <v>79</v>
      </c>
      <c r="C2" s="86" t="s">
        <v>78</v>
      </c>
      <c r="D2" s="41"/>
      <c r="E2" s="41">
        <f>COUNTA(Savings!C2:AH2)</f>
        <v>25</v>
      </c>
      <c r="F2" s="86" t="s">
        <v>17</v>
      </c>
      <c r="G2" s="86" t="s">
        <v>51</v>
      </c>
      <c r="H2" s="86" t="s">
        <v>52</v>
      </c>
      <c r="AA2" s="15"/>
    </row>
    <row r="3" spans="1:27" x14ac:dyDescent="0.25">
      <c r="A3" s="41"/>
      <c r="B3" s="85" t="s">
        <v>21</v>
      </c>
      <c r="C3" s="41" t="s">
        <v>50</v>
      </c>
      <c r="D3" s="41" t="s">
        <v>1</v>
      </c>
      <c r="E3" s="41"/>
      <c r="F3" s="41">
        <v>18</v>
      </c>
      <c r="G3" s="41">
        <f>COUNTA(C3:C36)</f>
        <v>4</v>
      </c>
      <c r="H3" s="41">
        <f>G3*F3</f>
        <v>72</v>
      </c>
    </row>
    <row r="4" spans="1:27" x14ac:dyDescent="0.25">
      <c r="A4" s="41"/>
      <c r="B4" s="85" t="s">
        <v>22</v>
      </c>
      <c r="C4" s="41" t="s">
        <v>53</v>
      </c>
      <c r="D4" s="41" t="s">
        <v>3</v>
      </c>
      <c r="E4" s="41"/>
      <c r="F4" s="41"/>
      <c r="G4" s="41"/>
      <c r="H4" s="41"/>
    </row>
    <row r="5" spans="1:27" x14ac:dyDescent="0.25">
      <c r="A5" s="41"/>
      <c r="B5" s="85" t="s">
        <v>23</v>
      </c>
      <c r="C5" s="41" t="s">
        <v>54</v>
      </c>
      <c r="D5" s="41" t="s">
        <v>2</v>
      </c>
      <c r="E5" s="41"/>
      <c r="F5" s="41"/>
    </row>
    <row r="6" spans="1:27" x14ac:dyDescent="0.25">
      <c r="A6" s="41"/>
      <c r="B6" s="85" t="s">
        <v>24</v>
      </c>
      <c r="C6" s="41">
        <v>2015</v>
      </c>
      <c r="D6" s="41"/>
      <c r="E6" s="41"/>
      <c r="F6" s="41"/>
    </row>
    <row r="7" spans="1:27" x14ac:dyDescent="0.25">
      <c r="A7" s="41"/>
      <c r="B7" s="85" t="s">
        <v>25</v>
      </c>
      <c r="C7" s="41"/>
      <c r="D7" s="41"/>
      <c r="E7" s="41"/>
      <c r="F7" s="41"/>
    </row>
    <row r="8" spans="1:27" x14ac:dyDescent="0.25">
      <c r="A8" s="41"/>
      <c r="B8" s="85" t="s">
        <v>26</v>
      </c>
      <c r="C8" s="41"/>
      <c r="D8" s="41"/>
      <c r="E8" s="41"/>
      <c r="F8" s="41"/>
    </row>
    <row r="9" spans="1:27" x14ac:dyDescent="0.25">
      <c r="A9" s="41"/>
      <c r="B9" s="85" t="s">
        <v>27</v>
      </c>
      <c r="C9" s="41"/>
      <c r="D9" s="41"/>
      <c r="E9" s="41"/>
      <c r="F9" s="87"/>
    </row>
    <row r="10" spans="1:27" x14ac:dyDescent="0.25">
      <c r="A10" s="41"/>
      <c r="B10" s="85" t="s">
        <v>28</v>
      </c>
      <c r="C10" s="41"/>
      <c r="D10" s="41"/>
      <c r="E10" s="41"/>
      <c r="F10" s="41"/>
    </row>
    <row r="11" spans="1:27" x14ac:dyDescent="0.25">
      <c r="A11" s="41"/>
      <c r="B11" s="85" t="s">
        <v>29</v>
      </c>
      <c r="C11" s="41"/>
      <c r="D11" s="41"/>
      <c r="E11" s="41"/>
      <c r="F11" s="41"/>
    </row>
    <row r="12" spans="1:27" x14ac:dyDescent="0.25">
      <c r="A12" s="41"/>
      <c r="B12" s="85" t="s">
        <v>20</v>
      </c>
      <c r="C12" s="41"/>
      <c r="D12" s="41"/>
      <c r="E12" s="41"/>
      <c r="F12" s="41"/>
    </row>
    <row r="13" spans="1:27" x14ac:dyDescent="0.25">
      <c r="A13" s="41"/>
      <c r="B13" s="85" t="s">
        <v>30</v>
      </c>
      <c r="C13" s="41"/>
      <c r="D13" s="41"/>
      <c r="E13" s="41"/>
      <c r="F13" s="41"/>
    </row>
    <row r="14" spans="1:27" x14ac:dyDescent="0.25">
      <c r="A14" s="41"/>
      <c r="B14" s="85" t="s">
        <v>31</v>
      </c>
      <c r="C14" s="41"/>
      <c r="D14" s="41"/>
      <c r="E14" s="41"/>
      <c r="F14" s="41"/>
    </row>
    <row r="15" spans="1:27" x14ac:dyDescent="0.25">
      <c r="A15" s="41"/>
      <c r="B15" s="85" t="s">
        <v>32</v>
      </c>
      <c r="C15" s="41"/>
      <c r="D15" s="41"/>
      <c r="E15" s="41"/>
      <c r="F15" s="41"/>
    </row>
    <row r="16" spans="1:27" x14ac:dyDescent="0.25">
      <c r="A16" s="41"/>
      <c r="B16" s="85" t="s">
        <v>33</v>
      </c>
      <c r="C16" s="41"/>
      <c r="D16" s="41"/>
      <c r="E16" s="41"/>
      <c r="F16" s="41"/>
    </row>
    <row r="17" spans="1:6" x14ac:dyDescent="0.25">
      <c r="A17" s="41"/>
      <c r="B17" s="85" t="s">
        <v>34</v>
      </c>
      <c r="C17" s="41"/>
      <c r="D17" s="41"/>
      <c r="E17" s="41"/>
      <c r="F17" s="41"/>
    </row>
    <row r="18" spans="1:6" x14ac:dyDescent="0.25">
      <c r="A18" s="41"/>
      <c r="B18" s="85" t="s">
        <v>35</v>
      </c>
      <c r="C18" s="41"/>
      <c r="D18" s="41"/>
      <c r="E18" s="41"/>
      <c r="F18" s="41"/>
    </row>
    <row r="19" spans="1:6" x14ac:dyDescent="0.25">
      <c r="A19" s="41"/>
      <c r="B19" s="85" t="s">
        <v>36</v>
      </c>
      <c r="C19" s="41"/>
      <c r="D19" s="41"/>
      <c r="E19" s="41"/>
      <c r="F19" s="41"/>
    </row>
    <row r="20" spans="1:6" x14ac:dyDescent="0.25">
      <c r="A20" s="41"/>
      <c r="B20" s="85" t="s">
        <v>37</v>
      </c>
      <c r="C20" s="41"/>
      <c r="D20" s="41"/>
      <c r="E20" s="41"/>
      <c r="F20" s="41"/>
    </row>
    <row r="21" spans="1:6" x14ac:dyDescent="0.25">
      <c r="A21" s="41"/>
      <c r="B21" s="85" t="s">
        <v>6</v>
      </c>
      <c r="C21" s="41"/>
      <c r="D21" s="41"/>
      <c r="E21" s="41"/>
      <c r="F21" s="41"/>
    </row>
    <row r="22" spans="1:6" x14ac:dyDescent="0.25">
      <c r="A22" s="41"/>
      <c r="B22" s="85" t="s">
        <v>0</v>
      </c>
      <c r="C22" s="41"/>
      <c r="D22" s="41"/>
      <c r="E22" s="41"/>
      <c r="F22" s="41"/>
    </row>
    <row r="23" spans="1:6" x14ac:dyDescent="0.25">
      <c r="A23" s="41"/>
      <c r="B23" s="85" t="s">
        <v>38</v>
      </c>
      <c r="C23" s="41"/>
      <c r="D23" s="41"/>
      <c r="E23" s="41"/>
      <c r="F23" s="41"/>
    </row>
    <row r="24" spans="1:6" x14ac:dyDescent="0.25">
      <c r="A24" s="41"/>
      <c r="B24" s="85" t="s">
        <v>39</v>
      </c>
      <c r="C24" s="41"/>
      <c r="D24" s="41"/>
      <c r="E24" s="41"/>
      <c r="F24" s="41"/>
    </row>
    <row r="25" spans="1:6" x14ac:dyDescent="0.25">
      <c r="A25" s="41"/>
      <c r="B25" s="85" t="s">
        <v>40</v>
      </c>
      <c r="C25" s="41"/>
      <c r="D25" s="41"/>
      <c r="E25" s="41"/>
      <c r="F25" s="41"/>
    </row>
    <row r="26" spans="1:6" x14ac:dyDescent="0.25">
      <c r="A26" s="41"/>
      <c r="B26" s="85" t="s">
        <v>44</v>
      </c>
      <c r="C26" s="41"/>
      <c r="D26" s="41"/>
      <c r="E26" s="41"/>
      <c r="F26" s="41"/>
    </row>
    <row r="27" spans="1:6" x14ac:dyDescent="0.25">
      <c r="A27" s="41"/>
      <c r="B27" s="85" t="s">
        <v>46</v>
      </c>
      <c r="C27" s="41"/>
      <c r="D27" s="41"/>
      <c r="E27" s="41"/>
      <c r="F27" s="41"/>
    </row>
    <row r="28" spans="1:6" x14ac:dyDescent="0.25">
      <c r="A28" s="41"/>
      <c r="B28" s="41"/>
      <c r="C28" s="41"/>
      <c r="D28" s="41"/>
      <c r="E28" s="41"/>
      <c r="F28" s="41"/>
    </row>
    <row r="29" spans="1:6" x14ac:dyDescent="0.25">
      <c r="A29" s="41"/>
      <c r="B29" s="41"/>
      <c r="C29" s="41"/>
      <c r="D29" s="41"/>
      <c r="E29" s="41"/>
      <c r="F29" s="41"/>
    </row>
    <row r="30" spans="1:6" x14ac:dyDescent="0.25">
      <c r="A30" s="41"/>
      <c r="B30" s="41"/>
      <c r="C30" s="41"/>
      <c r="D30" s="41"/>
      <c r="E30" s="41"/>
      <c r="F30" s="41"/>
    </row>
    <row r="31" spans="1:6" x14ac:dyDescent="0.25">
      <c r="A31" s="41"/>
      <c r="B31" s="41"/>
      <c r="C31" s="41"/>
      <c r="D31" s="41"/>
      <c r="E31" s="41"/>
      <c r="F31" s="4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Home</vt:lpstr>
      <vt:lpstr>Savings</vt:lpstr>
      <vt:lpstr>Profit</vt:lpstr>
      <vt:lpstr>Borrowers</vt:lpstr>
      <vt:lpstr>Revenues</vt:lpstr>
      <vt:lpstr>LOG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balaguer</dc:creator>
  <cp:lastModifiedBy>Balaguer, Ryan</cp:lastModifiedBy>
  <dcterms:created xsi:type="dcterms:W3CDTF">2018-06-26T02:33:31Z</dcterms:created>
  <dcterms:modified xsi:type="dcterms:W3CDTF">2025-02-19T01:07:04Z</dcterms:modified>
</cp:coreProperties>
</file>