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8B405748-58B1-40EB-842F-40C2317E53BC}" xr6:coauthVersionLast="47" xr6:coauthVersionMax="47" xr10:uidLastSave="{00000000-0000-0000-0000-000000000000}"/>
  <bookViews>
    <workbookView xWindow="-120" yWindow="-120" windowWidth="29040" windowHeight="15720" tabRatio="593" activeTab="3" xr2:uid="{00000000-000D-0000-FFFF-FFFF00000000}"/>
  </bookViews>
  <sheets>
    <sheet name="Borrowers3" sheetId="12" r:id="rId1"/>
    <sheet name="Profit" sheetId="13" r:id="rId2"/>
    <sheet name="Home" sheetId="1" r:id="rId3"/>
    <sheet name="Savings" sheetId="2" r:id="rId4"/>
    <sheet name="data" sheetId="7" r:id="rId5"/>
    <sheet name="Borrowers2" sheetId="9" r:id="rId6"/>
    <sheet name="Overview" sheetId="8" r:id="rId7"/>
    <sheet name="Savings2" sheetId="10" r:id="rId8"/>
    <sheet name="Borrowers" sheetId="4" r:id="rId9"/>
    <sheet name="Revenues" sheetId="5" r:id="rId10"/>
    <sheet name="Completed" sheetId="14" r:id="rId11"/>
    <sheet name="Process Flow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8" i="13" l="1"/>
  <c r="AO9" i="13"/>
  <c r="AO10" i="13"/>
  <c r="AO11" i="13"/>
  <c r="AO12" i="13"/>
  <c r="AO13" i="13"/>
  <c r="AO7" i="13"/>
  <c r="AQ4" i="13"/>
  <c r="AP4" i="13"/>
  <c r="AK8" i="13"/>
  <c r="AK9" i="13"/>
  <c r="AK10" i="13"/>
  <c r="AK11" i="13"/>
  <c r="AK12" i="13"/>
  <c r="AK13" i="13"/>
  <c r="AK7" i="13"/>
  <c r="AG7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G8" i="13"/>
  <c r="AG9" i="13"/>
  <c r="AG10" i="13"/>
  <c r="AG11" i="13"/>
  <c r="AG12" i="13"/>
  <c r="AG13" i="13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C8" i="13"/>
  <c r="AC9" i="13"/>
  <c r="AC10" i="13"/>
  <c r="AC11" i="13"/>
  <c r="AC12" i="13"/>
  <c r="AC13" i="13"/>
  <c r="AC7" i="13"/>
  <c r="AE4" i="13"/>
  <c r="AD4" i="13"/>
  <c r="B84" i="2" s="1"/>
  <c r="Y13" i="13"/>
  <c r="U13" i="13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N4" i="12" s="1"/>
  <c r="AL4" i="12"/>
  <c r="AK4" i="12"/>
  <c r="Y8" i="13"/>
  <c r="Y9" i="13"/>
  <c r="Y10" i="13"/>
  <c r="Y11" i="13"/>
  <c r="Y12" i="13"/>
  <c r="Y7" i="13"/>
  <c r="AA4" i="13"/>
  <c r="Z4" i="13"/>
  <c r="AH11" i="12"/>
  <c r="AH12" i="12"/>
  <c r="AH13" i="12" s="1"/>
  <c r="AH14" i="12" s="1"/>
  <c r="U12" i="13"/>
  <c r="U11" i="13"/>
  <c r="U9" i="13"/>
  <c r="U10" i="13"/>
  <c r="U8" i="13"/>
  <c r="U7" i="13"/>
  <c r="Q7" i="13"/>
  <c r="M7" i="13"/>
  <c r="I7" i="13"/>
  <c r="E7" i="13"/>
  <c r="A7" i="13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0" i="7"/>
  <c r="B49" i="7"/>
  <c r="B48" i="7"/>
  <c r="B47" i="7"/>
  <c r="B46" i="7"/>
  <c r="B45" i="7"/>
  <c r="B51" i="7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H4" i="12" s="1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AB4" i="12" s="1"/>
  <c r="Z4" i="12"/>
  <c r="Y4" i="12"/>
  <c r="O7" i="13"/>
  <c r="W4" i="13"/>
  <c r="V4" i="13"/>
  <c r="S4" i="13"/>
  <c r="R4" i="13"/>
  <c r="Q4" i="13" s="1"/>
  <c r="O4" i="13"/>
  <c r="N4" i="13"/>
  <c r="M4" i="13" s="1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AO4" i="13" l="1"/>
  <c r="AK4" i="13"/>
  <c r="B88" i="2"/>
  <c r="AC4" i="13"/>
  <c r="AG4" i="13"/>
  <c r="B87" i="2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AG7" i="12" l="1"/>
  <c r="F107" i="12"/>
  <c r="H107" i="12" s="1"/>
  <c r="C4" i="8"/>
  <c r="B91" i="2"/>
  <c r="B89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<sst xmlns="http://schemas.openxmlformats.org/spreadsheetml/2006/main" count="651" uniqueCount="119">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</sst>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13" fillId="5" borderId="0" xfId="0" applyFont="1" applyFill="1" applyBorder="1" applyAlignment="1">
      <alignment horizontal="left" vertical="center"/>
    </xf>
    <xf numFmtId="165" fontId="0" fillId="31" borderId="1" xfId="0" applyNumberFormat="1" applyFill="1" applyBorder="1" applyAlignment="1">
      <alignment horizontal="center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0" fontId="20" fillId="38" borderId="0" xfId="0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165" fontId="0" fillId="42" borderId="7" xfId="0" applyNumberFormat="1" applyFill="1" applyBorder="1" applyAlignment="1">
      <alignment horizontal="center" vertical="center"/>
    </xf>
    <xf numFmtId="0" fontId="0" fillId="42" borderId="1" xfId="0" applyFill="1" applyBorder="1" applyAlignment="1">
      <alignment horizontal="center" vertical="center"/>
    </xf>
    <xf numFmtId="0" fontId="0" fillId="42" borderId="22" xfId="0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A12F661B-4D2F-4F05-97A6-D3B71379E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KW148"/>
  <sheetViews>
    <sheetView topLeftCell="X1" zoomScale="85" zoomScaleNormal="85" workbookViewId="0">
      <selection activeCell="AG28" sqref="AG28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149" width="14.7109375" customWidth="1"/>
    <col min="150" max="309" width="14.85546875" customWidth="1"/>
  </cols>
  <sheetData>
    <row r="1" spans="1:309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345"/>
      <c r="AG1" s="345"/>
      <c r="AH1" s="345"/>
      <c r="AI1" s="346"/>
      <c r="AJ1" s="208"/>
      <c r="AK1" s="194" t="s">
        <v>117</v>
      </c>
      <c r="AL1" s="195"/>
      <c r="AM1" s="195"/>
      <c r="AN1" s="195"/>
      <c r="AO1" s="195"/>
      <c r="AP1" s="208"/>
      <c r="AQ1" s="228"/>
      <c r="AR1" s="154"/>
      <c r="AS1" s="154"/>
      <c r="AT1" s="154"/>
      <c r="AU1" s="154"/>
      <c r="AV1" s="154"/>
      <c r="AW1" s="154"/>
      <c r="AX1" s="228"/>
      <c r="AY1" s="154"/>
      <c r="AZ1" s="154"/>
      <c r="BA1" s="154"/>
      <c r="BB1" s="154"/>
      <c r="BC1" s="154"/>
      <c r="BD1" s="154"/>
      <c r="BE1" s="228"/>
      <c r="BF1" s="154"/>
      <c r="BG1" s="154"/>
      <c r="BH1" s="154"/>
      <c r="BI1" s="154"/>
      <c r="BJ1" s="154"/>
      <c r="BK1" s="154"/>
      <c r="BL1" s="228"/>
      <c r="BM1" s="154"/>
      <c r="BN1" s="154"/>
      <c r="BO1" s="154"/>
      <c r="BP1" s="154"/>
      <c r="BQ1" s="154"/>
      <c r="BR1" s="154"/>
      <c r="BS1" s="228"/>
      <c r="BT1" s="154"/>
      <c r="BU1" s="154"/>
      <c r="BV1" s="154"/>
      <c r="BW1" s="154"/>
      <c r="BX1" s="154"/>
      <c r="BY1" s="154"/>
      <c r="BZ1" s="228"/>
      <c r="CA1" s="154"/>
      <c r="CB1" s="154"/>
      <c r="CC1" s="154"/>
      <c r="CD1" s="154"/>
      <c r="CE1" s="154"/>
      <c r="CF1" s="154"/>
      <c r="CG1" s="228"/>
      <c r="CH1" s="154"/>
      <c r="CI1" s="154"/>
      <c r="CJ1" s="154"/>
      <c r="CK1" s="154"/>
      <c r="CL1" s="154"/>
      <c r="CM1" s="154"/>
      <c r="CN1" s="228"/>
      <c r="CO1" s="154"/>
      <c r="CP1" s="154"/>
      <c r="CQ1" s="154"/>
      <c r="CR1" s="154"/>
      <c r="CS1" s="154"/>
      <c r="CT1" s="154"/>
      <c r="CU1" s="228"/>
      <c r="CV1" s="154"/>
      <c r="CW1" s="154"/>
      <c r="CX1" s="154"/>
      <c r="CY1" s="154"/>
      <c r="CZ1" s="154"/>
      <c r="DA1" s="154"/>
      <c r="DB1" s="228"/>
      <c r="DC1" s="154"/>
      <c r="DD1" s="154"/>
      <c r="DE1" s="154"/>
      <c r="DF1" s="154"/>
      <c r="DG1" s="154"/>
      <c r="DH1" s="154"/>
      <c r="DI1" s="228"/>
      <c r="DJ1" s="154"/>
      <c r="DK1" s="154"/>
      <c r="DL1" s="154"/>
      <c r="DM1" s="154"/>
      <c r="DN1" s="154"/>
      <c r="DO1" s="154"/>
      <c r="DP1" s="228"/>
      <c r="DQ1" s="154"/>
      <c r="DR1" s="154"/>
      <c r="DS1" s="154"/>
      <c r="DT1" s="154"/>
      <c r="DU1" s="154"/>
      <c r="DV1" s="154"/>
      <c r="DW1" s="228"/>
      <c r="DX1" s="154"/>
      <c r="DY1" s="154"/>
      <c r="DZ1" s="154"/>
      <c r="EA1" s="154"/>
      <c r="EB1" s="154"/>
      <c r="EC1" s="154"/>
      <c r="ED1" s="228"/>
      <c r="EE1" s="154"/>
      <c r="EF1" s="154"/>
      <c r="EG1" s="154"/>
      <c r="EH1" s="154"/>
      <c r="EI1" s="154"/>
      <c r="EJ1" s="154"/>
      <c r="EK1" s="228"/>
      <c r="EL1" s="154"/>
      <c r="EM1" s="154"/>
      <c r="EN1" s="154"/>
      <c r="EO1" s="154"/>
      <c r="EP1" s="154"/>
      <c r="EQ1" s="154"/>
      <c r="ER1" s="228"/>
      <c r="ES1" s="154"/>
      <c r="ET1" s="154"/>
      <c r="EU1" s="154"/>
      <c r="EV1" s="154"/>
      <c r="EW1" s="154"/>
      <c r="EX1" s="154"/>
      <c r="EY1" s="228"/>
      <c r="EZ1" s="154"/>
      <c r="FA1" s="154"/>
      <c r="FB1" s="154"/>
      <c r="FC1" s="154"/>
      <c r="FD1" s="154"/>
      <c r="FE1" s="154"/>
      <c r="FF1" s="228"/>
      <c r="FG1" s="154"/>
      <c r="FH1" s="154"/>
      <c r="FI1" s="154"/>
      <c r="FJ1" s="154"/>
      <c r="FK1" s="154"/>
      <c r="FL1" s="154"/>
      <c r="FM1" s="228"/>
      <c r="FN1" s="154"/>
      <c r="FO1" s="154"/>
      <c r="FP1" s="154"/>
      <c r="FT1" s="228"/>
      <c r="GA1" s="228"/>
      <c r="GH1" s="228"/>
      <c r="GO1" s="228"/>
      <c r="GV1" s="228"/>
      <c r="HC1" s="228"/>
      <c r="HJ1" s="228"/>
      <c r="HQ1" s="228"/>
      <c r="HX1" s="228"/>
      <c r="IE1" s="228"/>
      <c r="IL1" s="228"/>
      <c r="IS1" s="228"/>
      <c r="IZ1" s="228"/>
      <c r="JG1" s="228"/>
      <c r="JN1" s="228"/>
      <c r="JU1" s="228"/>
      <c r="KB1" s="228"/>
      <c r="KI1" s="228"/>
      <c r="KP1" s="228"/>
      <c r="KW1" s="228"/>
    </row>
    <row r="2" spans="1:309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347"/>
      <c r="AF2" s="206"/>
      <c r="AG2" s="206"/>
      <c r="AH2" s="206"/>
      <c r="AI2" s="348"/>
      <c r="AJ2" s="208"/>
      <c r="AK2" s="206"/>
      <c r="AL2" s="206"/>
      <c r="AM2" s="206"/>
      <c r="AN2" s="206"/>
      <c r="AO2" s="206"/>
      <c r="AP2" s="208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309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349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309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309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350"/>
      <c r="AF5" s="198"/>
      <c r="AG5" s="198"/>
      <c r="AH5" s="198"/>
      <c r="AI5" s="351"/>
      <c r="AJ5" s="208"/>
      <c r="AK5" s="198"/>
      <c r="AL5" s="198"/>
      <c r="AM5" s="198"/>
      <c r="AN5" s="198"/>
      <c r="AO5" s="195"/>
      <c r="AP5" s="208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309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349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309" s="155" customFormat="1" ht="30.75" customHeight="1" x14ac:dyDescent="0.25">
      <c r="A7" s="175">
        <f>SUM(D10:D43)</f>
        <v>3615</v>
      </c>
      <c r="B7" s="175">
        <f>SUM(E10:E43)</f>
        <v>3615</v>
      </c>
      <c r="C7" s="193">
        <f>A7-B7</f>
        <v>0</v>
      </c>
      <c r="D7" s="190">
        <f>D4 + C7</f>
        <v>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344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309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352"/>
      <c r="AF8" s="204"/>
      <c r="AG8" s="204"/>
      <c r="AH8" s="204"/>
      <c r="AI8" s="353"/>
      <c r="AJ8" s="208"/>
      <c r="AK8" s="204"/>
      <c r="AL8" s="204"/>
      <c r="AM8" s="204"/>
      <c r="AN8" s="204"/>
      <c r="AO8" s="204"/>
      <c r="AP8" s="208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309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344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309" s="96" customFormat="1" ht="18.75" x14ac:dyDescent="0.25">
      <c r="A10" s="146">
        <v>45321.259375000001</v>
      </c>
      <c r="B10" s="85">
        <v>10000</v>
      </c>
      <c r="C10" s="85"/>
      <c r="D10" s="85"/>
      <c r="E10" s="176"/>
      <c r="F10" s="103"/>
      <c r="G10" s="146">
        <v>45381.259375000001</v>
      </c>
      <c r="H10" s="85">
        <v>22000</v>
      </c>
      <c r="I10" s="85"/>
      <c r="J10" s="85"/>
      <c r="K10" s="176"/>
      <c r="L10" s="188"/>
      <c r="M10" s="146">
        <v>45381.259375000001</v>
      </c>
      <c r="N10" s="85">
        <v>20000</v>
      </c>
      <c r="O10" s="85"/>
      <c r="P10" s="85"/>
      <c r="Q10" s="176"/>
      <c r="R10" s="188"/>
      <c r="S10" s="146">
        <v>45381.259375000001</v>
      </c>
      <c r="T10" s="85">
        <v>15000</v>
      </c>
      <c r="U10" s="85"/>
      <c r="V10" s="85"/>
      <c r="W10" s="176"/>
      <c r="X10" s="188"/>
      <c r="Y10" s="146">
        <v>45381.259375000001</v>
      </c>
      <c r="Z10" s="85">
        <v>25000</v>
      </c>
      <c r="AA10" s="85"/>
      <c r="AB10" s="85"/>
      <c r="AC10" s="176"/>
      <c r="AD10" s="344"/>
      <c r="AE10" s="146">
        <v>45381.259375000001</v>
      </c>
      <c r="AF10" s="85">
        <v>32000</v>
      </c>
      <c r="AG10" s="85"/>
      <c r="AH10" s="85"/>
      <c r="AI10" s="176"/>
      <c r="AJ10" s="208"/>
      <c r="AK10" s="146">
        <v>45381.259375000001</v>
      </c>
      <c r="AL10" s="85">
        <v>55000</v>
      </c>
      <c r="AM10" s="85"/>
      <c r="AN10" s="85"/>
      <c r="AO10" s="176"/>
      <c r="AP10" s="188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309" x14ac:dyDescent="0.25">
      <c r="A11" s="146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146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146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146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146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146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146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309" s="14" customFormat="1" x14ac:dyDescent="0.25">
      <c r="A12" s="146">
        <v>45350.259375000001</v>
      </c>
      <c r="B12" s="44">
        <v>1000</v>
      </c>
      <c r="C12" s="44"/>
      <c r="D12" s="85">
        <f t="shared" ref="D12:D43" si="0">IF(A12&gt;1,D11-(C11*0.03)+(B11*0.03),"")</f>
        <v>300</v>
      </c>
      <c r="E12" s="176">
        <v>300</v>
      </c>
      <c r="F12" s="103"/>
      <c r="G12" s="146">
        <v>45412.259375000001</v>
      </c>
      <c r="H12" s="44">
        <v>1000</v>
      </c>
      <c r="I12" s="44"/>
      <c r="J12" s="85">
        <f t="shared" ref="J12:J43" si="1">IF(G12&gt;1,J11-(I11*0.03)+(H11*0.03),"")</f>
        <v>660</v>
      </c>
      <c r="K12" s="176">
        <v>0</v>
      </c>
      <c r="L12" s="114"/>
      <c r="M12" s="146">
        <v>45412.259375000001</v>
      </c>
      <c r="N12" s="44"/>
      <c r="O12" s="44">
        <v>5000</v>
      </c>
      <c r="P12" s="85">
        <f t="shared" ref="P12:P43" si="2">IF(M12&gt;1,P11-(O11*0.03)+(N11*0.03),"")</f>
        <v>600</v>
      </c>
      <c r="Q12" s="176">
        <v>600</v>
      </c>
      <c r="R12" s="114"/>
      <c r="S12" s="146">
        <v>45412.259375000001</v>
      </c>
      <c r="T12" s="44"/>
      <c r="U12" s="44">
        <v>4500</v>
      </c>
      <c r="V12" s="85">
        <f t="shared" ref="V12:V43" si="3">IF(S12&gt;1,V11-(U11*0.03)+(T11*0.03),"")</f>
        <v>450</v>
      </c>
      <c r="W12" s="176">
        <v>450</v>
      </c>
      <c r="X12" s="114"/>
      <c r="Y12" s="146">
        <v>45412.259375000001</v>
      </c>
      <c r="Z12" s="44"/>
      <c r="AA12" s="44">
        <v>4500</v>
      </c>
      <c r="AB12" s="85">
        <f t="shared" ref="AB12:AB43" si="4">IF(Y12&gt;1,AB11-(AA11*0.03)+(Z11*0.03),"")</f>
        <v>750</v>
      </c>
      <c r="AC12" s="176">
        <v>750</v>
      </c>
      <c r="AD12" s="115"/>
      <c r="AE12" s="146">
        <v>45412.259375000001</v>
      </c>
      <c r="AF12" s="44"/>
      <c r="AG12" s="44">
        <v>3000</v>
      </c>
      <c r="AH12" s="85">
        <f t="shared" ref="AH12:AH43" si="5">IF(AE12&gt;1,AH11-(AG11*0.03)+(AF11*0.03),"")</f>
        <v>960</v>
      </c>
      <c r="AI12" s="176">
        <v>960</v>
      </c>
      <c r="AJ12" s="174"/>
      <c r="AK12" s="146">
        <v>45412.259375000001</v>
      </c>
      <c r="AL12" s="44"/>
      <c r="AM12" s="44">
        <v>3000</v>
      </c>
      <c r="AN12" s="85">
        <f t="shared" ref="AN12:AN43" si="6">IF(AK12&gt;1,AN11-(AM11*0.03)+(AL11*0.03),"")</f>
        <v>1650</v>
      </c>
      <c r="AO12" s="176">
        <v>1650</v>
      </c>
      <c r="AP12" s="114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309" x14ac:dyDescent="0.25">
      <c r="A13" s="146">
        <v>45366.259375000001</v>
      </c>
      <c r="B13" s="44">
        <v>0</v>
      </c>
      <c r="C13" s="44">
        <v>1000</v>
      </c>
      <c r="D13" s="85">
        <f t="shared" si="0"/>
        <v>330</v>
      </c>
      <c r="E13" s="176">
        <v>330</v>
      </c>
      <c r="G13" s="146">
        <v>45427</v>
      </c>
      <c r="H13" s="44">
        <v>0</v>
      </c>
      <c r="I13" s="44">
        <v>15000</v>
      </c>
      <c r="J13" s="85">
        <f t="shared" si="1"/>
        <v>690</v>
      </c>
      <c r="K13" s="176">
        <v>0</v>
      </c>
      <c r="L13" s="114"/>
      <c r="M13" s="146">
        <v>45427</v>
      </c>
      <c r="N13" s="44"/>
      <c r="O13" s="44">
        <v>5000</v>
      </c>
      <c r="P13" s="85">
        <f t="shared" si="2"/>
        <v>450</v>
      </c>
      <c r="Q13" s="176">
        <v>450</v>
      </c>
      <c r="R13" s="114"/>
      <c r="S13" s="146">
        <v>45427</v>
      </c>
      <c r="T13" s="44"/>
      <c r="U13" s="44"/>
      <c r="V13" s="85">
        <f t="shared" si="3"/>
        <v>315</v>
      </c>
      <c r="W13" s="176">
        <v>0</v>
      </c>
      <c r="X13" s="114"/>
      <c r="Y13" s="146">
        <v>45427</v>
      </c>
      <c r="Z13" s="44"/>
      <c r="AA13" s="44"/>
      <c r="AB13" s="85">
        <f t="shared" si="4"/>
        <v>615</v>
      </c>
      <c r="AC13" s="176">
        <v>615</v>
      </c>
      <c r="AD13" s="115"/>
      <c r="AE13" s="146">
        <v>45427</v>
      </c>
      <c r="AF13" s="44"/>
      <c r="AG13" s="44"/>
      <c r="AH13" s="85">
        <f t="shared" si="5"/>
        <v>870</v>
      </c>
      <c r="AI13" s="176">
        <v>870</v>
      </c>
      <c r="AJ13" s="174"/>
      <c r="AK13" s="146">
        <v>45427</v>
      </c>
      <c r="AL13" s="44"/>
      <c r="AM13" s="44"/>
      <c r="AN13" s="85">
        <f t="shared" si="6"/>
        <v>1560</v>
      </c>
      <c r="AO13" s="176">
        <v>0</v>
      </c>
      <c r="AP13" s="114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309" x14ac:dyDescent="0.25">
      <c r="A14" s="146">
        <v>45381.259375000001</v>
      </c>
      <c r="B14" s="44">
        <v>0</v>
      </c>
      <c r="C14" s="44"/>
      <c r="D14" s="85">
        <f t="shared" si="0"/>
        <v>300</v>
      </c>
      <c r="E14" s="176">
        <v>300</v>
      </c>
      <c r="G14" s="146">
        <v>45442</v>
      </c>
      <c r="H14" s="85">
        <v>0</v>
      </c>
      <c r="I14" s="85"/>
      <c r="J14" s="85">
        <f t="shared" si="1"/>
        <v>240</v>
      </c>
      <c r="K14" s="176">
        <v>2000</v>
      </c>
      <c r="L14" s="114"/>
      <c r="M14" s="146">
        <v>45442</v>
      </c>
      <c r="N14" s="85"/>
      <c r="O14" s="85"/>
      <c r="P14" s="85">
        <f t="shared" si="2"/>
        <v>300</v>
      </c>
      <c r="Q14" s="176">
        <v>300</v>
      </c>
      <c r="R14" s="114"/>
      <c r="S14" s="146">
        <v>45442</v>
      </c>
      <c r="T14" s="85"/>
      <c r="U14" s="85"/>
      <c r="V14" s="85">
        <f t="shared" si="3"/>
        <v>315</v>
      </c>
      <c r="W14" s="176">
        <v>0</v>
      </c>
      <c r="X14" s="114"/>
      <c r="Y14" s="146">
        <v>45442</v>
      </c>
      <c r="Z14" s="85"/>
      <c r="AA14" s="85"/>
      <c r="AB14" s="85">
        <f t="shared" si="4"/>
        <v>615</v>
      </c>
      <c r="AC14" s="176">
        <v>615</v>
      </c>
      <c r="AD14" s="115"/>
      <c r="AE14" s="146">
        <v>45442</v>
      </c>
      <c r="AF14" s="85"/>
      <c r="AG14" s="85"/>
      <c r="AH14" s="85">
        <f t="shared" si="5"/>
        <v>870</v>
      </c>
      <c r="AI14" s="176">
        <v>870</v>
      </c>
      <c r="AJ14" s="174"/>
      <c r="AK14" s="146">
        <v>45442</v>
      </c>
      <c r="AL14" s="85"/>
      <c r="AM14" s="85"/>
      <c r="AN14" s="85">
        <f t="shared" si="6"/>
        <v>1560</v>
      </c>
      <c r="AO14" s="176">
        <v>0</v>
      </c>
      <c r="AP14" s="114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309" x14ac:dyDescent="0.25">
      <c r="A15" s="146">
        <v>45397.259375000001</v>
      </c>
      <c r="B15" s="44">
        <v>3000</v>
      </c>
      <c r="C15" s="44"/>
      <c r="D15" s="85">
        <f t="shared" si="0"/>
        <v>300</v>
      </c>
      <c r="E15" s="176">
        <v>300</v>
      </c>
      <c r="G15" s="146">
        <v>45458</v>
      </c>
      <c r="H15" s="85">
        <v>0</v>
      </c>
      <c r="I15" s="85"/>
      <c r="J15" s="85">
        <f t="shared" si="1"/>
        <v>240</v>
      </c>
      <c r="K15" s="176">
        <v>400</v>
      </c>
      <c r="L15" s="114"/>
      <c r="M15" s="146">
        <v>45458</v>
      </c>
      <c r="N15" s="85"/>
      <c r="O15" s="85"/>
      <c r="P15" s="85">
        <f t="shared" si="2"/>
        <v>300</v>
      </c>
      <c r="Q15" s="176">
        <v>300</v>
      </c>
      <c r="R15" s="114"/>
      <c r="S15" s="146">
        <v>45458</v>
      </c>
      <c r="T15" s="85"/>
      <c r="U15" s="85"/>
      <c r="V15" s="85">
        <f t="shared" si="3"/>
        <v>315</v>
      </c>
      <c r="W15" s="176">
        <v>945</v>
      </c>
      <c r="X15" s="114"/>
      <c r="Y15" s="146">
        <v>45458</v>
      </c>
      <c r="Z15" s="85"/>
      <c r="AA15" s="85"/>
      <c r="AB15" s="85">
        <f t="shared" si="4"/>
        <v>615</v>
      </c>
      <c r="AC15" s="176">
        <v>615</v>
      </c>
      <c r="AD15" s="115"/>
      <c r="AE15" s="146">
        <v>45458</v>
      </c>
      <c r="AF15" s="85"/>
      <c r="AG15" s="85"/>
      <c r="AH15" s="85">
        <f t="shared" si="5"/>
        <v>870</v>
      </c>
      <c r="AI15" s="176">
        <v>870</v>
      </c>
      <c r="AJ15" s="174"/>
      <c r="AK15" s="146">
        <v>45458</v>
      </c>
      <c r="AL15" s="85"/>
      <c r="AM15" s="85"/>
      <c r="AN15" s="85">
        <f t="shared" si="6"/>
        <v>1560</v>
      </c>
      <c r="AO15" s="176">
        <v>3500</v>
      </c>
      <c r="AP15" s="114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309" x14ac:dyDescent="0.25">
      <c r="A16" s="146">
        <v>45412.259375000001</v>
      </c>
      <c r="B16" s="177">
        <v>0</v>
      </c>
      <c r="C16" s="44"/>
      <c r="D16" s="85">
        <f t="shared" si="0"/>
        <v>390</v>
      </c>
      <c r="E16" s="176">
        <v>390</v>
      </c>
      <c r="G16" s="243">
        <v>45473</v>
      </c>
      <c r="H16" s="244">
        <v>0</v>
      </c>
      <c r="I16" s="244">
        <v>5000</v>
      </c>
      <c r="J16" s="244">
        <f t="shared" si="1"/>
        <v>240</v>
      </c>
      <c r="K16" s="245">
        <v>0</v>
      </c>
      <c r="L16" s="114"/>
      <c r="M16" s="243">
        <v>45473</v>
      </c>
      <c r="N16" s="244"/>
      <c r="O16" s="244"/>
      <c r="P16" s="244">
        <f t="shared" si="2"/>
        <v>300</v>
      </c>
      <c r="Q16" s="245">
        <v>300</v>
      </c>
      <c r="R16" s="114"/>
      <c r="S16" s="243">
        <v>45473</v>
      </c>
      <c r="T16" s="244"/>
      <c r="U16" s="244"/>
      <c r="V16" s="244">
        <f t="shared" si="3"/>
        <v>315</v>
      </c>
      <c r="W16" s="245">
        <v>315</v>
      </c>
      <c r="X16" s="114"/>
      <c r="Y16" s="243">
        <v>45473</v>
      </c>
      <c r="Z16" s="244"/>
      <c r="AA16" s="244"/>
      <c r="AB16" s="244">
        <f t="shared" si="4"/>
        <v>615</v>
      </c>
      <c r="AC16" s="245">
        <v>615</v>
      </c>
      <c r="AD16" s="115"/>
      <c r="AE16" s="243">
        <v>45473</v>
      </c>
      <c r="AF16" s="244"/>
      <c r="AG16" s="244"/>
      <c r="AH16" s="244">
        <f t="shared" si="5"/>
        <v>870</v>
      </c>
      <c r="AI16" s="245">
        <v>870</v>
      </c>
      <c r="AJ16" s="174"/>
      <c r="AK16" s="243">
        <v>45473</v>
      </c>
      <c r="AL16" s="244"/>
      <c r="AM16" s="244"/>
      <c r="AN16" s="244">
        <f t="shared" si="6"/>
        <v>1560</v>
      </c>
      <c r="AO16" s="245">
        <v>1560</v>
      </c>
      <c r="AP16" s="114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45427</v>
      </c>
      <c r="B17" s="177">
        <v>3000</v>
      </c>
      <c r="C17" s="44"/>
      <c r="D17" s="85">
        <f t="shared" si="0"/>
        <v>390</v>
      </c>
      <c r="E17" s="176">
        <v>390</v>
      </c>
      <c r="G17" s="146">
        <v>45488</v>
      </c>
      <c r="H17" s="177">
        <v>3000</v>
      </c>
      <c r="I17" s="44"/>
      <c r="J17" s="85">
        <f t="shared" si="1"/>
        <v>90</v>
      </c>
      <c r="K17" s="176">
        <v>0</v>
      </c>
      <c r="L17" s="114"/>
      <c r="M17" s="146">
        <v>45488</v>
      </c>
      <c r="N17" s="177">
        <v>3000</v>
      </c>
      <c r="O17" s="44"/>
      <c r="P17" s="85">
        <f t="shared" si="2"/>
        <v>300</v>
      </c>
      <c r="Q17" s="176">
        <v>300</v>
      </c>
      <c r="R17" s="114"/>
      <c r="S17" s="146">
        <v>45488</v>
      </c>
      <c r="T17" s="177"/>
      <c r="U17" s="44">
        <v>5000</v>
      </c>
      <c r="V17" s="85">
        <f t="shared" si="3"/>
        <v>315</v>
      </c>
      <c r="W17" s="176">
        <v>315</v>
      </c>
      <c r="X17" s="114"/>
      <c r="Y17" s="146">
        <v>45488</v>
      </c>
      <c r="Z17" s="177"/>
      <c r="AA17" s="44">
        <v>2000</v>
      </c>
      <c r="AB17" s="85">
        <f t="shared" si="4"/>
        <v>615</v>
      </c>
      <c r="AC17" s="176">
        <v>615</v>
      </c>
      <c r="AD17" s="115"/>
      <c r="AE17" s="146">
        <v>45488</v>
      </c>
      <c r="AF17" s="177"/>
      <c r="AG17" s="44"/>
      <c r="AH17" s="85">
        <f t="shared" si="5"/>
        <v>870</v>
      </c>
      <c r="AI17" s="176">
        <v>870</v>
      </c>
      <c r="AJ17" s="174"/>
      <c r="AK17" s="146">
        <v>45488</v>
      </c>
      <c r="AL17" s="177"/>
      <c r="AM17" s="44"/>
      <c r="AN17" s="85">
        <f t="shared" si="6"/>
        <v>1560</v>
      </c>
      <c r="AO17" s="176">
        <v>1560</v>
      </c>
      <c r="AP17" s="114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45442</v>
      </c>
      <c r="B18" s="85">
        <v>0</v>
      </c>
      <c r="C18" s="85"/>
      <c r="D18" s="85">
        <f t="shared" si="0"/>
        <v>480</v>
      </c>
      <c r="E18" s="176">
        <v>480</v>
      </c>
      <c r="G18" s="146">
        <v>45503</v>
      </c>
      <c r="H18" s="177">
        <v>0</v>
      </c>
      <c r="I18" s="44">
        <v>2000</v>
      </c>
      <c r="J18" s="85">
        <f t="shared" si="1"/>
        <v>180</v>
      </c>
      <c r="K18" s="176">
        <v>600</v>
      </c>
      <c r="L18" s="114"/>
      <c r="M18" s="146">
        <v>45503</v>
      </c>
      <c r="N18" s="177"/>
      <c r="O18" s="44">
        <v>8000</v>
      </c>
      <c r="P18" s="85">
        <f t="shared" si="2"/>
        <v>390</v>
      </c>
      <c r="Q18" s="176">
        <v>390</v>
      </c>
      <c r="R18" s="114"/>
      <c r="S18" s="146">
        <v>45503</v>
      </c>
      <c r="T18" s="177"/>
      <c r="U18" s="44"/>
      <c r="V18" s="85">
        <f t="shared" si="3"/>
        <v>165</v>
      </c>
      <c r="W18" s="356">
        <v>165</v>
      </c>
      <c r="X18" s="114"/>
      <c r="Y18" s="146">
        <v>45503</v>
      </c>
      <c r="Z18" s="177"/>
      <c r="AA18" s="44"/>
      <c r="AB18" s="85">
        <f t="shared" si="4"/>
        <v>555</v>
      </c>
      <c r="AC18" s="176">
        <v>465</v>
      </c>
      <c r="AD18" s="115"/>
      <c r="AE18" s="146">
        <v>45503</v>
      </c>
      <c r="AF18" s="177"/>
      <c r="AG18" s="44">
        <v>3000</v>
      </c>
      <c r="AH18" s="85">
        <f t="shared" si="5"/>
        <v>870</v>
      </c>
      <c r="AI18" s="176">
        <v>720</v>
      </c>
      <c r="AJ18" s="174"/>
      <c r="AK18" s="146">
        <v>45503</v>
      </c>
      <c r="AL18" s="177"/>
      <c r="AM18" s="44"/>
      <c r="AN18" s="85">
        <f t="shared" si="6"/>
        <v>1560</v>
      </c>
      <c r="AO18" s="176">
        <v>1410</v>
      </c>
      <c r="AP18" s="114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45458</v>
      </c>
      <c r="B19" s="85">
        <v>0</v>
      </c>
      <c r="C19" s="85">
        <v>12000</v>
      </c>
      <c r="D19" s="85">
        <f t="shared" si="0"/>
        <v>480</v>
      </c>
      <c r="E19" s="176">
        <v>480</v>
      </c>
      <c r="G19" s="146">
        <v>45519</v>
      </c>
      <c r="H19" s="177">
        <v>0</v>
      </c>
      <c r="I19" s="44"/>
      <c r="J19" s="85">
        <f t="shared" si="1"/>
        <v>120</v>
      </c>
      <c r="K19" s="176"/>
      <c r="L19" s="114"/>
      <c r="M19" s="146">
        <v>45519</v>
      </c>
      <c r="N19" s="177">
        <v>5000</v>
      </c>
      <c r="O19" s="44"/>
      <c r="P19" s="85">
        <f t="shared" si="2"/>
        <v>150</v>
      </c>
      <c r="Q19" s="176">
        <v>0</v>
      </c>
      <c r="R19" s="114"/>
      <c r="S19" s="146">
        <v>45519</v>
      </c>
      <c r="T19" s="177"/>
      <c r="U19" s="44"/>
      <c r="V19" s="85">
        <f t="shared" si="3"/>
        <v>165</v>
      </c>
      <c r="W19" s="356">
        <v>165</v>
      </c>
      <c r="X19" s="114"/>
      <c r="Y19" s="146">
        <v>45519</v>
      </c>
      <c r="Z19" s="177"/>
      <c r="AA19" s="44"/>
      <c r="AB19" s="85">
        <f t="shared" si="4"/>
        <v>555</v>
      </c>
      <c r="AC19" s="176">
        <v>465</v>
      </c>
      <c r="AD19" s="115"/>
      <c r="AE19" s="146">
        <v>45519</v>
      </c>
      <c r="AF19" s="177"/>
      <c r="AG19" s="44"/>
      <c r="AH19" s="85">
        <f t="shared" si="5"/>
        <v>780</v>
      </c>
      <c r="AI19" s="176">
        <v>720</v>
      </c>
      <c r="AJ19" s="174"/>
      <c r="AK19" s="146">
        <v>45519</v>
      </c>
      <c r="AL19" s="177"/>
      <c r="AM19" s="44">
        <v>1200</v>
      </c>
      <c r="AN19" s="85">
        <f t="shared" si="6"/>
        <v>1560</v>
      </c>
      <c r="AO19" s="176">
        <v>1410</v>
      </c>
      <c r="AP19" s="114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43">
        <v>45473</v>
      </c>
      <c r="B20" s="244">
        <v>0</v>
      </c>
      <c r="C20" s="244">
        <v>2500</v>
      </c>
      <c r="D20" s="244">
        <f t="shared" si="0"/>
        <v>120</v>
      </c>
      <c r="E20" s="245">
        <v>120</v>
      </c>
      <c r="G20" s="146">
        <v>45534</v>
      </c>
      <c r="H20" s="44">
        <v>0</v>
      </c>
      <c r="I20" s="44">
        <v>4000</v>
      </c>
      <c r="J20" s="85">
        <f t="shared" si="1"/>
        <v>120</v>
      </c>
      <c r="K20" s="176"/>
      <c r="L20" s="114"/>
      <c r="M20" s="146">
        <v>45534</v>
      </c>
      <c r="N20" s="44"/>
      <c r="O20" s="44"/>
      <c r="P20" s="85">
        <f t="shared" si="2"/>
        <v>300</v>
      </c>
      <c r="Q20" s="176">
        <v>450</v>
      </c>
      <c r="R20" s="114"/>
      <c r="S20" s="146">
        <v>45534</v>
      </c>
      <c r="T20" s="44"/>
      <c r="U20" s="44">
        <v>500</v>
      </c>
      <c r="V20" s="85">
        <f t="shared" si="3"/>
        <v>165</v>
      </c>
      <c r="W20" s="356">
        <v>165</v>
      </c>
      <c r="X20" s="114"/>
      <c r="Y20" s="146">
        <v>45534</v>
      </c>
      <c r="Z20" s="44"/>
      <c r="AA20" s="44">
        <v>500</v>
      </c>
      <c r="AB20" s="85">
        <f t="shared" si="4"/>
        <v>555</v>
      </c>
      <c r="AC20" s="85">
        <v>465</v>
      </c>
      <c r="AD20" s="230"/>
      <c r="AE20" s="146">
        <v>45534</v>
      </c>
      <c r="AF20" s="44"/>
      <c r="AG20" s="44">
        <v>500</v>
      </c>
      <c r="AH20" s="85">
        <f t="shared" si="5"/>
        <v>780</v>
      </c>
      <c r="AI20" s="176">
        <v>720</v>
      </c>
      <c r="AJ20" s="174"/>
      <c r="AK20" s="229">
        <v>45534</v>
      </c>
      <c r="AL20" s="44"/>
      <c r="AM20" s="44">
        <v>500</v>
      </c>
      <c r="AN20" s="85">
        <f t="shared" si="6"/>
        <v>1524</v>
      </c>
      <c r="AO20" s="85">
        <v>1410</v>
      </c>
      <c r="AP20" s="174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45488</v>
      </c>
      <c r="B21" s="44">
        <v>0</v>
      </c>
      <c r="C21" s="44"/>
      <c r="D21" s="85">
        <f t="shared" si="0"/>
        <v>45</v>
      </c>
      <c r="E21" s="176">
        <v>0</v>
      </c>
      <c r="G21" s="146">
        <v>45550</v>
      </c>
      <c r="H21" s="44">
        <v>0</v>
      </c>
      <c r="I21" s="44"/>
      <c r="J21" s="85">
        <f t="shared" si="1"/>
        <v>0</v>
      </c>
      <c r="K21" s="176">
        <v>240</v>
      </c>
      <c r="L21" s="114"/>
      <c r="M21" s="146">
        <v>45550</v>
      </c>
      <c r="N21" s="44"/>
      <c r="O21" s="44"/>
      <c r="P21" s="85">
        <f t="shared" si="2"/>
        <v>300</v>
      </c>
      <c r="Q21" s="176">
        <v>300</v>
      </c>
      <c r="R21" s="114"/>
      <c r="S21" s="146">
        <v>45550</v>
      </c>
      <c r="T21" s="44"/>
      <c r="U21" s="44"/>
      <c r="V21" s="85">
        <f t="shared" si="3"/>
        <v>150</v>
      </c>
      <c r="W21" s="355">
        <v>150</v>
      </c>
      <c r="X21" s="174"/>
      <c r="Y21" s="146">
        <v>45550</v>
      </c>
      <c r="Z21" s="44"/>
      <c r="AA21" s="44"/>
      <c r="AB21" s="85">
        <f t="shared" si="4"/>
        <v>540</v>
      </c>
      <c r="AC21" s="85">
        <v>450</v>
      </c>
      <c r="AD21" s="230"/>
      <c r="AE21" s="146">
        <v>45550</v>
      </c>
      <c r="AF21" s="44"/>
      <c r="AG21" s="44"/>
      <c r="AH21" s="85">
        <f t="shared" si="5"/>
        <v>765</v>
      </c>
      <c r="AI21" s="176">
        <v>705</v>
      </c>
      <c r="AJ21" s="174"/>
      <c r="AK21" s="229">
        <v>45550</v>
      </c>
      <c r="AL21" s="44"/>
      <c r="AM21" s="44"/>
      <c r="AN21" s="85">
        <f t="shared" si="6"/>
        <v>1509</v>
      </c>
      <c r="AO21" s="85">
        <v>1395</v>
      </c>
      <c r="AP21" s="174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45503</v>
      </c>
      <c r="B22" s="44">
        <v>0</v>
      </c>
      <c r="C22" s="44"/>
      <c r="D22" s="85">
        <f t="shared" si="0"/>
        <v>45</v>
      </c>
      <c r="E22" s="176">
        <v>0</v>
      </c>
      <c r="G22" s="146">
        <v>45565</v>
      </c>
      <c r="H22" s="44">
        <v>0</v>
      </c>
      <c r="I22" s="44"/>
      <c r="J22" s="85">
        <f t="shared" si="1"/>
        <v>0</v>
      </c>
      <c r="K22" s="176"/>
      <c r="L22" s="114"/>
      <c r="M22" s="146">
        <v>45565</v>
      </c>
      <c r="N22" s="44"/>
      <c r="O22" s="44"/>
      <c r="P22" s="85">
        <f t="shared" si="2"/>
        <v>300</v>
      </c>
      <c r="Q22" s="176">
        <v>300</v>
      </c>
      <c r="R22" s="114"/>
      <c r="S22" s="146">
        <v>45565</v>
      </c>
      <c r="T22" s="44"/>
      <c r="U22" s="44"/>
      <c r="V22" s="85">
        <f t="shared" si="3"/>
        <v>150</v>
      </c>
      <c r="W22" s="355">
        <v>150</v>
      </c>
      <c r="X22" s="174"/>
      <c r="Y22" s="146">
        <v>45565</v>
      </c>
      <c r="Z22" s="44"/>
      <c r="AA22" s="44"/>
      <c r="AB22" s="85">
        <f t="shared" si="4"/>
        <v>540</v>
      </c>
      <c r="AC22" s="85">
        <v>450</v>
      </c>
      <c r="AD22" s="230"/>
      <c r="AE22" s="146">
        <v>45565</v>
      </c>
      <c r="AF22" s="44"/>
      <c r="AG22" s="44"/>
      <c r="AH22" s="85">
        <f t="shared" si="5"/>
        <v>765</v>
      </c>
      <c r="AI22" s="176">
        <v>705</v>
      </c>
      <c r="AJ22" s="174"/>
      <c r="AK22" s="229">
        <v>45565</v>
      </c>
      <c r="AL22" s="44"/>
      <c r="AM22" s="44">
        <v>500</v>
      </c>
      <c r="AN22" s="85">
        <f t="shared" si="6"/>
        <v>1509</v>
      </c>
      <c r="AO22" s="85">
        <v>1395</v>
      </c>
      <c r="AP22" s="174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45519</v>
      </c>
      <c r="B23" s="44">
        <v>0</v>
      </c>
      <c r="C23" s="44"/>
      <c r="D23" s="85">
        <f t="shared" si="0"/>
        <v>45</v>
      </c>
      <c r="E23" s="176">
        <v>0</v>
      </c>
      <c r="G23" s="191"/>
      <c r="H23" s="84"/>
      <c r="I23" s="84"/>
      <c r="J23" s="84" t="str">
        <f t="shared" si="1"/>
        <v/>
      </c>
      <c r="K23" s="87" t="s">
        <v>107</v>
      </c>
      <c r="L23" s="114"/>
      <c r="M23" s="146">
        <v>45580</v>
      </c>
      <c r="N23" s="85"/>
      <c r="O23" s="85"/>
      <c r="P23" s="85">
        <f t="shared" si="2"/>
        <v>300</v>
      </c>
      <c r="Q23" s="357">
        <v>300</v>
      </c>
      <c r="R23" s="114"/>
      <c r="S23" s="146">
        <v>45580</v>
      </c>
      <c r="T23" s="85"/>
      <c r="U23" s="85"/>
      <c r="V23" s="85">
        <f t="shared" si="3"/>
        <v>150</v>
      </c>
      <c r="W23" s="355">
        <v>150</v>
      </c>
      <c r="X23" s="174"/>
      <c r="Y23" s="146">
        <v>45580</v>
      </c>
      <c r="Z23" s="85"/>
      <c r="AA23" s="85"/>
      <c r="AB23" s="85">
        <f t="shared" si="4"/>
        <v>540</v>
      </c>
      <c r="AC23" s="85">
        <v>450</v>
      </c>
      <c r="AD23" s="230"/>
      <c r="AE23" s="146">
        <v>45580</v>
      </c>
      <c r="AF23" s="85"/>
      <c r="AG23" s="85">
        <v>8500</v>
      </c>
      <c r="AH23" s="85">
        <f t="shared" si="5"/>
        <v>765</v>
      </c>
      <c r="AI23" s="176">
        <v>705</v>
      </c>
      <c r="AJ23" s="174"/>
      <c r="AK23" s="229">
        <v>45580</v>
      </c>
      <c r="AL23" s="85"/>
      <c r="AM23" s="85"/>
      <c r="AN23" s="85">
        <f t="shared" si="6"/>
        <v>1494</v>
      </c>
      <c r="AO23" s="85">
        <v>1395</v>
      </c>
      <c r="AP23" s="174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>
        <v>45534</v>
      </c>
      <c r="B24" s="44">
        <v>0</v>
      </c>
      <c r="C24" s="44"/>
      <c r="D24" s="85">
        <f t="shared" si="0"/>
        <v>45</v>
      </c>
      <c r="E24" s="176">
        <v>0</v>
      </c>
      <c r="G24" s="191"/>
      <c r="H24" s="84"/>
      <c r="I24" s="84"/>
      <c r="J24" s="84" t="str">
        <f t="shared" si="1"/>
        <v/>
      </c>
      <c r="K24" s="192"/>
      <c r="L24" s="114"/>
      <c r="M24" s="146">
        <v>45595</v>
      </c>
      <c r="N24" s="85"/>
      <c r="O24" s="85"/>
      <c r="P24" s="85">
        <f t="shared" si="2"/>
        <v>300</v>
      </c>
      <c r="Q24" s="358">
        <v>300</v>
      </c>
      <c r="R24" s="114"/>
      <c r="S24" s="146">
        <v>45595</v>
      </c>
      <c r="T24" s="85"/>
      <c r="U24" s="85">
        <v>5000</v>
      </c>
      <c r="V24" s="85">
        <f t="shared" si="3"/>
        <v>150</v>
      </c>
      <c r="W24" s="355">
        <v>150</v>
      </c>
      <c r="X24" s="174"/>
      <c r="Y24" s="146">
        <v>45595</v>
      </c>
      <c r="Z24" s="85"/>
      <c r="AA24" s="85">
        <v>12500</v>
      </c>
      <c r="AB24" s="85">
        <f t="shared" si="4"/>
        <v>540</v>
      </c>
      <c r="AC24" s="85">
        <v>450</v>
      </c>
      <c r="AD24" s="230"/>
      <c r="AE24" s="146">
        <v>45595</v>
      </c>
      <c r="AF24" s="85"/>
      <c r="AG24" s="85"/>
      <c r="AH24" s="85">
        <f t="shared" si="5"/>
        <v>510</v>
      </c>
      <c r="AI24" s="176">
        <v>705</v>
      </c>
      <c r="AJ24" s="174"/>
      <c r="AK24" s="229">
        <v>45595</v>
      </c>
      <c r="AL24" s="85"/>
      <c r="AM24" s="85">
        <v>32000</v>
      </c>
      <c r="AN24" s="85">
        <f t="shared" si="6"/>
        <v>1494</v>
      </c>
      <c r="AO24" s="85">
        <v>2575</v>
      </c>
      <c r="AP24" s="174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>
        <v>45550</v>
      </c>
      <c r="B25" s="44">
        <v>0</v>
      </c>
      <c r="C25" s="44">
        <v>1500</v>
      </c>
      <c r="D25" s="85">
        <f t="shared" si="0"/>
        <v>45</v>
      </c>
      <c r="E25" s="176">
        <v>225</v>
      </c>
      <c r="G25" s="146"/>
      <c r="H25" s="44"/>
      <c r="I25" s="44"/>
      <c r="J25" s="85" t="str">
        <f t="shared" si="1"/>
        <v/>
      </c>
      <c r="K25" s="176"/>
      <c r="L25" s="114"/>
      <c r="M25" s="146"/>
      <c r="N25" s="44"/>
      <c r="O25" s="44"/>
      <c r="P25" s="85" t="str">
        <f t="shared" si="2"/>
        <v/>
      </c>
      <c r="Q25" s="176"/>
      <c r="R25" s="114"/>
      <c r="S25" s="146"/>
      <c r="T25" s="44"/>
      <c r="U25" s="44"/>
      <c r="V25" s="85" t="str">
        <f t="shared" si="3"/>
        <v/>
      </c>
      <c r="W25" s="85"/>
      <c r="X25" s="174"/>
      <c r="Y25" s="146"/>
      <c r="Z25" s="44"/>
      <c r="AA25" s="44"/>
      <c r="AB25" s="85" t="str">
        <f t="shared" si="4"/>
        <v/>
      </c>
      <c r="AC25" s="85"/>
      <c r="AD25" s="230"/>
      <c r="AE25" s="146"/>
      <c r="AF25" s="44"/>
      <c r="AG25" s="44"/>
      <c r="AH25" s="85" t="str">
        <f t="shared" si="5"/>
        <v/>
      </c>
      <c r="AI25" s="176"/>
      <c r="AJ25" s="174"/>
      <c r="AK25" s="229"/>
      <c r="AL25" s="44"/>
      <c r="AM25" s="44"/>
      <c r="AN25" s="85" t="str">
        <f t="shared" si="6"/>
        <v/>
      </c>
      <c r="AO25" s="85"/>
      <c r="AP25" s="174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>
        <v>45565</v>
      </c>
      <c r="B26" s="177">
        <v>0</v>
      </c>
      <c r="C26" s="44"/>
      <c r="D26" s="85">
        <f t="shared" si="0"/>
        <v>0</v>
      </c>
      <c r="E26" s="176"/>
      <c r="G26" s="146"/>
      <c r="H26" s="177"/>
      <c r="I26" s="44"/>
      <c r="J26" s="85" t="str">
        <f t="shared" si="1"/>
        <v/>
      </c>
      <c r="K26" s="176"/>
      <c r="L26" s="114"/>
      <c r="M26" s="146"/>
      <c r="N26" s="177"/>
      <c r="O26" s="44"/>
      <c r="P26" s="85" t="str">
        <f t="shared" si="2"/>
        <v/>
      </c>
      <c r="Q26" s="176"/>
      <c r="R26" s="114"/>
      <c r="S26" s="146"/>
      <c r="T26" s="177"/>
      <c r="U26" s="44"/>
      <c r="V26" s="85" t="str">
        <f t="shared" si="3"/>
        <v/>
      </c>
      <c r="W26" s="85"/>
      <c r="X26" s="174"/>
      <c r="Y26" s="146"/>
      <c r="Z26" s="177"/>
      <c r="AA26" s="44"/>
      <c r="AB26" s="85" t="str">
        <f t="shared" si="4"/>
        <v/>
      </c>
      <c r="AC26" s="85"/>
      <c r="AD26" s="230"/>
      <c r="AE26" s="146"/>
      <c r="AF26" s="177"/>
      <c r="AG26" s="44"/>
      <c r="AH26" s="85" t="str">
        <f t="shared" si="5"/>
        <v/>
      </c>
      <c r="AI26" s="176"/>
      <c r="AJ26" s="174"/>
      <c r="AK26" s="229"/>
      <c r="AL26" s="177"/>
      <c r="AM26" s="44"/>
      <c r="AN26" s="85" t="str">
        <f t="shared" si="6"/>
        <v/>
      </c>
      <c r="AO26" s="85"/>
      <c r="AP26" s="174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0"/>
        <v/>
      </c>
      <c r="E27" s="87" t="s">
        <v>107</v>
      </c>
      <c r="G27" s="146"/>
      <c r="H27" s="177"/>
      <c r="I27" s="44"/>
      <c r="J27" s="85" t="str">
        <f t="shared" si="1"/>
        <v/>
      </c>
      <c r="K27" s="176"/>
      <c r="L27" s="114"/>
      <c r="M27" s="146"/>
      <c r="N27" s="177"/>
      <c r="O27" s="44"/>
      <c r="P27" s="85" t="str">
        <f t="shared" si="2"/>
        <v/>
      </c>
      <c r="Q27" s="176"/>
      <c r="R27" s="114"/>
      <c r="S27" s="146"/>
      <c r="T27" s="177"/>
      <c r="U27" s="44"/>
      <c r="V27" s="85" t="str">
        <f t="shared" si="3"/>
        <v/>
      </c>
      <c r="W27" s="85"/>
      <c r="X27" s="174"/>
      <c r="Y27" s="146"/>
      <c r="Z27" s="177"/>
      <c r="AA27" s="44"/>
      <c r="AB27" s="85" t="str">
        <f t="shared" si="4"/>
        <v/>
      </c>
      <c r="AC27" s="85"/>
      <c r="AD27" s="230"/>
      <c r="AE27" s="146"/>
      <c r="AF27" s="177"/>
      <c r="AG27" s="44"/>
      <c r="AH27" s="85" t="str">
        <f t="shared" si="5"/>
        <v/>
      </c>
      <c r="AI27" s="176"/>
      <c r="AJ27" s="174"/>
      <c r="AK27" s="229"/>
      <c r="AL27" s="177"/>
      <c r="AM27" s="44"/>
      <c r="AN27" s="85" t="str">
        <f t="shared" si="6"/>
        <v/>
      </c>
      <c r="AO27" s="85"/>
      <c r="AP27" s="174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0"/>
        <v/>
      </c>
      <c r="E28" s="192"/>
      <c r="G28" s="146"/>
      <c r="H28" s="177"/>
      <c r="I28" s="44"/>
      <c r="J28" s="85" t="str">
        <f t="shared" si="1"/>
        <v/>
      </c>
      <c r="K28" s="176"/>
      <c r="L28" s="114"/>
      <c r="M28" s="146"/>
      <c r="N28" s="177"/>
      <c r="O28" s="44"/>
      <c r="P28" s="85" t="str">
        <f t="shared" si="2"/>
        <v/>
      </c>
      <c r="Q28" s="176"/>
      <c r="R28" s="114"/>
      <c r="S28" s="146"/>
      <c r="T28" s="177"/>
      <c r="U28" s="44"/>
      <c r="V28" s="85" t="str">
        <f t="shared" si="3"/>
        <v/>
      </c>
      <c r="W28" s="85"/>
      <c r="X28" s="174"/>
      <c r="Y28" s="146"/>
      <c r="Z28" s="177"/>
      <c r="AA28" s="44"/>
      <c r="AB28" s="85" t="str">
        <f t="shared" si="4"/>
        <v/>
      </c>
      <c r="AC28" s="85"/>
      <c r="AD28" s="230"/>
      <c r="AE28" s="146"/>
      <c r="AF28" s="177"/>
      <c r="AG28" s="44"/>
      <c r="AH28" s="85" t="str">
        <f t="shared" si="5"/>
        <v/>
      </c>
      <c r="AI28" s="176"/>
      <c r="AJ28" s="174"/>
      <c r="AK28" s="229"/>
      <c r="AL28" s="177"/>
      <c r="AM28" s="44"/>
      <c r="AN28" s="85" t="str">
        <f t="shared" si="6"/>
        <v/>
      </c>
      <c r="AO28" s="85"/>
      <c r="AP28" s="174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177"/>
      <c r="C29" s="44"/>
      <c r="D29" s="85" t="str">
        <f t="shared" si="0"/>
        <v/>
      </c>
      <c r="E29" s="176"/>
      <c r="G29" s="146"/>
      <c r="H29" s="177"/>
      <c r="I29" s="44"/>
      <c r="J29" s="85" t="str">
        <f t="shared" si="1"/>
        <v/>
      </c>
      <c r="K29" s="176"/>
      <c r="L29" s="114"/>
      <c r="M29" s="146"/>
      <c r="N29" s="177"/>
      <c r="O29" s="44"/>
      <c r="P29" s="85" t="str">
        <f t="shared" si="2"/>
        <v/>
      </c>
      <c r="Q29" s="176"/>
      <c r="R29" s="114"/>
      <c r="S29" s="146"/>
      <c r="T29" s="177"/>
      <c r="U29" s="44"/>
      <c r="V29" s="85" t="str">
        <f t="shared" si="3"/>
        <v/>
      </c>
      <c r="W29" s="85"/>
      <c r="X29" s="174"/>
      <c r="Y29" s="146"/>
      <c r="Z29" s="177"/>
      <c r="AA29" s="44"/>
      <c r="AB29" s="85" t="str">
        <f t="shared" si="4"/>
        <v/>
      </c>
      <c r="AC29" s="85"/>
      <c r="AD29" s="230"/>
      <c r="AE29" s="146"/>
      <c r="AF29" s="177"/>
      <c r="AG29" s="44"/>
      <c r="AH29" s="85" t="str">
        <f t="shared" si="5"/>
        <v/>
      </c>
      <c r="AI29" s="176"/>
      <c r="AJ29" s="174"/>
      <c r="AK29" s="229"/>
      <c r="AL29" s="177"/>
      <c r="AM29" s="44"/>
      <c r="AN29" s="85" t="str">
        <f t="shared" si="6"/>
        <v/>
      </c>
      <c r="AO29" s="85"/>
      <c r="AP29" s="174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177"/>
      <c r="C30" s="44"/>
      <c r="D30" s="85" t="str">
        <f t="shared" si="0"/>
        <v/>
      </c>
      <c r="E30" s="176"/>
      <c r="G30" s="146"/>
      <c r="H30" s="177"/>
      <c r="I30" s="44"/>
      <c r="J30" s="85" t="str">
        <f t="shared" si="1"/>
        <v/>
      </c>
      <c r="K30" s="176"/>
      <c r="L30" s="114"/>
      <c r="M30" s="146"/>
      <c r="N30" s="177"/>
      <c r="O30" s="44"/>
      <c r="P30" s="85" t="str">
        <f t="shared" si="2"/>
        <v/>
      </c>
      <c r="Q30" s="176"/>
      <c r="R30" s="114"/>
      <c r="S30" s="146"/>
      <c r="T30" s="177"/>
      <c r="U30" s="44"/>
      <c r="V30" s="85" t="str">
        <f t="shared" si="3"/>
        <v/>
      </c>
      <c r="W30" s="176"/>
      <c r="X30" s="114"/>
      <c r="Y30" s="146"/>
      <c r="Z30" s="177"/>
      <c r="AA30" s="44"/>
      <c r="AB30" s="85" t="str">
        <f t="shared" si="4"/>
        <v/>
      </c>
      <c r="AC30" s="85"/>
      <c r="AD30" s="230"/>
      <c r="AE30" s="146"/>
      <c r="AF30" s="177"/>
      <c r="AG30" s="44"/>
      <c r="AH30" s="85" t="str">
        <f t="shared" si="5"/>
        <v/>
      </c>
      <c r="AI30" s="176"/>
      <c r="AJ30" s="174"/>
      <c r="AK30" s="229"/>
      <c r="AL30" s="177"/>
      <c r="AM30" s="44"/>
      <c r="AN30" s="85" t="str">
        <f t="shared" si="6"/>
        <v/>
      </c>
      <c r="AO30" s="85"/>
      <c r="AP30" s="174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177"/>
      <c r="C31" s="44"/>
      <c r="D31" s="85" t="str">
        <f t="shared" si="0"/>
        <v/>
      </c>
      <c r="E31" s="176"/>
      <c r="G31" s="146"/>
      <c r="H31" s="177"/>
      <c r="I31" s="44"/>
      <c r="J31" s="85" t="str">
        <f t="shared" si="1"/>
        <v/>
      </c>
      <c r="K31" s="176"/>
      <c r="L31" s="114"/>
      <c r="M31" s="146"/>
      <c r="N31" s="177"/>
      <c r="O31" s="44"/>
      <c r="P31" s="85" t="str">
        <f t="shared" si="2"/>
        <v/>
      </c>
      <c r="Q31" s="176"/>
      <c r="R31" s="114"/>
      <c r="S31" s="146"/>
      <c r="T31" s="177"/>
      <c r="U31" s="44"/>
      <c r="V31" s="85" t="str">
        <f t="shared" si="3"/>
        <v/>
      </c>
      <c r="W31" s="176"/>
      <c r="X31" s="114"/>
      <c r="Y31" s="146"/>
      <c r="Z31" s="177"/>
      <c r="AA31" s="44"/>
      <c r="AB31" s="85" t="str">
        <f t="shared" si="4"/>
        <v/>
      </c>
      <c r="AC31" s="176"/>
      <c r="AD31" s="115"/>
      <c r="AE31" s="146"/>
      <c r="AF31" s="177"/>
      <c r="AG31" s="44"/>
      <c r="AH31" s="85" t="str">
        <f t="shared" si="5"/>
        <v/>
      </c>
      <c r="AI31" s="176"/>
      <c r="AJ31" s="174"/>
      <c r="AK31" s="229"/>
      <c r="AL31" s="177"/>
      <c r="AM31" s="44"/>
      <c r="AN31" s="85" t="str">
        <f t="shared" si="6"/>
        <v/>
      </c>
      <c r="AO31" s="85"/>
      <c r="AP31" s="174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177"/>
      <c r="C32" s="44"/>
      <c r="D32" s="85" t="str">
        <f t="shared" si="0"/>
        <v/>
      </c>
      <c r="E32" s="176"/>
      <c r="G32" s="146"/>
      <c r="H32" s="177"/>
      <c r="I32" s="44"/>
      <c r="J32" s="85" t="str">
        <f t="shared" si="1"/>
        <v/>
      </c>
      <c r="K32" s="176"/>
      <c r="L32" s="114"/>
      <c r="M32" s="146"/>
      <c r="N32" s="177"/>
      <c r="O32" s="44"/>
      <c r="P32" s="85" t="str">
        <f t="shared" si="2"/>
        <v/>
      </c>
      <c r="Q32" s="176"/>
      <c r="R32" s="114"/>
      <c r="S32" s="146"/>
      <c r="T32" s="177"/>
      <c r="U32" s="44"/>
      <c r="V32" s="85" t="str">
        <f t="shared" si="3"/>
        <v/>
      </c>
      <c r="W32" s="176"/>
      <c r="X32" s="114"/>
      <c r="Y32" s="146"/>
      <c r="Z32" s="177"/>
      <c r="AA32" s="44"/>
      <c r="AB32" s="85" t="str">
        <f t="shared" si="4"/>
        <v/>
      </c>
      <c r="AC32" s="176"/>
      <c r="AD32" s="115"/>
      <c r="AE32" s="146"/>
      <c r="AF32" s="177"/>
      <c r="AG32" s="44"/>
      <c r="AH32" s="85" t="str">
        <f t="shared" si="5"/>
        <v/>
      </c>
      <c r="AI32" s="176"/>
      <c r="AJ32" s="174"/>
      <c r="AK32" s="146"/>
      <c r="AL32" s="177"/>
      <c r="AM32" s="44"/>
      <c r="AN32" s="85" t="str">
        <f t="shared" si="6"/>
        <v/>
      </c>
      <c r="AO32" s="176"/>
      <c r="AP32" s="114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177"/>
      <c r="C33" s="44"/>
      <c r="D33" s="85" t="str">
        <f t="shared" si="0"/>
        <v/>
      </c>
      <c r="E33" s="176"/>
      <c r="G33" s="146"/>
      <c r="H33" s="177"/>
      <c r="I33" s="44"/>
      <c r="J33" s="85" t="str">
        <f t="shared" si="1"/>
        <v/>
      </c>
      <c r="K33" s="176"/>
      <c r="L33" s="114"/>
      <c r="M33" s="146"/>
      <c r="N33" s="177"/>
      <c r="O33" s="44"/>
      <c r="P33" s="85" t="str">
        <f t="shared" si="2"/>
        <v/>
      </c>
      <c r="Q33" s="176"/>
      <c r="R33" s="114"/>
      <c r="S33" s="146"/>
      <c r="T33" s="177"/>
      <c r="U33" s="44"/>
      <c r="V33" s="85" t="str">
        <f t="shared" si="3"/>
        <v/>
      </c>
      <c r="W33" s="176"/>
      <c r="X33" s="114"/>
      <c r="Y33" s="146"/>
      <c r="Z33" s="177"/>
      <c r="AA33" s="44"/>
      <c r="AB33" s="85" t="str">
        <f t="shared" si="4"/>
        <v/>
      </c>
      <c r="AC33" s="176"/>
      <c r="AD33" s="115"/>
      <c r="AE33" s="146"/>
      <c r="AF33" s="177"/>
      <c r="AG33" s="44"/>
      <c r="AH33" s="85" t="str">
        <f t="shared" si="5"/>
        <v/>
      </c>
      <c r="AI33" s="176"/>
      <c r="AJ33" s="174"/>
      <c r="AK33" s="146"/>
      <c r="AL33" s="177"/>
      <c r="AM33" s="44"/>
      <c r="AN33" s="85" t="str">
        <f t="shared" si="6"/>
        <v/>
      </c>
      <c r="AO33" s="176"/>
      <c r="AP33" s="114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177"/>
      <c r="C34" s="44"/>
      <c r="D34" s="85" t="str">
        <f t="shared" si="0"/>
        <v/>
      </c>
      <c r="E34" s="176"/>
      <c r="G34" s="146"/>
      <c r="H34" s="177"/>
      <c r="I34" s="44"/>
      <c r="J34" s="85" t="str">
        <f t="shared" si="1"/>
        <v/>
      </c>
      <c r="K34" s="176"/>
      <c r="L34" s="114"/>
      <c r="M34" s="146"/>
      <c r="N34" s="177"/>
      <c r="O34" s="44"/>
      <c r="P34" s="85" t="str">
        <f t="shared" si="2"/>
        <v/>
      </c>
      <c r="Q34" s="176"/>
      <c r="R34" s="114"/>
      <c r="S34" s="146"/>
      <c r="T34" s="177"/>
      <c r="U34" s="44"/>
      <c r="V34" s="85" t="str">
        <f t="shared" si="3"/>
        <v/>
      </c>
      <c r="W34" s="176"/>
      <c r="X34" s="114"/>
      <c r="Y34" s="146"/>
      <c r="Z34" s="177"/>
      <c r="AA34" s="44"/>
      <c r="AB34" s="85" t="str">
        <f t="shared" si="4"/>
        <v/>
      </c>
      <c r="AC34" s="176"/>
      <c r="AD34" s="115"/>
      <c r="AE34" s="146"/>
      <c r="AF34" s="177"/>
      <c r="AG34" s="44"/>
      <c r="AH34" s="85" t="str">
        <f t="shared" si="5"/>
        <v/>
      </c>
      <c r="AI34" s="176"/>
      <c r="AJ34" s="174"/>
      <c r="AK34" s="146"/>
      <c r="AL34" s="177"/>
      <c r="AM34" s="44"/>
      <c r="AN34" s="85" t="str">
        <f t="shared" si="6"/>
        <v/>
      </c>
      <c r="AO34" s="176"/>
      <c r="AP34" s="114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177"/>
      <c r="C35" s="44"/>
      <c r="D35" s="85" t="str">
        <f t="shared" si="0"/>
        <v/>
      </c>
      <c r="E35" s="176"/>
      <c r="G35" s="146"/>
      <c r="H35" s="177"/>
      <c r="I35" s="44"/>
      <c r="J35" s="85" t="str">
        <f t="shared" si="1"/>
        <v/>
      </c>
      <c r="K35" s="176"/>
      <c r="L35" s="114"/>
      <c r="M35" s="146"/>
      <c r="N35" s="177"/>
      <c r="O35" s="44"/>
      <c r="P35" s="85" t="str">
        <f t="shared" si="2"/>
        <v/>
      </c>
      <c r="Q35" s="176"/>
      <c r="R35" s="114"/>
      <c r="S35" s="146"/>
      <c r="T35" s="177"/>
      <c r="U35" s="44"/>
      <c r="V35" s="85" t="str">
        <f t="shared" si="3"/>
        <v/>
      </c>
      <c r="W35" s="176"/>
      <c r="X35" s="114"/>
      <c r="Y35" s="146"/>
      <c r="Z35" s="177"/>
      <c r="AA35" s="44"/>
      <c r="AB35" s="85" t="str">
        <f t="shared" si="4"/>
        <v/>
      </c>
      <c r="AC35" s="176"/>
      <c r="AD35" s="115"/>
      <c r="AE35" s="146"/>
      <c r="AF35" s="177"/>
      <c r="AG35" s="44"/>
      <c r="AH35" s="85" t="str">
        <f t="shared" si="5"/>
        <v/>
      </c>
      <c r="AI35" s="176"/>
      <c r="AJ35" s="174"/>
      <c r="AK35" s="146"/>
      <c r="AL35" s="177"/>
      <c r="AM35" s="44"/>
      <c r="AN35" s="85" t="str">
        <f t="shared" si="6"/>
        <v/>
      </c>
      <c r="AO35" s="176"/>
      <c r="AP35" s="114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177"/>
      <c r="C36" s="44"/>
      <c r="D36" s="85" t="str">
        <f t="shared" si="0"/>
        <v/>
      </c>
      <c r="E36" s="176"/>
      <c r="G36" s="146"/>
      <c r="H36" s="177"/>
      <c r="I36" s="44"/>
      <c r="J36" s="85" t="str">
        <f t="shared" si="1"/>
        <v/>
      </c>
      <c r="K36" s="176"/>
      <c r="L36" s="114"/>
      <c r="M36" s="146"/>
      <c r="N36" s="177"/>
      <c r="O36" s="44"/>
      <c r="P36" s="85" t="str">
        <f t="shared" si="2"/>
        <v/>
      </c>
      <c r="Q36" s="176"/>
      <c r="R36" s="114"/>
      <c r="S36" s="146"/>
      <c r="T36" s="177"/>
      <c r="U36" s="44"/>
      <c r="V36" s="85" t="str">
        <f t="shared" si="3"/>
        <v/>
      </c>
      <c r="W36" s="176"/>
      <c r="X36" s="114"/>
      <c r="Y36" s="146"/>
      <c r="Z36" s="177"/>
      <c r="AA36" s="44"/>
      <c r="AB36" s="85" t="str">
        <f t="shared" si="4"/>
        <v/>
      </c>
      <c r="AC36" s="176"/>
      <c r="AD36" s="115"/>
      <c r="AE36" s="146"/>
      <c r="AF36" s="177"/>
      <c r="AG36" s="44"/>
      <c r="AH36" s="85" t="str">
        <f t="shared" si="5"/>
        <v/>
      </c>
      <c r="AI36" s="176"/>
      <c r="AJ36" s="174"/>
      <c r="AK36" s="146"/>
      <c r="AL36" s="177"/>
      <c r="AM36" s="44"/>
      <c r="AN36" s="85" t="str">
        <f t="shared" si="6"/>
        <v/>
      </c>
      <c r="AO36" s="176"/>
      <c r="AP36" s="114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177"/>
      <c r="C37" s="44"/>
      <c r="D37" s="85" t="str">
        <f t="shared" si="0"/>
        <v/>
      </c>
      <c r="E37" s="176"/>
      <c r="G37" s="146"/>
      <c r="H37" s="177"/>
      <c r="I37" s="44"/>
      <c r="J37" s="85" t="str">
        <f t="shared" si="1"/>
        <v/>
      </c>
      <c r="K37" s="176"/>
      <c r="L37" s="114"/>
      <c r="M37" s="146"/>
      <c r="N37" s="177"/>
      <c r="O37" s="44"/>
      <c r="P37" s="85" t="str">
        <f t="shared" si="2"/>
        <v/>
      </c>
      <c r="Q37" s="176"/>
      <c r="R37" s="114"/>
      <c r="S37" s="146"/>
      <c r="T37" s="177"/>
      <c r="U37" s="44"/>
      <c r="V37" s="85" t="str">
        <f t="shared" si="3"/>
        <v/>
      </c>
      <c r="W37" s="176"/>
      <c r="X37" s="114"/>
      <c r="Y37" s="146"/>
      <c r="Z37" s="177"/>
      <c r="AA37" s="44"/>
      <c r="AB37" s="85" t="str">
        <f t="shared" si="4"/>
        <v/>
      </c>
      <c r="AC37" s="176"/>
      <c r="AD37" s="115"/>
      <c r="AE37" s="146"/>
      <c r="AF37" s="177"/>
      <c r="AG37" s="44"/>
      <c r="AH37" s="85" t="str">
        <f t="shared" si="5"/>
        <v/>
      </c>
      <c r="AI37" s="176"/>
      <c r="AJ37" s="174"/>
      <c r="AK37" s="146"/>
      <c r="AL37" s="177"/>
      <c r="AM37" s="44"/>
      <c r="AN37" s="85" t="str">
        <f t="shared" si="6"/>
        <v/>
      </c>
      <c r="AO37" s="176"/>
      <c r="AP37" s="114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177"/>
      <c r="C38" s="44"/>
      <c r="D38" s="85" t="str">
        <f t="shared" si="0"/>
        <v/>
      </c>
      <c r="E38" s="176"/>
      <c r="G38" s="146"/>
      <c r="H38" s="177"/>
      <c r="I38" s="44"/>
      <c r="J38" s="85" t="str">
        <f t="shared" si="1"/>
        <v/>
      </c>
      <c r="K38" s="176"/>
      <c r="L38" s="114"/>
      <c r="M38" s="146"/>
      <c r="N38" s="177"/>
      <c r="O38" s="44"/>
      <c r="P38" s="85" t="str">
        <f t="shared" si="2"/>
        <v/>
      </c>
      <c r="Q38" s="176"/>
      <c r="R38" s="114"/>
      <c r="S38" s="146"/>
      <c r="T38" s="177"/>
      <c r="U38" s="44"/>
      <c r="V38" s="85" t="str">
        <f t="shared" si="3"/>
        <v/>
      </c>
      <c r="W38" s="176"/>
      <c r="X38" s="114"/>
      <c r="Y38" s="146"/>
      <c r="Z38" s="177"/>
      <c r="AA38" s="44"/>
      <c r="AB38" s="85" t="str">
        <f t="shared" si="4"/>
        <v/>
      </c>
      <c r="AC38" s="176"/>
      <c r="AD38" s="115"/>
      <c r="AE38" s="146"/>
      <c r="AF38" s="177"/>
      <c r="AG38" s="44"/>
      <c r="AH38" s="85" t="str">
        <f t="shared" si="5"/>
        <v/>
      </c>
      <c r="AI38" s="176"/>
      <c r="AJ38" s="174"/>
      <c r="AK38" s="146"/>
      <c r="AL38" s="177"/>
      <c r="AM38" s="44"/>
      <c r="AN38" s="85" t="str">
        <f t="shared" si="6"/>
        <v/>
      </c>
      <c r="AO38" s="176"/>
      <c r="AP38" s="114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177"/>
      <c r="C39" s="44"/>
      <c r="D39" s="85" t="str">
        <f t="shared" si="0"/>
        <v/>
      </c>
      <c r="E39" s="176"/>
      <c r="G39" s="146"/>
      <c r="H39" s="177"/>
      <c r="I39" s="44"/>
      <c r="J39" s="85" t="str">
        <f t="shared" si="1"/>
        <v/>
      </c>
      <c r="K39" s="176"/>
      <c r="L39" s="114"/>
      <c r="M39" s="146"/>
      <c r="N39" s="177"/>
      <c r="O39" s="44"/>
      <c r="P39" s="85" t="str">
        <f t="shared" si="2"/>
        <v/>
      </c>
      <c r="Q39" s="176"/>
      <c r="R39" s="114"/>
      <c r="S39" s="146"/>
      <c r="T39" s="177"/>
      <c r="U39" s="44"/>
      <c r="V39" s="85" t="str">
        <f t="shared" si="3"/>
        <v/>
      </c>
      <c r="W39" s="176"/>
      <c r="X39" s="114"/>
      <c r="Y39" s="146"/>
      <c r="Z39" s="177"/>
      <c r="AA39" s="44"/>
      <c r="AB39" s="85" t="str">
        <f t="shared" si="4"/>
        <v/>
      </c>
      <c r="AC39" s="176"/>
      <c r="AD39" s="115"/>
      <c r="AE39" s="146"/>
      <c r="AF39" s="177"/>
      <c r="AG39" s="44"/>
      <c r="AH39" s="85" t="str">
        <f t="shared" si="5"/>
        <v/>
      </c>
      <c r="AI39" s="176"/>
      <c r="AJ39" s="174"/>
      <c r="AK39" s="146"/>
      <c r="AL39" s="177"/>
      <c r="AM39" s="44"/>
      <c r="AN39" s="85" t="str">
        <f t="shared" si="6"/>
        <v/>
      </c>
      <c r="AO39" s="176"/>
      <c r="AP39" s="114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177"/>
      <c r="C40" s="44"/>
      <c r="D40" s="85" t="str">
        <f t="shared" si="0"/>
        <v/>
      </c>
      <c r="E40" s="176"/>
      <c r="G40" s="146"/>
      <c r="H40" s="177"/>
      <c r="I40" s="44"/>
      <c r="J40" s="85" t="str">
        <f t="shared" si="1"/>
        <v/>
      </c>
      <c r="K40" s="176"/>
      <c r="L40" s="114"/>
      <c r="M40" s="146"/>
      <c r="N40" s="177"/>
      <c r="O40" s="44"/>
      <c r="P40" s="85" t="str">
        <f t="shared" si="2"/>
        <v/>
      </c>
      <c r="Q40" s="176"/>
      <c r="R40" s="114"/>
      <c r="S40" s="146"/>
      <c r="T40" s="177"/>
      <c r="U40" s="44"/>
      <c r="V40" s="85" t="str">
        <f t="shared" si="3"/>
        <v/>
      </c>
      <c r="W40" s="176"/>
      <c r="X40" s="114"/>
      <c r="Y40" s="146"/>
      <c r="Z40" s="177"/>
      <c r="AA40" s="44"/>
      <c r="AB40" s="85" t="str">
        <f t="shared" si="4"/>
        <v/>
      </c>
      <c r="AC40" s="176"/>
      <c r="AD40" s="115"/>
      <c r="AE40" s="146"/>
      <c r="AF40" s="177"/>
      <c r="AG40" s="44"/>
      <c r="AH40" s="85" t="str">
        <f t="shared" si="5"/>
        <v/>
      </c>
      <c r="AI40" s="176"/>
      <c r="AJ40" s="174"/>
      <c r="AK40" s="146"/>
      <c r="AL40" s="177"/>
      <c r="AM40" s="44"/>
      <c r="AN40" s="85" t="str">
        <f t="shared" si="6"/>
        <v/>
      </c>
      <c r="AO40" s="176"/>
      <c r="AP40" s="114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177"/>
      <c r="C41" s="44"/>
      <c r="D41" s="85" t="str">
        <f t="shared" si="0"/>
        <v/>
      </c>
      <c r="E41" s="176"/>
      <c r="G41" s="146"/>
      <c r="H41" s="177"/>
      <c r="I41" s="44"/>
      <c r="J41" s="85" t="str">
        <f t="shared" si="1"/>
        <v/>
      </c>
      <c r="K41" s="176"/>
      <c r="L41" s="114"/>
      <c r="M41" s="146"/>
      <c r="N41" s="177"/>
      <c r="O41" s="44"/>
      <c r="P41" s="85" t="str">
        <f t="shared" si="2"/>
        <v/>
      </c>
      <c r="Q41" s="176"/>
      <c r="R41" s="114"/>
      <c r="S41" s="146"/>
      <c r="T41" s="177"/>
      <c r="U41" s="44"/>
      <c r="V41" s="85" t="str">
        <f t="shared" si="3"/>
        <v/>
      </c>
      <c r="W41" s="176"/>
      <c r="X41" s="114"/>
      <c r="Y41" s="146"/>
      <c r="Z41" s="177"/>
      <c r="AA41" s="44"/>
      <c r="AB41" s="85" t="str">
        <f t="shared" si="4"/>
        <v/>
      </c>
      <c r="AC41" s="176"/>
      <c r="AD41" s="115"/>
      <c r="AE41" s="146"/>
      <c r="AF41" s="177"/>
      <c r="AG41" s="44"/>
      <c r="AH41" s="85" t="str">
        <f t="shared" si="5"/>
        <v/>
      </c>
      <c r="AI41" s="176"/>
      <c r="AJ41" s="174"/>
      <c r="AK41" s="146"/>
      <c r="AL41" s="177"/>
      <c r="AM41" s="44"/>
      <c r="AN41" s="85" t="str">
        <f t="shared" si="6"/>
        <v/>
      </c>
      <c r="AO41" s="176"/>
      <c r="AP41" s="114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177"/>
      <c r="C42" s="44"/>
      <c r="D42" s="85" t="str">
        <f t="shared" si="0"/>
        <v/>
      </c>
      <c r="E42" s="176"/>
      <c r="G42" s="146"/>
      <c r="H42" s="177"/>
      <c r="I42" s="44"/>
      <c r="J42" s="85" t="str">
        <f t="shared" si="1"/>
        <v/>
      </c>
      <c r="K42" s="176"/>
      <c r="L42" s="114"/>
      <c r="M42" s="146"/>
      <c r="N42" s="177"/>
      <c r="O42" s="44"/>
      <c r="P42" s="85" t="str">
        <f t="shared" si="2"/>
        <v/>
      </c>
      <c r="Q42" s="176"/>
      <c r="R42" s="114"/>
      <c r="S42" s="146"/>
      <c r="T42" s="177"/>
      <c r="U42" s="44"/>
      <c r="V42" s="85" t="str">
        <f t="shared" si="3"/>
        <v/>
      </c>
      <c r="W42" s="176"/>
      <c r="X42" s="114"/>
      <c r="Y42" s="146"/>
      <c r="Z42" s="177"/>
      <c r="AA42" s="44"/>
      <c r="AB42" s="85" t="str">
        <f t="shared" si="4"/>
        <v/>
      </c>
      <c r="AC42" s="176"/>
      <c r="AD42" s="115"/>
      <c r="AE42" s="146"/>
      <c r="AF42" s="177"/>
      <c r="AG42" s="44"/>
      <c r="AH42" s="85" t="str">
        <f t="shared" si="5"/>
        <v/>
      </c>
      <c r="AI42" s="176"/>
      <c r="AJ42" s="174"/>
      <c r="AK42" s="146"/>
      <c r="AL42" s="177"/>
      <c r="AM42" s="44"/>
      <c r="AN42" s="85" t="str">
        <f t="shared" si="6"/>
        <v/>
      </c>
      <c r="AO42" s="176"/>
      <c r="AP42" s="114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47"/>
      <c r="B43" s="178"/>
      <c r="C43" s="179"/>
      <c r="D43" s="85" t="str">
        <f t="shared" si="0"/>
        <v/>
      </c>
      <c r="E43" s="189"/>
      <c r="G43" s="147"/>
      <c r="H43" s="178"/>
      <c r="I43" s="179"/>
      <c r="J43" s="85" t="str">
        <f t="shared" si="1"/>
        <v/>
      </c>
      <c r="K43" s="189"/>
      <c r="L43" s="114"/>
      <c r="M43" s="147"/>
      <c r="N43" s="178"/>
      <c r="O43" s="179"/>
      <c r="P43" s="85" t="str">
        <f t="shared" si="2"/>
        <v/>
      </c>
      <c r="Q43" s="189"/>
      <c r="R43" s="114"/>
      <c r="S43" s="147"/>
      <c r="T43" s="178"/>
      <c r="U43" s="179"/>
      <c r="V43" s="85" t="str">
        <f t="shared" si="3"/>
        <v/>
      </c>
      <c r="W43" s="189"/>
      <c r="X43" s="114"/>
      <c r="Y43" s="147"/>
      <c r="Z43" s="178"/>
      <c r="AA43" s="179"/>
      <c r="AB43" s="85" t="str">
        <f t="shared" si="4"/>
        <v/>
      </c>
      <c r="AC43" s="189"/>
      <c r="AD43" s="115"/>
      <c r="AE43" s="147"/>
      <c r="AF43" s="178"/>
      <c r="AG43" s="179"/>
      <c r="AH43" s="354" t="str">
        <f t="shared" si="5"/>
        <v/>
      </c>
      <c r="AI43" s="189"/>
      <c r="AJ43" s="174"/>
      <c r="AK43" s="147"/>
      <c r="AL43" s="178"/>
      <c r="AM43" s="179"/>
      <c r="AN43" s="85" t="str">
        <f t="shared" si="6"/>
        <v/>
      </c>
      <c r="AO43" s="189"/>
      <c r="AP43" s="114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7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7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8">F104-G104</f>
        <v>700913.77812499995</v>
      </c>
      <c r="N104">
        <f t="shared" ref="N104:N130" si="9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8"/>
        <v>3593</v>
      </c>
      <c r="N105">
        <f t="shared" si="9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7"/>
        <v>72453</v>
      </c>
      <c r="E106" s="41">
        <f>SUM(Z3:Z95)</f>
        <v>32796</v>
      </c>
      <c r="F106" s="103">
        <f>SUM(AA3:AA95)</f>
        <v>39657</v>
      </c>
      <c r="H106">
        <f t="shared" si="8"/>
        <v>39657</v>
      </c>
      <c r="N106">
        <f t="shared" si="9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7"/>
        <v>725890.77812499995</v>
      </c>
      <c r="E107" s="41">
        <f>SUM(AD3:AD95)</f>
        <v>30</v>
      </c>
      <c r="F107" s="103">
        <f>SUM(AE3:AE95)</f>
        <v>725860.77812499995</v>
      </c>
      <c r="H107">
        <f t="shared" si="8"/>
        <v>725860.77812499995</v>
      </c>
      <c r="N107">
        <f t="shared" si="9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7"/>
        <v>57079</v>
      </c>
      <c r="E108" s="41">
        <f>SUM(AH3:AH95)</f>
        <v>45794</v>
      </c>
      <c r="F108" s="103">
        <f>SUM(AI3:AI95)</f>
        <v>11285</v>
      </c>
      <c r="H108">
        <f t="shared" si="8"/>
        <v>11285</v>
      </c>
      <c r="N108">
        <f t="shared" si="9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7"/>
        <v>151227</v>
      </c>
      <c r="E109" s="41">
        <f>SUM(AL3:AL95)</f>
        <v>75948</v>
      </c>
      <c r="F109" s="103">
        <f>SUM(AM3:AM95)</f>
        <v>75279</v>
      </c>
      <c r="H109">
        <f t="shared" si="8"/>
        <v>75279</v>
      </c>
      <c r="N109">
        <f t="shared" si="9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7"/>
        <v>85</v>
      </c>
      <c r="E110" s="41">
        <f>SUM(AP3:AP95)</f>
        <v>42</v>
      </c>
      <c r="F110" s="103">
        <f>SUM(AQ3:AQ95)</f>
        <v>43</v>
      </c>
      <c r="H110">
        <f t="shared" si="8"/>
        <v>43</v>
      </c>
      <c r="N110">
        <f t="shared" si="9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7"/>
        <v>93</v>
      </c>
      <c r="E111" s="41">
        <f>SUM(AT3:AT95)</f>
        <v>46</v>
      </c>
      <c r="F111" s="103">
        <f>SUM(AU3:AU95)</f>
        <v>47</v>
      </c>
      <c r="H111">
        <f t="shared" si="8"/>
        <v>47</v>
      </c>
      <c r="N111">
        <f t="shared" si="9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7"/>
        <v>101</v>
      </c>
      <c r="E112" s="41">
        <f>SUM(AX3:AX95)</f>
        <v>50</v>
      </c>
      <c r="F112" s="103">
        <f>SUM(AY3:AY95)</f>
        <v>51</v>
      </c>
      <c r="H112">
        <f t="shared" si="8"/>
        <v>51</v>
      </c>
      <c r="N112">
        <f t="shared" si="9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7"/>
        <v>109</v>
      </c>
      <c r="E113" s="41">
        <f>SUM(BB3:BB95)</f>
        <v>54</v>
      </c>
      <c r="F113" s="103">
        <f>SUM(BC3:BC95)</f>
        <v>55</v>
      </c>
      <c r="H113">
        <f t="shared" si="8"/>
        <v>55</v>
      </c>
      <c r="N113">
        <f t="shared" si="9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7"/>
        <v>117</v>
      </c>
      <c r="E114" s="41">
        <f>SUM(BF3:BF95)</f>
        <v>58</v>
      </c>
      <c r="F114" s="103">
        <f>SUM(BG3:BG95)</f>
        <v>59</v>
      </c>
      <c r="H114">
        <f t="shared" si="8"/>
        <v>59</v>
      </c>
      <c r="N114">
        <f t="shared" si="9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7"/>
        <v>125</v>
      </c>
      <c r="E115" s="41">
        <f>SUM(BJ3:BJ95)</f>
        <v>62</v>
      </c>
      <c r="F115" s="103">
        <f>SUM(BK3:BK95)</f>
        <v>63</v>
      </c>
      <c r="H115">
        <f t="shared" si="8"/>
        <v>63</v>
      </c>
      <c r="N115">
        <f t="shared" si="9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7"/>
        <v>133</v>
      </c>
      <c r="E116" s="41">
        <f>SUM(BN3:BN95)</f>
        <v>66</v>
      </c>
      <c r="F116" s="103">
        <f>SUM(BO3:BO95)</f>
        <v>67</v>
      </c>
      <c r="H116">
        <f t="shared" si="8"/>
        <v>67</v>
      </c>
      <c r="N116">
        <f t="shared" si="9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7"/>
        <v>141</v>
      </c>
      <c r="E117" s="41">
        <f>SUM(BR3:BR95)</f>
        <v>70</v>
      </c>
      <c r="F117" s="103">
        <f>SUM(BS3:BS95)</f>
        <v>71</v>
      </c>
      <c r="H117">
        <f t="shared" si="8"/>
        <v>71</v>
      </c>
      <c r="N117">
        <f t="shared" si="9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7"/>
        <v>149</v>
      </c>
      <c r="E118" s="41">
        <f>SUM(BV3:BV95)</f>
        <v>74</v>
      </c>
      <c r="F118" s="103">
        <f>SUM(BW3:BW95)</f>
        <v>75</v>
      </c>
      <c r="H118">
        <f t="shared" si="8"/>
        <v>75</v>
      </c>
      <c r="N118">
        <f t="shared" si="9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7"/>
        <v>157</v>
      </c>
      <c r="E119" s="41">
        <f>SUM(BZ3:BZ95)</f>
        <v>78</v>
      </c>
      <c r="F119" s="103">
        <f>SUM(CA3:CA95)</f>
        <v>79</v>
      </c>
      <c r="H119">
        <f t="shared" si="8"/>
        <v>79</v>
      </c>
      <c r="N119">
        <f t="shared" si="9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7"/>
        <v>165</v>
      </c>
      <c r="E120" s="41">
        <f>SUM(CD3:CD95)</f>
        <v>82</v>
      </c>
      <c r="F120" s="103">
        <f>SUM(CE3:CE95)</f>
        <v>83</v>
      </c>
      <c r="H120">
        <f t="shared" si="8"/>
        <v>83</v>
      </c>
      <c r="N120">
        <f t="shared" si="9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7"/>
        <v>173</v>
      </c>
      <c r="E121" s="41">
        <f>SUM(CH3:CH95)</f>
        <v>86</v>
      </c>
      <c r="F121" s="103">
        <f>SUM(CI3:CI95)</f>
        <v>87</v>
      </c>
      <c r="H121">
        <f t="shared" si="8"/>
        <v>87</v>
      </c>
      <c r="N121">
        <f t="shared" si="9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7"/>
        <v>181</v>
      </c>
      <c r="E122" s="41">
        <f>SUM(CL3:CL95)</f>
        <v>90</v>
      </c>
      <c r="F122" s="103">
        <f>SUM(CM3:CM95)</f>
        <v>91</v>
      </c>
      <c r="H122">
        <f t="shared" si="8"/>
        <v>91</v>
      </c>
      <c r="N122">
        <f t="shared" si="9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7"/>
        <v>189</v>
      </c>
      <c r="E123" s="41">
        <f>SUM(CP3:CP95)</f>
        <v>94</v>
      </c>
      <c r="F123" s="103">
        <f>SUM(CQ3:CQ95)</f>
        <v>95</v>
      </c>
      <c r="H123">
        <f t="shared" si="8"/>
        <v>95</v>
      </c>
      <c r="N123">
        <f t="shared" si="9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7"/>
        <v>197</v>
      </c>
      <c r="E124" s="41">
        <f>SUM(CT3:CT95)</f>
        <v>98</v>
      </c>
      <c r="F124" s="103">
        <f>SUM(CU3:CU95)</f>
        <v>99</v>
      </c>
      <c r="H124">
        <f t="shared" si="8"/>
        <v>99</v>
      </c>
      <c r="N124">
        <f t="shared" si="9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7"/>
        <v>205</v>
      </c>
      <c r="E125" s="41">
        <f>SUM(CX3:CX95)</f>
        <v>102</v>
      </c>
      <c r="F125" s="103">
        <f>SUM(CY3:CY95)</f>
        <v>103</v>
      </c>
      <c r="H125">
        <f t="shared" si="8"/>
        <v>103</v>
      </c>
      <c r="N125">
        <f t="shared" si="9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7"/>
        <v>213</v>
      </c>
      <c r="E126" s="41">
        <f>SUM(DB3:DB95)</f>
        <v>106</v>
      </c>
      <c r="F126" s="103">
        <f>SUM(DC3:DC95)</f>
        <v>107</v>
      </c>
      <c r="H126">
        <f t="shared" si="8"/>
        <v>107</v>
      </c>
      <c r="N126">
        <f t="shared" si="9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7"/>
        <v>221</v>
      </c>
      <c r="E127" s="41">
        <f>SUM(DF3:DF95)</f>
        <v>110</v>
      </c>
      <c r="F127" s="103">
        <f>SUM(DG3:DG95)</f>
        <v>111</v>
      </c>
      <c r="H127">
        <f t="shared" si="8"/>
        <v>111</v>
      </c>
      <c r="N127">
        <f t="shared" si="9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7"/>
        <v>229</v>
      </c>
      <c r="E128" s="41">
        <f>SUM(DJ3:DJ95)</f>
        <v>114</v>
      </c>
      <c r="F128" s="103">
        <f>SUM(DK3:DK95)</f>
        <v>115</v>
      </c>
      <c r="H128">
        <f t="shared" si="8"/>
        <v>115</v>
      </c>
      <c r="N128">
        <f t="shared" si="9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7"/>
        <v>237</v>
      </c>
      <c r="E129" s="41">
        <f>SUM(DN3:DN95)</f>
        <v>118</v>
      </c>
      <c r="F129" s="103">
        <f>SUM(DO3:DO95)</f>
        <v>119</v>
      </c>
      <c r="H129">
        <f t="shared" si="8"/>
        <v>119</v>
      </c>
      <c r="N129">
        <f t="shared" si="9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7"/>
        <v>245</v>
      </c>
      <c r="E130" s="41">
        <f>SUM(DR3:DR95)</f>
        <v>122</v>
      </c>
      <c r="F130" s="103">
        <f>SUM(DS3:DS95)</f>
        <v>123</v>
      </c>
      <c r="H130">
        <f t="shared" si="8"/>
        <v>123</v>
      </c>
      <c r="N130">
        <f t="shared" si="9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7"/>
        <v>253</v>
      </c>
      <c r="E131" s="41">
        <f>SUM(DV3:DV95)</f>
        <v>126</v>
      </c>
      <c r="F131" s="103">
        <f>SUM(DW3:DW95)</f>
        <v>127</v>
      </c>
      <c r="H131">
        <f t="shared" ref="H131:H148" si="10">F131-G103</f>
        <v>127</v>
      </c>
      <c r="N131">
        <f t="shared" ref="N131:N148" si="11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7"/>
        <v>257</v>
      </c>
      <c r="E132" s="41">
        <f>SUM(DX3:DX95)</f>
        <v>128</v>
      </c>
      <c r="F132" s="103">
        <f>SUM(DY3:DY95)</f>
        <v>129</v>
      </c>
      <c r="H132">
        <f t="shared" si="10"/>
        <v>129</v>
      </c>
      <c r="N132">
        <f t="shared" si="11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7"/>
        <v>269</v>
      </c>
      <c r="E133" s="41">
        <f>SUM(ED3:ED95)</f>
        <v>134</v>
      </c>
      <c r="F133" s="103">
        <f>SUM(EE3:EE95)</f>
        <v>135</v>
      </c>
      <c r="H133">
        <f t="shared" si="10"/>
        <v>135</v>
      </c>
      <c r="N133">
        <f t="shared" si="11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7"/>
        <v>277</v>
      </c>
      <c r="E134" s="41">
        <f>SUM(EH3:EH95)</f>
        <v>138</v>
      </c>
      <c r="F134" s="103">
        <f>SUM(EI3:EI95)</f>
        <v>139</v>
      </c>
      <c r="H134">
        <f t="shared" si="10"/>
        <v>139</v>
      </c>
      <c r="N134">
        <f t="shared" si="11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7"/>
        <v>285</v>
      </c>
      <c r="E135" s="41">
        <f>SUM(EL3:EL95)</f>
        <v>142</v>
      </c>
      <c r="F135" s="103">
        <f>SUM(EM3:EM95)</f>
        <v>143</v>
      </c>
      <c r="H135">
        <f t="shared" si="10"/>
        <v>143</v>
      </c>
      <c r="N135">
        <f t="shared" si="11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7"/>
        <v>293</v>
      </c>
      <c r="E136" s="41">
        <f>SUM(EP3:EP95)</f>
        <v>146</v>
      </c>
      <c r="F136" s="103">
        <f>SUM(EQ3:EQ95)</f>
        <v>147</v>
      </c>
      <c r="H136">
        <f t="shared" si="10"/>
        <v>147</v>
      </c>
      <c r="N136">
        <f t="shared" si="11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7"/>
        <v>301</v>
      </c>
      <c r="E137" s="41">
        <f>SUM(ET3:ET95)</f>
        <v>150</v>
      </c>
      <c r="F137" s="103">
        <f>SUM(EU3:EU95)</f>
        <v>151</v>
      </c>
      <c r="H137">
        <f t="shared" si="10"/>
        <v>151</v>
      </c>
      <c r="N137">
        <f t="shared" si="11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7"/>
        <v>309</v>
      </c>
      <c r="E138" s="41">
        <f>SUM(EX3:EX95)</f>
        <v>154</v>
      </c>
      <c r="F138" s="103">
        <f>SUM(EY3:EY95)</f>
        <v>155</v>
      </c>
      <c r="H138">
        <f t="shared" si="10"/>
        <v>155</v>
      </c>
      <c r="N138">
        <f t="shared" si="11"/>
        <v>0</v>
      </c>
    </row>
    <row r="139" spans="3:214" x14ac:dyDescent="0.25">
      <c r="C139" s="41">
        <f>COUNTA(FA1:FA95)</f>
        <v>1</v>
      </c>
      <c r="D139" s="41">
        <f t="shared" si="7"/>
        <v>317</v>
      </c>
      <c r="E139" s="41">
        <f>SUM(FB3:FB95)</f>
        <v>158</v>
      </c>
      <c r="F139" s="103">
        <f>SUM(FC3:FC95)</f>
        <v>159</v>
      </c>
      <c r="H139">
        <f t="shared" si="10"/>
        <v>159</v>
      </c>
      <c r="N139">
        <f t="shared" si="11"/>
        <v>0</v>
      </c>
    </row>
    <row r="140" spans="3:214" x14ac:dyDescent="0.25">
      <c r="C140" s="41">
        <f>COUNTA(FE1:FE95)</f>
        <v>1</v>
      </c>
      <c r="D140" s="41">
        <f t="shared" si="7"/>
        <v>325</v>
      </c>
      <c r="E140" s="41">
        <f>SUM(FF3:FF95)</f>
        <v>162</v>
      </c>
      <c r="F140" s="103">
        <f>SUM(FG3:FG95)</f>
        <v>163</v>
      </c>
      <c r="H140">
        <f t="shared" si="10"/>
        <v>163</v>
      </c>
      <c r="N140">
        <f t="shared" si="11"/>
        <v>0</v>
      </c>
    </row>
    <row r="141" spans="3:214" x14ac:dyDescent="0.25">
      <c r="C141" s="41">
        <f>COUNTA(FI1:FI95)</f>
        <v>1</v>
      </c>
      <c r="D141" s="41">
        <f t="shared" si="7"/>
        <v>333</v>
      </c>
      <c r="E141" s="41">
        <f>SUM(FJ3:FJ95)</f>
        <v>166</v>
      </c>
      <c r="F141" s="103">
        <f>SUM(FK3:FK95)</f>
        <v>167</v>
      </c>
      <c r="H141">
        <f t="shared" si="10"/>
        <v>167</v>
      </c>
      <c r="N141">
        <f t="shared" si="11"/>
        <v>0</v>
      </c>
    </row>
    <row r="142" spans="3:214" x14ac:dyDescent="0.25">
      <c r="C142" s="41">
        <f>COUNTA(FM1:FM95)</f>
        <v>1</v>
      </c>
      <c r="D142" s="41">
        <f t="shared" si="7"/>
        <v>341</v>
      </c>
      <c r="E142" s="41">
        <f>SUM(FN3:FN95)</f>
        <v>170</v>
      </c>
      <c r="F142" s="103">
        <f>SUM(FO3:FO95)</f>
        <v>171</v>
      </c>
      <c r="H142">
        <f t="shared" si="10"/>
        <v>171</v>
      </c>
      <c r="N142">
        <f t="shared" si="11"/>
        <v>0</v>
      </c>
    </row>
    <row r="143" spans="3:214" x14ac:dyDescent="0.25">
      <c r="C143" s="41">
        <f>COUNTA(FQ1:FQ95)</f>
        <v>1</v>
      </c>
      <c r="D143" s="41">
        <f t="shared" si="7"/>
        <v>349</v>
      </c>
      <c r="E143" s="41">
        <f>SUM(FR3:FR95)</f>
        <v>174</v>
      </c>
      <c r="F143" s="103">
        <f>SUM(FS3:FS95)</f>
        <v>175</v>
      </c>
      <c r="H143">
        <f t="shared" si="10"/>
        <v>175</v>
      </c>
      <c r="N143">
        <f t="shared" si="11"/>
        <v>0</v>
      </c>
    </row>
    <row r="144" spans="3:214" x14ac:dyDescent="0.25">
      <c r="C144" s="41">
        <f>COUNTA(FU1:FU95)</f>
        <v>1</v>
      </c>
      <c r="D144" s="41">
        <f t="shared" si="7"/>
        <v>357</v>
      </c>
      <c r="E144" s="41">
        <f>SUM(FV3:FV95)</f>
        <v>178</v>
      </c>
      <c r="F144" s="103">
        <f>SUM(FW3:FW95)</f>
        <v>179</v>
      </c>
      <c r="H144">
        <f t="shared" si="10"/>
        <v>179</v>
      </c>
      <c r="N144">
        <f t="shared" si="11"/>
        <v>0</v>
      </c>
    </row>
    <row r="145" spans="3:14" x14ac:dyDescent="0.25">
      <c r="C145" s="41">
        <f>COUNTA(FY1:FY95)</f>
        <v>1</v>
      </c>
      <c r="D145" s="41">
        <f t="shared" si="7"/>
        <v>365</v>
      </c>
      <c r="E145" s="41">
        <f>SUM(FZ3:FZ95)</f>
        <v>182</v>
      </c>
      <c r="F145" s="103">
        <f>SUM(GA3:GA95)</f>
        <v>183</v>
      </c>
      <c r="H145">
        <f t="shared" si="10"/>
        <v>183</v>
      </c>
      <c r="N145">
        <f t="shared" si="11"/>
        <v>0</v>
      </c>
    </row>
    <row r="146" spans="3:14" x14ac:dyDescent="0.25">
      <c r="C146" s="41">
        <f>COUNTA(GC1:GC95)</f>
        <v>1</v>
      </c>
      <c r="D146" s="41">
        <f t="shared" si="7"/>
        <v>373</v>
      </c>
      <c r="E146" s="41">
        <f>SUM(GD3:GD95)</f>
        <v>186</v>
      </c>
      <c r="F146" s="103">
        <f>SUM(GE3:GE95)</f>
        <v>187</v>
      </c>
      <c r="H146">
        <f t="shared" si="10"/>
        <v>187</v>
      </c>
      <c r="N146">
        <f t="shared" si="11"/>
        <v>0</v>
      </c>
    </row>
    <row r="147" spans="3:14" x14ac:dyDescent="0.25">
      <c r="C147" s="41">
        <f>COUNTA(GG1:GG95)</f>
        <v>1</v>
      </c>
      <c r="D147" s="41">
        <f t="shared" si="7"/>
        <v>381</v>
      </c>
      <c r="E147" s="41">
        <f>SUM(GH3:GH95)</f>
        <v>190</v>
      </c>
      <c r="F147" s="103">
        <f>SUM(GI3:GI95)</f>
        <v>191</v>
      </c>
      <c r="H147">
        <f t="shared" si="10"/>
        <v>191</v>
      </c>
      <c r="N147">
        <f t="shared" si="11"/>
        <v>0</v>
      </c>
    </row>
    <row r="148" spans="3:14" x14ac:dyDescent="0.25">
      <c r="C148" s="41">
        <f>COUNTA(GK1:GK95)</f>
        <v>1</v>
      </c>
      <c r="D148" s="41">
        <f t="shared" si="7"/>
        <v>389</v>
      </c>
      <c r="E148" s="41">
        <f>SUM(GL3:GL95)</f>
        <v>194</v>
      </c>
      <c r="F148" s="103">
        <f>SUM(GM3:GM95)</f>
        <v>195</v>
      </c>
      <c r="H148">
        <f t="shared" si="10"/>
        <v>195</v>
      </c>
      <c r="N148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>
    <tabColor rgb="FF00FF00"/>
  </sheetPr>
  <dimension ref="A1:AR53"/>
  <sheetViews>
    <sheetView topLeftCell="X1" workbookViewId="0">
      <selection activeCell="AL22" sqref="AL22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329" width="13.28515625" style="112" customWidth="1"/>
    <col min="330" max="16384" width="9.140625" style="112"/>
  </cols>
  <sheetData>
    <row r="1" spans="1:44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</row>
    <row r="2" spans="1:44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</row>
    <row r="3" spans="1:44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</row>
    <row r="4" spans="1:44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</row>
    <row r="5" spans="1:44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</row>
    <row r="6" spans="1:44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</row>
    <row r="7" spans="1:44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31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</row>
    <row r="8" spans="1:44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2" t="str">
        <f>data!B46</f>
        <v>Juan dos</v>
      </c>
      <c r="V8" s="232">
        <v>660</v>
      </c>
      <c r="W8" s="232">
        <v>0</v>
      </c>
      <c r="X8" s="231"/>
      <c r="Y8" s="232" t="str">
        <f>data!B46</f>
        <v>Juan dos</v>
      </c>
      <c r="Z8" s="232">
        <v>660</v>
      </c>
      <c r="AA8" s="232">
        <v>0</v>
      </c>
      <c r="AB8" s="116"/>
      <c r="AC8" s="177" t="str">
        <f>data!B46</f>
        <v>Juan dos</v>
      </c>
      <c r="AD8" s="232">
        <v>690</v>
      </c>
      <c r="AE8" s="232">
        <v>15000</v>
      </c>
      <c r="AF8" s="116"/>
      <c r="AG8" s="177" t="str">
        <f>data!B46</f>
        <v>Juan dos</v>
      </c>
      <c r="AH8" s="232">
        <v>240</v>
      </c>
      <c r="AI8" s="232">
        <v>0</v>
      </c>
      <c r="AJ8" s="116"/>
      <c r="AK8" s="177" t="str">
        <f>data!B46</f>
        <v>Juan dos</v>
      </c>
      <c r="AL8" s="232">
        <v>400</v>
      </c>
      <c r="AM8" s="232">
        <v>0</v>
      </c>
      <c r="AN8" s="116"/>
      <c r="AO8" s="177" t="str">
        <f>data!B46</f>
        <v>Juan dos</v>
      </c>
      <c r="AP8" s="232">
        <v>240</v>
      </c>
      <c r="AQ8" s="232">
        <v>5000</v>
      </c>
      <c r="AR8" s="116"/>
    </row>
    <row r="9" spans="1:44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3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</row>
    <row r="10" spans="1:44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3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</row>
    <row r="11" spans="1:44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3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</row>
    <row r="12" spans="1:44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3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</row>
    <row r="13" spans="1:44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3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</row>
    <row r="14" spans="1:44" x14ac:dyDescent="0.25">
      <c r="L14" s="116"/>
      <c r="P14" s="116"/>
      <c r="T14" s="116"/>
      <c r="U14" s="204"/>
      <c r="V14" s="204"/>
      <c r="W14" s="204"/>
      <c r="X14" s="231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</row>
    <row r="15" spans="1:44" x14ac:dyDescent="0.25">
      <c r="L15" s="116"/>
      <c r="P15" s="116"/>
      <c r="T15" s="116"/>
      <c r="U15" s="204"/>
      <c r="V15" s="204"/>
      <c r="W15" s="204"/>
      <c r="X15" s="231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</row>
    <row r="16" spans="1:44" x14ac:dyDescent="0.25">
      <c r="L16" s="116"/>
      <c r="P16" s="116"/>
      <c r="T16" s="116"/>
      <c r="U16" s="204"/>
      <c r="V16" s="204"/>
      <c r="W16" s="204"/>
      <c r="X16" s="231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</row>
    <row r="17" spans="6:44" x14ac:dyDescent="0.25">
      <c r="L17" s="116"/>
      <c r="P17" s="116"/>
      <c r="T17" s="116"/>
      <c r="U17" s="204"/>
      <c r="V17" s="204"/>
      <c r="W17" s="204"/>
      <c r="X17" s="231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</row>
    <row r="18" spans="6:44" x14ac:dyDescent="0.25">
      <c r="L18" s="116"/>
      <c r="P18" s="116"/>
      <c r="T18" s="116"/>
      <c r="U18" s="204"/>
      <c r="V18" s="204"/>
      <c r="W18" s="204"/>
      <c r="X18" s="231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</row>
    <row r="19" spans="6:44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31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</row>
    <row r="20" spans="6:44" x14ac:dyDescent="0.25">
      <c r="L20" s="116"/>
      <c r="P20" s="116"/>
      <c r="T20" s="116"/>
      <c r="U20" s="204"/>
      <c r="V20" s="204"/>
      <c r="W20" s="204"/>
      <c r="X20" s="231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</row>
    <row r="21" spans="6:44" x14ac:dyDescent="0.25">
      <c r="L21" s="116"/>
      <c r="P21" s="116"/>
      <c r="T21" s="116"/>
      <c r="U21" s="204"/>
      <c r="V21" s="204"/>
      <c r="W21" s="204"/>
      <c r="X21" s="231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</row>
    <row r="22" spans="6:44" x14ac:dyDescent="0.25">
      <c r="L22" s="116"/>
      <c r="P22" s="116"/>
      <c r="T22" s="116"/>
      <c r="U22" s="204"/>
      <c r="V22" s="204"/>
      <c r="W22" s="204"/>
      <c r="X22" s="231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</row>
    <row r="23" spans="6:44" x14ac:dyDescent="0.25">
      <c r="L23" s="116"/>
      <c r="P23" s="116"/>
      <c r="T23" s="116"/>
      <c r="U23" s="204"/>
      <c r="V23" s="204"/>
      <c r="W23" s="204"/>
      <c r="X23" s="231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</row>
    <row r="24" spans="6:44" x14ac:dyDescent="0.25">
      <c r="L24" s="116"/>
      <c r="P24" s="116"/>
      <c r="T24" s="116"/>
      <c r="U24" s="204"/>
      <c r="V24" s="204"/>
      <c r="W24" s="204"/>
      <c r="X24" s="231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</row>
    <row r="25" spans="6:44" x14ac:dyDescent="0.25">
      <c r="L25" s="116"/>
      <c r="P25" s="116"/>
      <c r="T25" s="116"/>
      <c r="U25" s="204"/>
      <c r="V25" s="204"/>
      <c r="W25" s="204"/>
      <c r="X25" s="231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</row>
    <row r="26" spans="6:44" x14ac:dyDescent="0.25">
      <c r="L26" s="116"/>
      <c r="P26" s="116"/>
      <c r="T26" s="116"/>
      <c r="U26" s="204"/>
      <c r="V26" s="204"/>
      <c r="W26" s="204"/>
      <c r="X26" s="231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</row>
    <row r="27" spans="6:44" x14ac:dyDescent="0.25">
      <c r="L27" s="116"/>
      <c r="P27" s="116"/>
      <c r="T27" s="116"/>
      <c r="U27" s="204"/>
      <c r="V27" s="204"/>
      <c r="W27" s="204"/>
      <c r="X27" s="231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</row>
    <row r="28" spans="6:44" x14ac:dyDescent="0.25">
      <c r="L28" s="116"/>
      <c r="P28" s="116"/>
      <c r="T28" s="116"/>
      <c r="U28" s="204"/>
      <c r="V28" s="204"/>
      <c r="W28" s="204"/>
      <c r="X28" s="231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</row>
    <row r="29" spans="6:44" x14ac:dyDescent="0.25">
      <c r="L29" s="116"/>
      <c r="P29" s="116"/>
      <c r="T29" s="116"/>
      <c r="U29" s="204"/>
      <c r="V29" s="204"/>
      <c r="W29" s="204"/>
      <c r="X29" s="231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</row>
    <row r="30" spans="6:44" x14ac:dyDescent="0.25">
      <c r="L30" s="116"/>
      <c r="P30" s="116"/>
      <c r="T30" s="116"/>
      <c r="U30" s="204"/>
      <c r="V30" s="204"/>
      <c r="W30" s="204"/>
      <c r="X30" s="231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</row>
    <row r="31" spans="6:44" x14ac:dyDescent="0.25">
      <c r="L31" s="116"/>
      <c r="P31" s="116"/>
      <c r="T31" s="116"/>
      <c r="U31" s="204"/>
      <c r="V31" s="204"/>
      <c r="W31" s="204"/>
      <c r="X31" s="231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</row>
    <row r="32" spans="6:44" x14ac:dyDescent="0.25">
      <c r="L32" s="116"/>
      <c r="P32" s="116"/>
      <c r="T32" s="116"/>
      <c r="U32" s="204"/>
      <c r="V32" s="204"/>
      <c r="W32" s="204"/>
      <c r="X32" s="231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</row>
    <row r="33" spans="12:44" x14ac:dyDescent="0.25">
      <c r="L33" s="116"/>
      <c r="P33" s="116"/>
      <c r="T33" s="116"/>
      <c r="X33" s="116"/>
      <c r="AB33" s="116"/>
      <c r="AF33" s="116"/>
      <c r="AJ33" s="116"/>
      <c r="AN33" s="116"/>
      <c r="AR33" s="116"/>
    </row>
    <row r="34" spans="12:44" x14ac:dyDescent="0.25">
      <c r="L34" s="116"/>
      <c r="P34" s="116"/>
      <c r="T34" s="116"/>
      <c r="X34" s="116"/>
      <c r="AB34" s="116"/>
      <c r="AF34" s="116"/>
      <c r="AJ34" s="116"/>
      <c r="AN34" s="116"/>
      <c r="AR34" s="116"/>
    </row>
    <row r="35" spans="12:44" x14ac:dyDescent="0.25">
      <c r="L35" s="116"/>
      <c r="P35" s="116"/>
      <c r="T35" s="116"/>
      <c r="X35" s="116"/>
      <c r="AB35" s="116"/>
      <c r="AF35" s="116"/>
      <c r="AJ35" s="116"/>
      <c r="AN35" s="116"/>
      <c r="AR35" s="116"/>
    </row>
    <row r="36" spans="12:44" x14ac:dyDescent="0.25">
      <c r="L36" s="116"/>
      <c r="P36" s="116"/>
      <c r="T36" s="116"/>
      <c r="X36" s="116"/>
      <c r="AB36" s="116"/>
      <c r="AF36" s="116"/>
      <c r="AJ36" s="116"/>
      <c r="AN36" s="116"/>
      <c r="AR36" s="116"/>
    </row>
    <row r="37" spans="12:44" x14ac:dyDescent="0.25">
      <c r="L37" s="116"/>
      <c r="P37" s="116"/>
      <c r="T37" s="116"/>
      <c r="X37" s="116"/>
      <c r="AB37" s="116"/>
      <c r="AF37" s="116"/>
      <c r="AJ37" s="116"/>
      <c r="AN37" s="116"/>
      <c r="AR37" s="116"/>
    </row>
    <row r="38" spans="12:44" x14ac:dyDescent="0.25">
      <c r="L38" s="116"/>
      <c r="P38" s="116"/>
      <c r="T38" s="116"/>
      <c r="X38" s="116"/>
      <c r="AB38" s="116"/>
      <c r="AF38" s="116"/>
      <c r="AJ38" s="116"/>
      <c r="AN38" s="116"/>
      <c r="AR38" s="116"/>
    </row>
    <row r="39" spans="12:44" x14ac:dyDescent="0.25">
      <c r="L39" s="116"/>
      <c r="P39" s="116"/>
      <c r="T39" s="116"/>
      <c r="X39" s="116"/>
      <c r="AB39" s="116"/>
      <c r="AF39" s="116"/>
      <c r="AJ39" s="116"/>
      <c r="AN39" s="116"/>
      <c r="AR39" s="116"/>
    </row>
    <row r="40" spans="12:44" x14ac:dyDescent="0.25">
      <c r="L40" s="116"/>
      <c r="P40" s="116"/>
      <c r="T40" s="116"/>
      <c r="X40" s="116"/>
      <c r="AB40" s="116"/>
      <c r="AF40" s="116"/>
      <c r="AJ40" s="116"/>
      <c r="AN40" s="116"/>
      <c r="AR40" s="116"/>
    </row>
    <row r="41" spans="12:44" x14ac:dyDescent="0.25">
      <c r="L41" s="116"/>
      <c r="P41" s="116"/>
      <c r="T41" s="116"/>
      <c r="X41" s="116"/>
      <c r="AB41" s="116"/>
      <c r="AF41" s="116"/>
      <c r="AJ41" s="116"/>
      <c r="AN41" s="116"/>
      <c r="AR41" s="116"/>
    </row>
    <row r="42" spans="12:44" x14ac:dyDescent="0.25">
      <c r="L42" s="116"/>
      <c r="P42" s="116"/>
      <c r="T42" s="116"/>
      <c r="X42" s="116"/>
      <c r="AB42" s="116"/>
      <c r="AF42" s="116"/>
      <c r="AJ42" s="116"/>
      <c r="AN42" s="116"/>
      <c r="AR42" s="116"/>
    </row>
    <row r="43" spans="12:44" x14ac:dyDescent="0.25">
      <c r="L43" s="116"/>
      <c r="P43" s="116"/>
      <c r="T43" s="116"/>
      <c r="X43" s="116"/>
      <c r="AB43" s="116"/>
      <c r="AF43" s="116"/>
      <c r="AJ43" s="116"/>
      <c r="AN43" s="116"/>
      <c r="AR43" s="116"/>
    </row>
    <row r="44" spans="12:44" x14ac:dyDescent="0.25">
      <c r="L44" s="116"/>
      <c r="P44" s="116"/>
      <c r="T44" s="116"/>
      <c r="X44" s="116"/>
      <c r="AB44" s="116"/>
      <c r="AF44" s="116"/>
      <c r="AJ44" s="116"/>
      <c r="AN44" s="116"/>
      <c r="AR44" s="116"/>
    </row>
    <row r="45" spans="12:44" x14ac:dyDescent="0.25">
      <c r="L45" s="116"/>
      <c r="P45" s="116"/>
      <c r="T45" s="116"/>
      <c r="X45" s="116"/>
      <c r="AB45" s="116"/>
      <c r="AF45" s="116"/>
      <c r="AJ45" s="116"/>
      <c r="AN45" s="116"/>
      <c r="AR45" s="116"/>
    </row>
    <row r="46" spans="12:44" x14ac:dyDescent="0.25">
      <c r="L46" s="116"/>
    </row>
    <row r="47" spans="12:44" x14ac:dyDescent="0.25">
      <c r="L47" s="116"/>
    </row>
    <row r="48" spans="12:44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A1:AM21"/>
  <sheetViews>
    <sheetView workbookViewId="0">
      <selection activeCell="E30" sqref="E30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46" t="s">
        <v>79</v>
      </c>
      <c r="G2" s="246"/>
      <c r="H2" s="246"/>
      <c r="I2" s="246"/>
      <c r="J2" s="246"/>
      <c r="K2" s="14"/>
      <c r="L2" s="14"/>
      <c r="M2" s="30"/>
      <c r="O2" s="30"/>
      <c r="P2" s="32"/>
      <c r="Q2" s="32"/>
      <c r="R2" s="279" t="s">
        <v>80</v>
      </c>
      <c r="S2" s="279"/>
      <c r="T2" s="279"/>
      <c r="U2" s="279"/>
      <c r="V2" s="279"/>
      <c r="W2" s="279"/>
      <c r="X2" s="32"/>
      <c r="Y2" s="32"/>
      <c r="Z2" s="30"/>
      <c r="AB2" s="73"/>
      <c r="AC2" s="32"/>
      <c r="AD2" s="32"/>
      <c r="AE2" s="279" t="s">
        <v>70</v>
      </c>
      <c r="AF2" s="279"/>
      <c r="AG2" s="279"/>
      <c r="AH2" s="279"/>
      <c r="AI2" s="279"/>
      <c r="AJ2" s="279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46"/>
      <c r="G3" s="246"/>
      <c r="H3" s="246"/>
      <c r="I3" s="246"/>
      <c r="J3" s="246"/>
      <c r="K3" s="14"/>
      <c r="L3" s="14"/>
      <c r="M3" s="30"/>
      <c r="O3" s="30"/>
      <c r="P3" s="32"/>
      <c r="Q3" s="32"/>
      <c r="R3" s="281"/>
      <c r="S3" s="281"/>
      <c r="T3" s="281"/>
      <c r="U3" s="281"/>
      <c r="V3" s="281"/>
      <c r="W3" s="281"/>
      <c r="X3" s="32"/>
      <c r="Y3" s="32"/>
      <c r="Z3" s="30"/>
      <c r="AB3" s="73"/>
      <c r="AC3" s="32"/>
      <c r="AD3" s="32"/>
      <c r="AE3" s="280"/>
      <c r="AF3" s="280"/>
      <c r="AG3" s="280"/>
      <c r="AH3" s="280"/>
      <c r="AI3" s="280"/>
      <c r="AJ3" s="280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47">
        <f>U4+AH6+AH10</f>
        <v>2015000</v>
      </c>
      <c r="G4" s="248"/>
      <c r="H4" s="248"/>
      <c r="I4" s="248"/>
      <c r="J4" s="249"/>
      <c r="L4" s="14"/>
      <c r="M4" s="30"/>
      <c r="O4" s="30"/>
      <c r="P4" s="32"/>
      <c r="Q4" s="259" t="s">
        <v>59</v>
      </c>
      <c r="R4" s="260"/>
      <c r="S4" s="260"/>
      <c r="T4" s="261"/>
      <c r="U4" s="265">
        <f>U7 +U10</f>
        <v>935000</v>
      </c>
      <c r="V4" s="266"/>
      <c r="W4" s="266"/>
      <c r="X4" s="267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50"/>
      <c r="G5" s="251"/>
      <c r="H5" s="251"/>
      <c r="I5" s="251"/>
      <c r="J5" s="252"/>
      <c r="K5" s="14"/>
      <c r="L5" s="14"/>
      <c r="M5" s="30"/>
      <c r="O5" s="30"/>
      <c r="P5" s="32"/>
      <c r="Q5" s="262"/>
      <c r="R5" s="263"/>
      <c r="S5" s="263"/>
      <c r="T5" s="264"/>
      <c r="U5" s="268"/>
      <c r="V5" s="269"/>
      <c r="W5" s="269"/>
      <c r="X5" s="270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78"/>
      <c r="W6" s="277"/>
      <c r="X6" s="32"/>
      <c r="Y6" s="32"/>
      <c r="Z6" s="30"/>
      <c r="AB6" s="73"/>
      <c r="AC6" s="32"/>
      <c r="AD6" s="259" t="s">
        <v>69</v>
      </c>
      <c r="AE6" s="260"/>
      <c r="AF6" s="260"/>
      <c r="AG6" s="261"/>
      <c r="AH6" s="265">
        <v>980000</v>
      </c>
      <c r="AI6" s="266"/>
      <c r="AJ6" s="266"/>
      <c r="AK6" s="267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71" t="s">
        <v>54</v>
      </c>
      <c r="R7" s="272"/>
      <c r="S7" s="272"/>
      <c r="T7" s="273"/>
      <c r="U7" s="265">
        <v>35000</v>
      </c>
      <c r="V7" s="266"/>
      <c r="W7" s="266"/>
      <c r="X7" s="267"/>
      <c r="Y7" s="32"/>
      <c r="Z7" s="30"/>
      <c r="AB7" s="73"/>
      <c r="AC7" s="32"/>
      <c r="AD7" s="262"/>
      <c r="AE7" s="263"/>
      <c r="AF7" s="263"/>
      <c r="AG7" s="264"/>
      <c r="AH7" s="268"/>
      <c r="AI7" s="269"/>
      <c r="AJ7" s="269"/>
      <c r="AK7" s="270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74"/>
      <c r="R8" s="275"/>
      <c r="S8" s="275"/>
      <c r="T8" s="276"/>
      <c r="U8" s="268"/>
      <c r="V8" s="269"/>
      <c r="W8" s="269"/>
      <c r="X8" s="270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77"/>
      <c r="W9" s="277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71" t="s">
        <v>55</v>
      </c>
      <c r="R10" s="272"/>
      <c r="S10" s="272"/>
      <c r="T10" s="273"/>
      <c r="U10" s="265">
        <f>SUM(U13,U15,U17)</f>
        <v>900000</v>
      </c>
      <c r="V10" s="266"/>
      <c r="W10" s="266"/>
      <c r="X10" s="267"/>
      <c r="Y10" s="32"/>
      <c r="Z10" s="30"/>
      <c r="AB10" s="73"/>
      <c r="AC10" s="32"/>
      <c r="AD10" s="282" t="s">
        <v>77</v>
      </c>
      <c r="AE10" s="283"/>
      <c r="AF10" s="283"/>
      <c r="AG10" s="284"/>
      <c r="AH10" s="265">
        <v>100000</v>
      </c>
      <c r="AI10" s="266"/>
      <c r="AJ10" s="266"/>
      <c r="AK10" s="267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74"/>
      <c r="R11" s="275"/>
      <c r="S11" s="275"/>
      <c r="T11" s="276"/>
      <c r="U11" s="268"/>
      <c r="V11" s="269"/>
      <c r="W11" s="269"/>
      <c r="X11" s="270"/>
      <c r="Y11" s="32"/>
      <c r="Z11" s="30"/>
      <c r="AB11" s="73"/>
      <c r="AC11" s="32"/>
      <c r="AD11" s="285"/>
      <c r="AE11" s="286"/>
      <c r="AF11" s="286"/>
      <c r="AG11" s="287"/>
      <c r="AH11" s="291"/>
      <c r="AI11" s="292"/>
      <c r="AJ11" s="292"/>
      <c r="AK11" s="293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88"/>
      <c r="AE12" s="289"/>
      <c r="AF12" s="289"/>
      <c r="AG12" s="290"/>
      <c r="AH12" s="268"/>
      <c r="AI12" s="269"/>
      <c r="AJ12" s="269"/>
      <c r="AK12" s="270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53" t="s">
        <v>58</v>
      </c>
      <c r="S13" s="254"/>
      <c r="T13" s="255"/>
      <c r="U13" s="256">
        <v>300000</v>
      </c>
      <c r="V13" s="257"/>
      <c r="W13" s="258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53" t="s">
        <v>56</v>
      </c>
      <c r="S15" s="254"/>
      <c r="T15" s="255"/>
      <c r="U15" s="256">
        <v>300000</v>
      </c>
      <c r="V15" s="257"/>
      <c r="W15" s="258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53" t="s">
        <v>57</v>
      </c>
      <c r="S17" s="254"/>
      <c r="T17" s="255"/>
      <c r="U17" s="256">
        <v>300000</v>
      </c>
      <c r="V17" s="257"/>
      <c r="W17" s="258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abSelected="1" topLeftCell="A52" zoomScale="85" zoomScaleNormal="85" workbookViewId="0">
      <selection activeCell="B81" sqref="B81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4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5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41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41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41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41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41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41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41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41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41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41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41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41">
        <v>45823</v>
      </c>
      <c r="B86" s="102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6" t="s">
        <v>5</v>
      </c>
      <c r="B87" s="102">
        <f>SUM(B75:B86)</f>
        <v>17520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7" t="s">
        <v>61</v>
      </c>
      <c r="B88" s="240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9">
        <f>SUM(C89:AF89)</f>
        <v>17520.000000000004</v>
      </c>
      <c r="C89" s="53">
        <f>B87*C88</f>
        <v>451.9369768276178</v>
      </c>
      <c r="D89" s="53">
        <f>B87*D88</f>
        <v>457.9459779820869</v>
      </c>
      <c r="E89" s="53">
        <f>B87*E88</f>
        <v>713.50879708165587</v>
      </c>
      <c r="F89" s="53">
        <f>B87*F88</f>
        <v>1152.1959263636695</v>
      </c>
      <c r="G89" s="53">
        <f>B87*G88</f>
        <v>1170.150821813223</v>
      </c>
      <c r="H89" s="53">
        <f>B87*H88</f>
        <v>628.94412383481279</v>
      </c>
      <c r="I89" s="53">
        <f>B87*I88</f>
        <v>1665.0161028883679</v>
      </c>
      <c r="J89" s="53">
        <f>B87*J88</f>
        <v>245.37155314158952</v>
      </c>
      <c r="K89" s="53">
        <f>B87*K88</f>
        <v>1694.3400285221767</v>
      </c>
      <c r="L89" s="53">
        <f>B87*L88</f>
        <v>544.20518955449018</v>
      </c>
      <c r="M89" s="53">
        <f>B87*M88</f>
        <v>108.16202078044303</v>
      </c>
      <c r="N89" s="53">
        <f>B87*N88</f>
        <v>36.054006926814345</v>
      </c>
      <c r="O89" s="53">
        <f>B87*O88</f>
        <v>162.24303117066455</v>
      </c>
      <c r="P89" s="53">
        <f>B87*P88</f>
        <v>421.05071089364685</v>
      </c>
      <c r="Q89" s="53">
        <f>B87*Q88</f>
        <v>1619.6481441721262</v>
      </c>
      <c r="R89" s="53">
        <f>B87*R88</f>
        <v>225.4637323168335</v>
      </c>
      <c r="S89" s="53">
        <f>B87*S88</f>
        <v>1755.5356962792896</v>
      </c>
      <c r="T89" s="53">
        <f>B87*T88</f>
        <v>1124.6686920750465</v>
      </c>
      <c r="U89" s="53">
        <f>B87*U88</f>
        <v>632.35723649055126</v>
      </c>
      <c r="V89" s="53">
        <f>B87*V88</f>
        <v>435.91097074864888</v>
      </c>
      <c r="W89" s="53">
        <f>B87*W88</f>
        <v>448.64404419496879</v>
      </c>
      <c r="X89" s="53">
        <f>B87*X88</f>
        <v>753.33044773232234</v>
      </c>
      <c r="Y89" s="53">
        <f>B87*Y88</f>
        <v>796.90171510337746</v>
      </c>
      <c r="Z89" s="54">
        <f>B87*Z88</f>
        <v>276.41405310557661</v>
      </c>
      <c r="AF89" s="1"/>
    </row>
    <row r="90" spans="1:32" x14ac:dyDescent="0.25">
      <c r="A90" s="135"/>
      <c r="B90" s="238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42">
        <f>SUM(C89:Z89)</f>
        <v>17520.000000000004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89"/>
  <sheetViews>
    <sheetView topLeftCell="A31" workbookViewId="0">
      <selection activeCell="J60" sqref="J60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94" t="s">
        <v>81</v>
      </c>
      <c r="C1" s="295"/>
      <c r="D1" s="295"/>
      <c r="E1" s="295"/>
      <c r="F1" s="295"/>
      <c r="G1" s="295"/>
      <c r="H1" s="296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61</v>
      </c>
      <c r="F3" s="44">
        <v>18</v>
      </c>
      <c r="G3" s="44">
        <f>COUNTA(C3:C36)</f>
        <v>5</v>
      </c>
      <c r="H3" s="89">
        <f>G3*F3</f>
        <v>90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297" t="s">
        <v>111</v>
      </c>
      <c r="C44" s="297"/>
      <c r="D44" s="297"/>
      <c r="E44" s="297"/>
      <c r="F44" s="297"/>
      <c r="G44" s="297"/>
      <c r="H44" s="297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/>
      </c>
    </row>
    <row r="53" spans="2:17" x14ac:dyDescent="0.25">
      <c r="B53" t="str">
        <f>IF(Borrowers3!AX1=0,"",Borrowers3!AX1)</f>
        <v/>
      </c>
    </row>
    <row r="54" spans="2:17" x14ac:dyDescent="0.25">
      <c r="B54" t="str">
        <f>IF(Borrowers3!BE1=0,"",Borrowers3!BE1)</f>
        <v/>
      </c>
    </row>
    <row r="55" spans="2:17" x14ac:dyDescent="0.25">
      <c r="B55" t="str">
        <f>IF(Borrowers3!BL1=0,"",Borrowers3!BL1)</f>
        <v/>
      </c>
    </row>
    <row r="56" spans="2:17" x14ac:dyDescent="0.25">
      <c r="B56" t="str">
        <f>IF(Borrowers3!BS1=0,"",Borrowers3!BS1)</f>
        <v/>
      </c>
    </row>
    <row r="57" spans="2:17" x14ac:dyDescent="0.25">
      <c r="B57" t="str">
        <f>IF(Borrowers3!BZ1=0,"",Borrowers3!BZ1)</f>
        <v/>
      </c>
    </row>
    <row r="58" spans="2:17" x14ac:dyDescent="0.25">
      <c r="B58" t="str">
        <f>IF(Borrowers3!CG1=0,"",Borrowers3!CG1)</f>
        <v/>
      </c>
    </row>
    <row r="59" spans="2:17" x14ac:dyDescent="0.25">
      <c r="B59" t="str">
        <f>IF(Borrowers3!CN1=0,"",Borrowers3!CN1)</f>
        <v/>
      </c>
    </row>
    <row r="60" spans="2:17" x14ac:dyDescent="0.25">
      <c r="B60" t="str">
        <f>IF(Borrowers3!CU1=0,"",Borrowers3!CU1)</f>
        <v/>
      </c>
    </row>
    <row r="61" spans="2:17" x14ac:dyDescent="0.25">
      <c r="B61" t="str">
        <f>IF(Borrowers3!DB1=0,"",Borrowers3!DB1)</f>
        <v/>
      </c>
    </row>
    <row r="62" spans="2:17" x14ac:dyDescent="0.25">
      <c r="B62" t="str">
        <f>IF(Borrowers3!DI1=0,"",Borrowers3!DI1)</f>
        <v/>
      </c>
    </row>
    <row r="63" spans="2:17" x14ac:dyDescent="0.25">
      <c r="B63" t="str">
        <f>IF(Borrowers3!DP1=0,"",Borrowers3!DP1)</f>
        <v/>
      </c>
    </row>
    <row r="64" spans="2:17" x14ac:dyDescent="0.25">
      <c r="B64" t="str">
        <f>IF(Borrowers3!DW1=0,"",Borrowers3!DW1)</f>
        <v/>
      </c>
    </row>
    <row r="65" spans="2:2" x14ac:dyDescent="0.25">
      <c r="B65" t="str">
        <f>IF(Borrowers3!ED1=0,"",Borrowers3!ED1)</f>
        <v/>
      </c>
    </row>
    <row r="66" spans="2:2" x14ac:dyDescent="0.25">
      <c r="B66" t="str">
        <f>IF(Borrowers3!EK1=0,"",Borrowers3!EK1)</f>
        <v/>
      </c>
    </row>
    <row r="67" spans="2:2" x14ac:dyDescent="0.25">
      <c r="B67" t="str">
        <f>IF(Borrowers3!ER1=0,"",Borrowers3!ER1)</f>
        <v/>
      </c>
    </row>
    <row r="68" spans="2:2" x14ac:dyDescent="0.25">
      <c r="B68" t="str">
        <f>IF(Borrowers3!EY1=0,"",Borrowers3!EY1)</f>
        <v/>
      </c>
    </row>
    <row r="69" spans="2:2" x14ac:dyDescent="0.25">
      <c r="B69" t="str">
        <f>IF(Borrowers3!FF1=0,"",Borrowers3!FF1)</f>
        <v/>
      </c>
    </row>
    <row r="70" spans="2:2" x14ac:dyDescent="0.25">
      <c r="B70" t="str">
        <f>IF(Borrowers3!FM1=0,"",Borrowers3!FM1)</f>
        <v/>
      </c>
    </row>
    <row r="71" spans="2:2" x14ac:dyDescent="0.25">
      <c r="B71" t="str">
        <f>IF(Borrowers3!FT1=0,"",Borrowers3!FT1)</f>
        <v/>
      </c>
    </row>
    <row r="72" spans="2:2" x14ac:dyDescent="0.25">
      <c r="B72" t="str">
        <f>IF(Borrowers3!GA1=0,"",Borrowers3!GA1)</f>
        <v/>
      </c>
    </row>
    <row r="73" spans="2:2" x14ac:dyDescent="0.25">
      <c r="B73" t="str">
        <f>IF(Borrowers3!GH1=0,"",Borrowers3!GH1)</f>
        <v/>
      </c>
    </row>
    <row r="74" spans="2:2" x14ac:dyDescent="0.25">
      <c r="B74" t="str">
        <f>IF(Borrowers3!GO1=0,"",Borrowers3!GO1)</f>
        <v/>
      </c>
    </row>
    <row r="75" spans="2:2" x14ac:dyDescent="0.25">
      <c r="B75" t="str">
        <f>IF(Borrowers3!GV1=0,"",Borrowers3!GV1)</f>
        <v/>
      </c>
    </row>
    <row r="76" spans="2:2" x14ac:dyDescent="0.25">
      <c r="B76" t="str">
        <f>IF(Borrowers3!HC1=0,"",Borrowers3!HC1)</f>
        <v/>
      </c>
    </row>
    <row r="77" spans="2:2" x14ac:dyDescent="0.25">
      <c r="B77" t="str">
        <f>IF(Borrowers3!HJ1=0,"",Borrowers3!HJ1)</f>
        <v/>
      </c>
    </row>
    <row r="78" spans="2:2" x14ac:dyDescent="0.25">
      <c r="B78" t="str">
        <f>IF(Borrowers3!HQ1=0,"",Borrowers3!HQ1)</f>
        <v/>
      </c>
    </row>
    <row r="79" spans="2:2" x14ac:dyDescent="0.25">
      <c r="B79" t="str">
        <f>IF(Borrowers3!HX1=0,"",Borrowers3!HX1)</f>
        <v/>
      </c>
    </row>
    <row r="80" spans="2:2" x14ac:dyDescent="0.25">
      <c r="B80" t="str">
        <f>IF(Borrowers3!IE1=0,"",Borrowers3!IE1)</f>
        <v/>
      </c>
    </row>
    <row r="81" spans="2:2" x14ac:dyDescent="0.25">
      <c r="B81" t="str">
        <f>IF(Borrowers3!IL1=0,"",Borrowers3!IL1)</f>
        <v/>
      </c>
    </row>
    <row r="82" spans="2:2" x14ac:dyDescent="0.25">
      <c r="B82" t="str">
        <f>IF(Borrowers3!IS1=0,"",Borrowers3!IS1)</f>
        <v/>
      </c>
    </row>
    <row r="83" spans="2:2" x14ac:dyDescent="0.25">
      <c r="B83" t="str">
        <f>IF(Borrowers3!IZ1=0,"",Borrowers3!IZ1)</f>
        <v/>
      </c>
    </row>
    <row r="84" spans="2:2" x14ac:dyDescent="0.25">
      <c r="B84" t="str">
        <f>IF(Borrowers3!JG1=0,"",Borrowers3!JG1)</f>
        <v/>
      </c>
    </row>
    <row r="85" spans="2:2" x14ac:dyDescent="0.25">
      <c r="B85" t="str">
        <f>IF(Borrowers3!JN1=0,"",Borrowers3!JN1)</f>
        <v/>
      </c>
    </row>
    <row r="86" spans="2:2" x14ac:dyDescent="0.25">
      <c r="B86" t="str">
        <f>IF(Borrowers3!JU1=0,"",Borrowers3!JU1)</f>
        <v/>
      </c>
    </row>
    <row r="87" spans="2:2" x14ac:dyDescent="0.25">
      <c r="B87" t="str">
        <f>IF(Borrowers3!KB1=0,"",Borrowers3!KB1)</f>
        <v/>
      </c>
    </row>
    <row r="88" spans="2:2" x14ac:dyDescent="0.25">
      <c r="B88" t="str">
        <f>IF(Borrowers3!KP1=0,"",Borrowers3!KP1)</f>
        <v/>
      </c>
    </row>
    <row r="89" spans="2:2" x14ac:dyDescent="0.25">
      <c r="B89" t="str">
        <f>IF(Borrowers3!KW1=0,"",Borrowers3!KW1)</f>
        <v/>
      </c>
    </row>
  </sheetData>
  <mergeCells count="2">
    <mergeCell ref="B1:H1"/>
    <mergeCell ref="B44:H4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8"/>
  <sheetViews>
    <sheetView workbookViewId="0">
      <selection activeCell="H19" sqref="H19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06" t="s">
        <v>64</v>
      </c>
      <c r="B1" s="307"/>
      <c r="C1" s="307"/>
      <c r="D1" s="307"/>
      <c r="E1" s="307"/>
      <c r="F1" s="307"/>
      <c r="G1" s="307"/>
      <c r="H1" s="307"/>
      <c r="I1" s="308"/>
    </row>
    <row r="2" spans="1:9" ht="15.75" thickBot="1" x14ac:dyDescent="0.3">
      <c r="A2" s="309"/>
      <c r="B2" s="310"/>
      <c r="C2" s="310"/>
      <c r="D2" s="310"/>
      <c r="E2" s="310"/>
      <c r="F2" s="311"/>
      <c r="G2" s="311"/>
      <c r="H2" s="311"/>
      <c r="I2" s="312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13" t="s">
        <v>78</v>
      </c>
      <c r="G3" s="314"/>
      <c r="H3" s="314"/>
      <c r="I3" s="315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451.9369768276178</v>
      </c>
      <c r="D4" s="44">
        <v>0</v>
      </c>
      <c r="E4" s="75">
        <f t="shared" ref="E4:E27" si="0">C4-D4</f>
        <v>451.9369768276178</v>
      </c>
      <c r="F4" s="316"/>
      <c r="G4" s="317"/>
      <c r="H4" s="317"/>
      <c r="I4" s="318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457.9459779820869</v>
      </c>
      <c r="D5" s="44">
        <v>0</v>
      </c>
      <c r="E5" s="75">
        <f t="shared" si="0"/>
        <v>457.9459779820869</v>
      </c>
      <c r="F5" s="319" t="s">
        <v>71</v>
      </c>
      <c r="G5" s="320"/>
      <c r="H5" s="320"/>
      <c r="I5" s="321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713.50879708165587</v>
      </c>
      <c r="D6" s="44">
        <v>0</v>
      </c>
      <c r="E6" s="71">
        <f t="shared" si="0"/>
        <v>713.50879708165587</v>
      </c>
      <c r="F6" s="322"/>
      <c r="G6" s="323"/>
      <c r="H6" s="323"/>
      <c r="I6" s="324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1152.1959263636695</v>
      </c>
      <c r="D7" s="44">
        <v>0</v>
      </c>
      <c r="E7" s="71">
        <f t="shared" si="0"/>
        <v>1152.1959263636695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1170.150821813223</v>
      </c>
      <c r="D8" s="44">
        <v>0</v>
      </c>
      <c r="E8" s="71">
        <f t="shared" si="0"/>
        <v>1170.150821813223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628.94412383481279</v>
      </c>
      <c r="D9" s="44">
        <v>0</v>
      </c>
      <c r="E9" s="71">
        <f t="shared" si="0"/>
        <v>628.94412383481279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1665.0161028883679</v>
      </c>
      <c r="D10" s="44">
        <v>0</v>
      </c>
      <c r="E10" s="71">
        <f t="shared" si="0"/>
        <v>1665.0161028883679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245.37155314158952</v>
      </c>
      <c r="D11" s="44">
        <v>0</v>
      </c>
      <c r="E11" s="71">
        <f t="shared" si="0"/>
        <v>245.37155314158952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1694.3400285221767</v>
      </c>
      <c r="D12" s="44">
        <v>0</v>
      </c>
      <c r="E12" s="71">
        <f t="shared" si="0"/>
        <v>1694.3400285221767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544.20518955449018</v>
      </c>
      <c r="D13" s="44">
        <v>0</v>
      </c>
      <c r="E13" s="75">
        <f t="shared" si="0"/>
        <v>544.20518955449018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108.16202078044303</v>
      </c>
      <c r="D14" s="44">
        <v>0</v>
      </c>
      <c r="E14" s="75">
        <f t="shared" si="0"/>
        <v>108.16202078044303</v>
      </c>
      <c r="F14" s="298" t="s">
        <v>72</v>
      </c>
      <c r="G14" s="299"/>
      <c r="H14" s="325">
        <f>SUM(B4:B27)</f>
        <v>0.86506680607084085</v>
      </c>
      <c r="I14" s="326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36.054006926814345</v>
      </c>
      <c r="D15" s="44">
        <v>0</v>
      </c>
      <c r="E15" s="75">
        <f t="shared" si="0"/>
        <v>36.054006926814345</v>
      </c>
      <c r="F15" s="300"/>
      <c r="G15" s="301"/>
      <c r="H15" s="327"/>
      <c r="I15" s="328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162.24303117066455</v>
      </c>
      <c r="D16" s="44">
        <v>0</v>
      </c>
      <c r="E16" s="75">
        <f t="shared" si="0"/>
        <v>162.24303117066455</v>
      </c>
      <c r="F16" s="298" t="s">
        <v>73</v>
      </c>
      <c r="G16" s="299"/>
      <c r="H16" s="302">
        <f>SUM(C4:C27)</f>
        <v>17520.000000000004</v>
      </c>
      <c r="I16" s="303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421.05071089364685</v>
      </c>
      <c r="D17" s="44">
        <v>0</v>
      </c>
      <c r="E17" s="71">
        <f t="shared" si="0"/>
        <v>421.05071089364685</v>
      </c>
      <c r="F17" s="300"/>
      <c r="G17" s="301"/>
      <c r="H17" s="304"/>
      <c r="I17" s="305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1619.6481441721262</v>
      </c>
      <c r="D18" s="44">
        <v>0</v>
      </c>
      <c r="E18" s="71">
        <f t="shared" si="0"/>
        <v>1619.6481441721262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225.4637323168335</v>
      </c>
      <c r="D19" s="44">
        <v>0</v>
      </c>
      <c r="E19" s="71">
        <f t="shared" si="0"/>
        <v>225.4637323168335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1755.5356962792896</v>
      </c>
      <c r="D20" s="44">
        <v>0</v>
      </c>
      <c r="E20" s="71">
        <f t="shared" si="0"/>
        <v>1755.5356962792896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1124.6686920750465</v>
      </c>
      <c r="D21" s="44">
        <v>0</v>
      </c>
      <c r="E21" s="71">
        <f t="shared" si="0"/>
        <v>1124.6686920750465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632.35723649055126</v>
      </c>
      <c r="D22" s="44">
        <v>0</v>
      </c>
      <c r="E22" s="71">
        <f t="shared" si="0"/>
        <v>632.35723649055126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435.91097074864888</v>
      </c>
      <c r="D23" s="44">
        <v>0</v>
      </c>
      <c r="E23" s="71">
        <f t="shared" si="0"/>
        <v>435.91097074864888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448.64404419496879</v>
      </c>
      <c r="D24" s="44">
        <v>0</v>
      </c>
      <c r="E24" s="71">
        <f t="shared" si="0"/>
        <v>448.64404419496879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753.33044773232234</v>
      </c>
      <c r="D25" s="44">
        <v>0</v>
      </c>
      <c r="E25" s="71">
        <f t="shared" si="0"/>
        <v>753.33044773232234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796.90171510337746</v>
      </c>
      <c r="D26" s="44">
        <v>0</v>
      </c>
      <c r="E26" s="71">
        <f t="shared" si="0"/>
        <v>796.90171510337746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276.41405310557661</v>
      </c>
      <c r="D27" s="44">
        <v>0</v>
      </c>
      <c r="E27" s="71">
        <f t="shared" si="0"/>
        <v>276.41405310557661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29" t="s">
        <v>99</v>
      </c>
      <c r="C2" s="330"/>
      <c r="D2" s="330"/>
      <c r="E2" s="330"/>
      <c r="F2" s="330"/>
      <c r="G2" s="330"/>
      <c r="H2" s="330"/>
      <c r="I2" s="331"/>
      <c r="J2" s="112"/>
      <c r="K2" s="112"/>
    </row>
    <row r="3" spans="1:11" x14ac:dyDescent="0.25">
      <c r="A3" s="112"/>
      <c r="B3" s="332"/>
      <c r="C3" s="333"/>
      <c r="D3" s="333"/>
      <c r="E3" s="333"/>
      <c r="F3" s="333"/>
      <c r="G3" s="333"/>
      <c r="H3" s="333"/>
      <c r="I3" s="334"/>
      <c r="J3" s="112"/>
      <c r="K3" s="112"/>
    </row>
    <row r="4" spans="1:11" x14ac:dyDescent="0.25">
      <c r="A4" s="112"/>
      <c r="B4" s="332"/>
      <c r="C4" s="333"/>
      <c r="D4" s="333"/>
      <c r="E4" s="333"/>
      <c r="F4" s="333"/>
      <c r="G4" s="333"/>
      <c r="H4" s="333"/>
      <c r="I4" s="334"/>
      <c r="J4" s="112"/>
      <c r="K4" s="112"/>
    </row>
    <row r="5" spans="1:11" ht="15.75" thickBot="1" x14ac:dyDescent="0.3">
      <c r="A5" s="112"/>
      <c r="B5" s="335"/>
      <c r="C5" s="336"/>
      <c r="D5" s="336"/>
      <c r="E5" s="336"/>
      <c r="F5" s="336"/>
      <c r="G5" s="336"/>
      <c r="H5" s="336"/>
      <c r="I5" s="337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38" t="s">
        <v>103</v>
      </c>
      <c r="C19" s="339"/>
      <c r="D19" s="339"/>
      <c r="E19" s="339"/>
      <c r="F19" s="339"/>
      <c r="G19" s="339"/>
      <c r="H19" s="339"/>
      <c r="I19" s="340"/>
      <c r="J19" s="112"/>
      <c r="K19" s="112"/>
    </row>
    <row r="20" spans="1:11" ht="15.75" thickBot="1" x14ac:dyDescent="0.3">
      <c r="A20" s="112"/>
      <c r="B20" s="341"/>
      <c r="C20" s="342"/>
      <c r="D20" s="342"/>
      <c r="E20" s="342"/>
      <c r="F20" s="342"/>
      <c r="G20" s="342"/>
      <c r="H20" s="342"/>
      <c r="I20" s="343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29" t="s">
        <v>98</v>
      </c>
      <c r="C22" s="330"/>
      <c r="D22" s="330"/>
      <c r="E22" s="330"/>
      <c r="F22" s="330"/>
      <c r="G22" s="330"/>
      <c r="H22" s="330"/>
      <c r="I22" s="331"/>
      <c r="J22" s="112"/>
      <c r="K22" s="112"/>
    </row>
    <row r="23" spans="1:11" x14ac:dyDescent="0.25">
      <c r="A23" s="112"/>
      <c r="B23" s="332"/>
      <c r="C23" s="333"/>
      <c r="D23" s="333"/>
      <c r="E23" s="333"/>
      <c r="F23" s="333"/>
      <c r="G23" s="333"/>
      <c r="H23" s="333"/>
      <c r="I23" s="334"/>
      <c r="J23" s="112"/>
      <c r="K23" s="112"/>
    </row>
    <row r="24" spans="1:11" x14ac:dyDescent="0.25">
      <c r="A24" s="112"/>
      <c r="B24" s="332"/>
      <c r="C24" s="333"/>
      <c r="D24" s="333"/>
      <c r="E24" s="333"/>
      <c r="F24" s="333"/>
      <c r="G24" s="333"/>
      <c r="H24" s="333"/>
      <c r="I24" s="334"/>
      <c r="J24" s="112"/>
      <c r="K24" s="112"/>
    </row>
    <row r="25" spans="1:11" ht="15.75" thickBot="1" x14ac:dyDescent="0.3">
      <c r="A25" s="112"/>
      <c r="B25" s="335"/>
      <c r="C25" s="336"/>
      <c r="D25" s="336"/>
      <c r="E25" s="336"/>
      <c r="F25" s="336"/>
      <c r="G25" s="336"/>
      <c r="H25" s="336"/>
      <c r="I25" s="337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29" t="s">
        <v>100</v>
      </c>
      <c r="C44" s="330"/>
      <c r="D44" s="330"/>
      <c r="E44" s="330"/>
      <c r="F44" s="330"/>
      <c r="G44" s="330"/>
      <c r="H44" s="330"/>
      <c r="I44" s="331"/>
      <c r="J44" s="112"/>
      <c r="K44" s="112"/>
    </row>
    <row r="45" spans="1:11" x14ac:dyDescent="0.25">
      <c r="A45" s="112"/>
      <c r="B45" s="332"/>
      <c r="C45" s="333"/>
      <c r="D45" s="333"/>
      <c r="E45" s="333"/>
      <c r="F45" s="333"/>
      <c r="G45" s="333"/>
      <c r="H45" s="333"/>
      <c r="I45" s="334"/>
      <c r="J45" s="112"/>
      <c r="K45" s="112"/>
    </row>
    <row r="46" spans="1:11" x14ac:dyDescent="0.25">
      <c r="A46" s="112"/>
      <c r="B46" s="332"/>
      <c r="C46" s="333"/>
      <c r="D46" s="333"/>
      <c r="E46" s="333"/>
      <c r="F46" s="333"/>
      <c r="G46" s="333"/>
      <c r="H46" s="333"/>
      <c r="I46" s="334"/>
      <c r="J46" s="112"/>
      <c r="K46" s="112"/>
    </row>
    <row r="47" spans="1:11" ht="15.75" thickBot="1" x14ac:dyDescent="0.3">
      <c r="A47" s="112"/>
      <c r="B47" s="335"/>
      <c r="C47" s="336"/>
      <c r="D47" s="336"/>
      <c r="E47" s="336"/>
      <c r="F47" s="336"/>
      <c r="G47" s="336"/>
      <c r="H47" s="336"/>
      <c r="I47" s="337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29" t="s">
        <v>102</v>
      </c>
      <c r="C65" s="330"/>
      <c r="D65" s="330"/>
      <c r="E65" s="330"/>
      <c r="F65" s="330"/>
      <c r="G65" s="330"/>
      <c r="H65" s="330"/>
      <c r="I65" s="331"/>
      <c r="J65" s="112"/>
      <c r="K65" s="112"/>
    </row>
    <row r="66" spans="1:11" x14ac:dyDescent="0.25">
      <c r="A66" s="112"/>
      <c r="B66" s="332"/>
      <c r="C66" s="333"/>
      <c r="D66" s="333"/>
      <c r="E66" s="333"/>
      <c r="F66" s="333"/>
      <c r="G66" s="333"/>
      <c r="H66" s="333"/>
      <c r="I66" s="334"/>
      <c r="J66" s="112"/>
      <c r="K66" s="112"/>
    </row>
    <row r="67" spans="1:11" x14ac:dyDescent="0.25">
      <c r="A67" s="112"/>
      <c r="B67" s="332"/>
      <c r="C67" s="333"/>
      <c r="D67" s="333"/>
      <c r="E67" s="333"/>
      <c r="F67" s="333"/>
      <c r="G67" s="333"/>
      <c r="H67" s="333"/>
      <c r="I67" s="334"/>
      <c r="J67" s="112"/>
      <c r="K67" s="112"/>
    </row>
    <row r="68" spans="1:11" ht="15.75" thickBot="1" x14ac:dyDescent="0.3">
      <c r="A68" s="112"/>
      <c r="B68" s="335"/>
      <c r="C68" s="336"/>
      <c r="D68" s="336"/>
      <c r="E68" s="336"/>
      <c r="F68" s="336"/>
      <c r="G68" s="336"/>
      <c r="H68" s="336"/>
      <c r="I68" s="337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29" t="s">
        <v>101</v>
      </c>
      <c r="C74" s="330"/>
      <c r="D74" s="330"/>
      <c r="E74" s="330"/>
      <c r="F74" s="330"/>
      <c r="G74" s="330"/>
      <c r="H74" s="330"/>
      <c r="I74" s="331"/>
      <c r="J74" s="112"/>
      <c r="K74" s="112"/>
    </row>
    <row r="75" spans="1:11" x14ac:dyDescent="0.25">
      <c r="A75" s="112"/>
      <c r="B75" s="332"/>
      <c r="C75" s="333"/>
      <c r="D75" s="333"/>
      <c r="E75" s="333"/>
      <c r="F75" s="333"/>
      <c r="G75" s="333"/>
      <c r="H75" s="333"/>
      <c r="I75" s="334"/>
      <c r="J75" s="112"/>
      <c r="K75" s="112"/>
    </row>
    <row r="76" spans="1:11" x14ac:dyDescent="0.25">
      <c r="A76" s="112"/>
      <c r="B76" s="332"/>
      <c r="C76" s="333"/>
      <c r="D76" s="333"/>
      <c r="E76" s="333"/>
      <c r="F76" s="333"/>
      <c r="G76" s="333"/>
      <c r="H76" s="333"/>
      <c r="I76" s="334"/>
      <c r="J76" s="112"/>
      <c r="K76" s="112"/>
    </row>
    <row r="77" spans="1:11" ht="15.75" thickBot="1" x14ac:dyDescent="0.3">
      <c r="A77" s="112"/>
      <c r="B77" s="335"/>
      <c r="C77" s="336"/>
      <c r="D77" s="336"/>
      <c r="E77" s="336"/>
      <c r="F77" s="336"/>
      <c r="G77" s="336"/>
      <c r="H77" s="336"/>
      <c r="I77" s="337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Borrowers3</vt:lpstr>
      <vt:lpstr>Profit</vt:lpstr>
      <vt:lpstr>Home</vt:lpstr>
      <vt:lpstr>Savings</vt:lpstr>
      <vt:lpstr>data</vt:lpstr>
      <vt:lpstr>Borrowers2</vt:lpstr>
      <vt:lpstr>Overview</vt:lpstr>
      <vt:lpstr>Savings2</vt:lpstr>
      <vt:lpstr>Borrowers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2025-05-30T08:07:06Z</dcterms:modified>
</cp:coreProperties>
</file>